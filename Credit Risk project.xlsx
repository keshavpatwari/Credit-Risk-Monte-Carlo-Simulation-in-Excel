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f4f5bce340f9cad/Desktop/FRM/Projects/Credit Risk Simulation/"/>
    </mc:Choice>
  </mc:AlternateContent>
  <xr:revisionPtr revIDLastSave="6" documentId="8_{B56F9B6D-0471-4022-84DA-A928F8417345}" xr6:coauthVersionLast="47" xr6:coauthVersionMax="47" xr10:uidLastSave="{C8F0B772-4AB3-4229-B28D-83E5C0A97D0E}"/>
  <bookViews>
    <workbookView xWindow="-108" yWindow="-108" windowWidth="22536" windowHeight="13176" xr2:uid="{00000000-000D-0000-FFFF-FFFF00000000}"/>
  </bookViews>
  <sheets>
    <sheet name="TVS Motors" sheetId="7" r:id="rId1"/>
    <sheet name="Adani Enterprises" sheetId="9" r:id="rId2"/>
    <sheet name="Sequent Scientific" sheetId="12" r:id="rId3"/>
    <sheet name="Vodafone Idea" sheetId="13" r:id="rId4"/>
    <sheet name="Diagram" sheetId="16" r:id="rId5"/>
    <sheet name="calc" sheetId="17" r:id="rId6"/>
    <sheet name="loss_distribution" sheetId="14" r:id="rId7"/>
  </sheets>
  <externalReferences>
    <externalReference r:id="rId8"/>
    <externalReference r:id="rId9"/>
    <externalReference r:id="rId10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amort_sch_new" localSheetId="4">_xlfn.LAMBDA(_xlpm.balance,_xlpm.nper,_xlpm.per_rate,_xlpm.pp,_xlpm.def_rate,_xlpm.lgd,_xlpm.return,_xlop.period,_xlfn.LET(_xlpm.end_bal, _xlfn.SCAN(_xlpm.balance, _xlfn.SEQUENCE(_xlpm.nper), _xlfn.LAMBDA(_xlpm.x,_xlpm.y, _xlfn.LET(_xlpm.pn, PPMT(_xlpm.per_rate, 1, _xlpm.nper - _xlpm.y + 1, -_xlpm.x, 0), _xlpm.ppp, (_xlpm.x - _xlpm.pn) * _xlpm.pp, _xlpm.x - (_xlpm.pn + _xlpm.ppp) - (_xlpm.x - _xlpm.pn - _xlpm.ppp) * _xlpm.def_rate))), _xlpm.beg_bal, _xlfn.TAKE(_xlfn.VSTACK(_xlpm.balance, _xlpm.end_bal), _xlpm.nper), _xlpm.int_pmt, _xlpm.per_rate * _xlpm.beg_bal, _xlpm.princ_pmt, -PPMT(_xlpm.per_rate, 1, _xlpm.nper - _xlfn.SEQUENCE(_xlpm.nper) + 1, _xlpm.beg_bal, 0), _xlpm.prep_pmt, (_xlpm.beg_bal - _xlpm.princ_pmt) * _xlpm.pp, _xlpm.total_princ, _xlpm.princ_pmt + _xlpm.prep_pmt, _xlpm.default, (_xlpm.beg_bal - _xlpm.total_princ) * _xlpm.def_rate, _xlpm.recovery, _xlpm.default * (1 - _xlpm.lgd), _xlpm.select, _xlfn.IFS(_xlpm.return = "cl_bal", _xlpm.end_bal, _xlpm.return = "op_bal", _xlpm.beg_bal, _xlpm.return = "ppmt", _xlpm.princ_pmt, _xlpm.return = "prep", _xlpm.prep_pmt, _xlpm.return = "total_princ", _xlpm.total_princ, _xlpm.return = "ipmt", _xlpm.int_pmt, _xlpm.return = "default", _xlpm.default, _xlpm.return = "recovery", _xlpm.recovery), IF(_xlfn.ISOMITTED(_xlpm.period), _xlpm.select, INDEX(_xlpm.select, _xlpm.period, 1))))</definedName>
    <definedName name="amort_sch_new">_xlfn.LAMBDA(_xlpm.balance,_xlpm.nper,_xlpm.per_rate,_xlpm.pp,_xlpm.def_rate,_xlpm.lgd,_xlpm.return,_xlop.period,_xlfn.LET(_xlpm.end_bal, _xlfn.SCAN(_xlpm.balance, _xlfn.SEQUENCE(_xlpm.nper), _xlfn.LAMBDA(_xlpm.x,_xlpm.y, _xlfn.LET(_xlpm.pn, PPMT(_xlpm.per_rate, 1, _xlpm.nper - _xlpm.y + 1, -_xlpm.x, 0), _xlpm.ppp, (_xlpm.x - _xlpm.pn) * _xlpm.pp, _xlpm.x - (_xlpm.pn + _xlpm.ppp) - (_xlpm.x - _xlpm.pn - _xlpm.ppp) * _xlpm.def_rate))), _xlpm.beg_bal, _xlfn.TAKE(_xlfn.VSTACK(_xlpm.balance, _xlpm.end_bal), _xlpm.nper), _xlpm.int_pmt, _xlpm.per_rate * _xlpm.beg_bal, _xlpm.princ_pmt, -PPMT(_xlpm.per_rate, 1, _xlpm.nper - _xlfn.SEQUENCE(_xlpm.nper) + 1, _xlpm.beg_bal, 0), _xlpm.prep_pmt, (_xlpm.beg_bal - _xlpm.princ_pmt) * _xlpm.pp, _xlpm.total_princ, _xlpm.princ_pmt + _xlpm.prep_pmt, _xlpm.default, (_xlpm.beg_bal - _xlpm.total_princ) * _xlpm.def_rate, _xlpm.recovery, _xlpm.default * (1 - _xlpm.lgd), _xlpm.select, _xlfn.IFS(_xlpm.return = "cl_bal", _xlpm.end_bal, _xlpm.return = "op_bal", _xlpm.beg_bal, _xlpm.return = "ppmt", _xlpm.princ_pmt, _xlpm.return = "prep", _xlpm.prep_pmt, _xlpm.return = "total_princ", _xlpm.total_princ, _xlpm.return = "ipmt", _xlpm.int_pmt, _xlpm.return = "default", _xlpm.default, _xlpm.return = "recovery", _xlpm.recovery), IF(_xlfn.ISOMITTED(_xlpm.period), _xlpm.select, INDEX(_xlpm.select, _xlpm.period, 1))))</definedName>
    <definedName name="AUC" localSheetId="4">_xlfn.LAMBDA(_xlpm.obs_def_series,_xlpm.grade_series,_xlfn.LET(_xlpm.s, _xlfn._xlws.SORT(_xlfn.UNIQUE(_xlpm.grade_series), , -1), _xlpm.fp, _xlfn.MAP(_xlpm.s - 1, _xlfn.LAMBDA(_xlpm.x, INDEX(FREQUENCY(IF(_xlpm.obs_def_series = 1, "", _xlpm.grade_series), _xlpm.x), 2))), _xlpm.tp, _xlfn.MAP(_xlpm.s - 1, _xlfn.LAMBDA(_xlpm.x, INDEX(FREQUENCY(IF(_xlpm.obs_def_series = 0, "", _xlpm.grade_series), _xlpm.x), 2))), _xlpm.tpr, _xlpm.tp / MAX(_xlpm.tp), _xlpm.fpr, _xlpm.fp / MAX(_xlpm.fp), _xlpm.area, (_xlfn.DROP(_xlpm.tpr, 1) + _xlfn.DROP(_xlpm.tpr, -1)) * (_xlfn.DROP(_xlpm.fpr, 1) - _xlfn.DROP(_xlpm.fpr, -1)) * 0.5, SUM(_xlpm.area)))</definedName>
    <definedName name="AUC">_xlfn.LAMBDA(_xlpm.obs_def_series,_xlpm.grade_series,_xlfn.LET(_xlpm.s, _xlfn._xlws.SORT(_xlfn.UNIQUE(_xlpm.grade_series), , -1), _xlpm.fp, _xlfn.MAP(_xlpm.s - 1, _xlfn.LAMBDA(_xlpm.x, INDEX(FREQUENCY(IF(_xlpm.obs_def_series = 1, "", _xlpm.grade_series), _xlpm.x), 2))), _xlpm.tp, _xlfn.MAP(_xlpm.s - 1, _xlfn.LAMBDA(_xlpm.x, INDEX(FREQUENCY(IF(_xlpm.obs_def_series = 0, "", _xlpm.grade_series), _xlpm.x), 2))), _xlpm.tpr, _xlpm.tp / MAX(_xlpm.tp), _xlpm.fpr, _xlpm.fp / MAX(_xlpm.fp), _xlpm.area, (_xlfn.DROP(_xlpm.tpr, 1) + _xlfn.DROP(_xlpm.tpr, -1)) * (_xlfn.DROP(_xlpm.fpr, 1) - _xlfn.DROP(_xlpm.fpr, -1)) * 0.5, SUM(_xlpm.area)))</definedName>
    <definedName name="AUC_snapshot" localSheetId="4">_xlfn.LAMBDA(_xlpm.obs_def_series,_xlpm.grade_series,_xlpm.snapshot_series,_xlpm.snapshot,_xlpm.partitioned_series,_xlpm.testing_scope,_xlfn.LET(_xlpm.crit, (_xlpm.snapshot_series = _xlpm.snapshot) * (_xlpm.partitioned_series = _xlpm.testing_scope), _xlpm.fil_obs_def_series, _xlfn._xlws.FILTER(_xlpm.obs_def_series, _xlpm.crit), _xlpm.fil_grade_series, _xlfn._xlws.FILTER(_xlpm.grade_series, _xlpm.crit), _xlpm.s, _xlfn._xlws.SORT(_xlfn.UNIQUE(_xlpm.fil_grade_series), , -1), _xlpm.fp, _xlfn.MAP(_xlpm.s - 1, _xlfn.LAMBDA(_xlpm.x, INDEX(FREQUENCY(IF(_xlpm.fil_obs_def_series = 1, "", _xlpm.fil_grade_series), _xlpm.x), 2))), _xlpm.tp, _xlfn.MAP(_xlpm.s - 1, _xlfn.LAMBDA(_xlpm.x, INDEX(FREQUENCY(IF(_xlpm.fil_obs_def_series = 0, "", _xlpm.fil_grade_series), _xlpm.x), 2))), _xlpm.tpr, _xlpm.tp / MAX(_xlpm.tp), _xlpm.fpr, _xlpm.fp / MAX(_xlpm.fp), _xlpm.area, (_xlfn.DROP(_xlpm.tpr, 1) + _xlfn.DROP(_xlpm.tpr, -1)) * (_xlfn.DROP(_xlpm.fpr, 1) - _xlfn.DROP(_xlpm.fpr, -1)) * 0.5, SUM(_xlpm.area)))</definedName>
    <definedName name="AUC_snapshot">_xlfn.LAMBDA(_xlpm.obs_def_series,_xlpm.grade_series,_xlpm.snapshot_series,_xlpm.snapshot,_xlpm.partitioned_series,_xlpm.testing_scope,_xlfn.LET(_xlpm.crit, (_xlpm.snapshot_series = _xlpm.snapshot) * (_xlpm.partitioned_series = _xlpm.testing_scope), _xlpm.fil_obs_def_series, _xlfn._xlws.FILTER(_xlpm.obs_def_series, _xlpm.crit), _xlpm.fil_grade_series, _xlfn._xlws.FILTER(_xlpm.grade_series, _xlpm.crit), _xlpm.s, _xlfn._xlws.SORT(_xlfn.UNIQUE(_xlpm.fil_grade_series), , -1), _xlpm.fp, _xlfn.MAP(_xlpm.s - 1, _xlfn.LAMBDA(_xlpm.x, INDEX(FREQUENCY(IF(_xlpm.fil_obs_def_series = 1, "", _xlpm.fil_grade_series), _xlpm.x), 2))), _xlpm.tp, _xlfn.MAP(_xlpm.s - 1, _xlfn.LAMBDA(_xlpm.x, INDEX(FREQUENCY(IF(_xlpm.fil_obs_def_series = 0, "", _xlpm.fil_grade_series), _xlpm.x), 2))), _xlpm.tpr, _xlpm.tp / MAX(_xlpm.tp), _xlpm.fpr, _xlpm.fp / MAX(_xlpm.fp), _xlpm.area, (_xlfn.DROP(_xlpm.tpr, 1) + _xlfn.DROP(_xlpm.tpr, -1)) * (_xlfn.DROP(_xlpm.fpr, 1) - _xlfn.DROP(_xlpm.fpr, -1)) * 0.5, SUM(_xlpm.area)))</definedName>
    <definedName name="Bl" localSheetId="4">_xlfn.LAMBDA(_xlpm.K,_xlpm.F,_xlpm.v,_xlpm.w,_xlpm.F*_xlpm.w*_xlfn.NORM.S.DIST(_xlpm.w*(LN(_xlpm.F/_xlpm.K)+0.5*_xlpm.v^2)/_xlpm.v,TRUE)-_xlpm.K*_xlpm.w*_xlfn.NORM.S.DIST(_xlpm.w*(LN(_xlpm.F/_xlpm.K)-0.5*_xlpm.v^2)/_xlpm.v,TRUE))</definedName>
    <definedName name="Bl">_xlfn.LAMBDA(_xlpm.K,_xlpm.F,_xlpm.v,_xlpm.w,_xlpm.F*_xlpm.w*_xlfn.NORM.S.DIST(_xlpm.w*(LN(_xlpm.F/_xlpm.K)+0.5*_xlpm.v^2)/_xlpm.v,TRUE)-_xlpm.K*_xlpm.w*_xlfn.NORM.S.DIST(_xlpm.w*(LN(_xlpm.F/_xlpm.K)-0.5*_xlpm.v^2)/_xlpm.v,TRUE))</definedName>
    <definedName name="Calibration_MAE" localSheetId="4">_xlfn.LAMBDA(_xlpm.logistic_pd_series,_xlpm.obs_def_series,_xlpm.grade_series,_xlfn.LET(_xlpm.a, _xlfn.MAP(_xlfn._xlws.SORT(_xlfn.UNIQUE(_xlpm.grade_series)), _xlfn.LAMBDA(_xlpm.x, ABS(AVERAGE(_xlfn._xlws.FILTER(_xlpm.obs_def_series, _xlpm.grade_series = _xlpm.x)) - AVERAGE(_xlfn._xlws.FILTER(_xlpm.logistic_pd_series, _xlpm.grade_series = _xlpm.x))))), AVERAGE(_xlpm.a)))</definedName>
    <definedName name="Calibration_MAE">_xlfn.LAMBDA(_xlpm.logistic_pd_series,_xlpm.obs_def_series,_xlpm.grade_series,_xlfn.LET(_xlpm.a, _xlfn.MAP(_xlfn._xlws.SORT(_xlfn.UNIQUE(_xlpm.grade_series)), _xlfn.LAMBDA(_xlpm.x, ABS(AVERAGE(_xlfn._xlws.FILTER(_xlpm.obs_def_series, _xlpm.grade_series = _xlpm.x)) - AVERAGE(_xlfn._xlws.FILTER(_xlpm.logistic_pd_series, _xlpm.grade_series = _xlpm.x))))), AVERAGE(_xlpm.a)))</definedName>
    <definedName name="Calibration_Overall_Error" localSheetId="4">_xlfn.LAMBDA(_xlpm.obs_def_series,_xlpm.logistic_pd_series,_xlpm.grade_series,_xlfn.LET(_xlpm.avg_odr, _xlfn.MAP(_xlfn._xlws.SORT(_xlfn.UNIQUE(_xlpm.grade_series)), _xlfn.LAMBDA(_xlpm.x, AVERAGE(_xlfn._xlws.FILTER(_xlpm.obs_def_series, _xlpm.grade_series = _xlpm.x)))), _xlpm.avg_pd, _xlfn.MAP(_xlfn._xlws.SORT(_xlfn.UNIQUE(_xlpm.grade_series)), _xlfn.LAMBDA(_xlpm.x, AVERAGE(_xlfn._xlws.FILTER(_xlpm.logistic_pd_series, _xlpm.grade_series = _xlpm.x)))), _xlpm.grade_cnt, _xlfn.DROP(FREQUENCY(_xlpm.grade_series, _xlfn._xlws.SORT(_xlfn.UNIQUE(_xlpm.grade_series))), -1), _xlpm.dist, _xlpm.grade_cnt / COUNTA(_xlpm.grade_series), ABS(SUMPRODUCT(_xlpm.dist, _xlpm.avg_odr) - SUMPRODUCT(_xlpm.dist, _xlpm.avg_pd))))</definedName>
    <definedName name="Calibration_Overall_Error">_xlfn.LAMBDA(_xlpm.obs_def_series,_xlpm.logistic_pd_series,_xlpm.grade_series,_xlfn.LET(_xlpm.avg_odr, _xlfn.MAP(_xlfn._xlws.SORT(_xlfn.UNIQUE(_xlpm.grade_series)), _xlfn.LAMBDA(_xlpm.x, AVERAGE(_xlfn._xlws.FILTER(_xlpm.obs_def_series, _xlpm.grade_series = _xlpm.x)))), _xlpm.avg_pd, _xlfn.MAP(_xlfn._xlws.SORT(_xlfn.UNIQUE(_xlpm.grade_series)), _xlfn.LAMBDA(_xlpm.x, AVERAGE(_xlfn._xlws.FILTER(_xlpm.logistic_pd_series, _xlpm.grade_series = _xlpm.x)))), _xlpm.grade_cnt, _xlfn.DROP(FREQUENCY(_xlpm.grade_series, _xlfn._xlws.SORT(_xlfn.UNIQUE(_xlpm.grade_series))), -1), _xlpm.dist, _xlpm.grade_cnt / COUNTA(_xlpm.grade_series), ABS(SUMPRODUCT(_xlpm.dist, _xlpm.avg_odr) - SUMPRODUCT(_xlpm.dist, _xlpm.avg_pd))))</definedName>
    <definedName name="Calibration_Violations" localSheetId="4">_xlfn.LAMBDA(_xlpm.obs_def_series,_xlpm.logistic_pd_series,_xlpm.grade_series,_xlpm.conf_int,_xlfn.LET(_xlpm.avg_odr, _xlfn.MAP(_xlfn._xlws.SORT(_xlfn.UNIQUE(_xlpm.grade_series)), _xlfn.LAMBDA(_xlpm.x, AVERAGE(_xlfn._xlws.FILTER(_xlpm.obs_def_series, _xlpm.grade_series = _xlpm.x)))), _xlpm.avg_pd, _xlfn.MAP(_xlfn._xlws.SORT(_xlfn.UNIQUE(_xlpm.grade_series)), _xlfn.LAMBDA(_xlpm.x, AVERAGE(_xlfn._xlws.FILTER(_xlpm.logistic_pd_series, _xlpm.grade_series = _xlpm.x)))), _xlpm.grade_cnt, _xlfn.DROP(FREQUENCY(_xlpm.grade_series, _xlfn._xlws.SORT(_xlfn.UNIQUE(_xlpm.grade_series))), -1), _xlpm.sd, SQRT(_xlpm.avg_odr * (1 - _xlpm.avg_odr) / _xlpm.grade_cnt), _xlpm.z, _xlfn.NORM.S.INV(1 - (1 - _xlpm.conf_int) / 2), _xlpm.ll, _xlpm.avg_odr - _xlpm.z * _xlpm.sd, _xlpm.ul, _xlpm.avg_odr + _xlpm.z * _xlpm.sd, SUM(1 - ((_xlpm.avg_pd &gt;= _xlpm.ll) * (_xlpm.avg_pd &lt;= _xlpm.ul)))))</definedName>
    <definedName name="Calibration_Violations">_xlfn.LAMBDA(_xlpm.obs_def_series,_xlpm.logistic_pd_series,_xlpm.grade_series,_xlpm.conf_int,_xlfn.LET(_xlpm.avg_odr, _xlfn.MAP(_xlfn._xlws.SORT(_xlfn.UNIQUE(_xlpm.grade_series)), _xlfn.LAMBDA(_xlpm.x, AVERAGE(_xlfn._xlws.FILTER(_xlpm.obs_def_series, _xlpm.grade_series = _xlpm.x)))), _xlpm.avg_pd, _xlfn.MAP(_xlfn._xlws.SORT(_xlfn.UNIQUE(_xlpm.grade_series)), _xlfn.LAMBDA(_xlpm.x, AVERAGE(_xlfn._xlws.FILTER(_xlpm.logistic_pd_series, _xlpm.grade_series = _xlpm.x)))), _xlpm.grade_cnt, _xlfn.DROP(FREQUENCY(_xlpm.grade_series, _xlfn._xlws.SORT(_xlfn.UNIQUE(_xlpm.grade_series))), -1), _xlpm.sd, SQRT(_xlpm.avg_odr * (1 - _xlpm.avg_odr) / _xlpm.grade_cnt), _xlpm.z, _xlfn.NORM.S.INV(1 - (1 - _xlpm.conf_int) / 2), _xlpm.ll, _xlpm.avg_odr - _xlpm.z * _xlpm.sd, _xlpm.ul, _xlpm.avg_odr + _xlpm.z * _xlpm.sd, SUM(1 - ((_xlpm.avg_pd &gt;= _xlpm.ll) * (_xlpm.avg_pd &lt;= _xlpm.ul)))))</definedName>
    <definedName name="Cap" localSheetId="4">_xlfn.LAMBDA(_xlpm.t,_xlpm.T_alpha,_xlpm.T_beta,_xlpm.tau,_xlpm.sigma,_xlpm.N,_xlpm.K,_xlpm.w,_xlpm.dfs,_xlpm.tenors,_xlpm.N*_xlpm.tau*SUM(IF(_xlpm.tenors&gt;_xlpm.T_alpha,1,0)*IF(_xlpm.tenors&lt;=_xlpm.T_beta,1,0)*IFERROR(Diagram!Bl(_xlpm.K,Diagram!forward_rate(_xlpm.t,_xlpm.tenors-_xlpm.tau,_xlpm.tenors,_xlpm.dfs,_xlpm.tenors),_xlpm.sigma*SQRT(_xlpm.tenors-_xlpm.tau-_xlpm.t),_xlpm.w),0)*Diagram!get_df(_xlpm.tenors-_xlpm.t,_xlpm.dfs,_xlpm.tenors)))</definedName>
    <definedName name="Cap">_xlfn.LAMBDA(_xlpm.t,_xlpm.T_alpha,_xlpm.T_beta,_xlpm.tau,_xlpm.sigma,_xlpm.N,_xlpm.K,_xlpm.w,_xlpm.dfs,_xlpm.tenors,_xlpm.N*_xlpm.tau*SUM(IF(_xlpm.tenors&gt;_xlpm.T_alpha,1,0)*IF(_xlpm.tenors&lt;=_xlpm.T_beta,1,0)*IFERROR(Bl(_xlpm.K,forward_rate(_xlpm.t,_xlpm.tenors-_xlpm.tau,_xlpm.tenors,_xlpm.dfs,_xlpm.tenors),_xlpm.sigma*SQRT(_xlpm.tenors-_xlpm.tau-_xlpm.t),_xlpm.w),0)*get_df(_xlpm.tenors-_xlpm.t,_xlpm.dfs,_xlpm.tenors)))</definedName>
    <definedName name="CB" localSheetId="4">_xlfn.LAMBDA(_xlpm.t,_xlpm.T_alpha,_xlpm.T_beta,_xlpm.tau,_xlpm.N,_xlpm.C,_xlpm.dfs,_xlpm.tenors,_xlpm.N*_xlpm.C*_xlpm.tau*SUM(IF(_xlpm.tenors&gt;_xlpm.T_alpha,1,0)*IF(_xlpm.tenors&lt;=_xlpm.T_beta,1,0)*Diagram!get_df(_xlpm.tenors-_xlpm.t,_xlpm.dfs,_xlpm.tenors))+_xlpm.N*Diagram!get_df(_xlpm.T_beta-_xlpm.t,_xlpm.dfs,_xlpm.tenors))</definedName>
    <definedName name="CB">_xlfn.LAMBDA(_xlpm.t,_xlpm.T_alpha,_xlpm.T_beta,_xlpm.tau,_xlpm.N,_xlpm.C,_xlpm.dfs,_xlpm.tenors,_xlpm.N*_xlpm.C*_xlpm.tau*SUM(IF(_xlpm.tenors&gt;_xlpm.T_alpha,1,0)*IF(_xlpm.tenors&lt;=_xlpm.T_beta,1,0)*get_df(_xlpm.tenors-_xlpm.t,_xlpm.dfs,_xlpm.tenors))+_xlpm.N*get_df(_xlpm.T_beta-_xlpm.t,_xlpm.dfs,_xlpm.tenors))</definedName>
    <definedName name="CE">#REF!</definedName>
    <definedName name="CF" localSheetId="4">_xlfn.LAMBDA(_xlpm.r,_xlpm.type,_xlpm.m,_xlpm.tau,IF(_xlpm.type="Compound",(1+_xlpm.r/_xlpm.m)^(_xlpm.m*_xlpm.tau),IF(_xlpm.type="Simple",(1+_xlpm.r*_xlpm.tau),IF(_xlpm.type="Continuous",EXP(_xlpm.r*_xlpm.tau),""))))</definedName>
    <definedName name="CF">_xlfn.LAMBDA(_xlpm.r,_xlpm.type,_xlpm.m,_xlpm.tau,IF(_xlpm.type="Compound",(1+_xlpm.r/_xlpm.m)^(_xlpm.m*_xlpm.tau),IF(_xlpm.type="Simple",(1+_xlpm.r*_xlpm.tau),IF(_xlpm.type="Continuous",EXP(_xlpm.r*_xlpm.tau),""))))</definedName>
    <definedName name="CM">#REF!</definedName>
    <definedName name="Conc_HHI" localSheetId="4">_xlfn.LAMBDA(_xlpm.grade_series,SUMSQ(_xlfn.DROP(FREQUENCY(_xlpm.grade_series, _xlfn._xlws.SORT(_xlfn.UNIQUE(_xlpm.grade_series))), -1) / COUNTA(_xlpm.grade_series)))</definedName>
    <definedName name="Conc_HHI">_xlfn.LAMBDA(_xlpm.grade_series,SUMSQ(_xlfn.DROP(FREQUENCY(_xlpm.grade_series, _xlfn._xlws.SORT(_xlfn.UNIQUE(_xlpm.grade_series))), -1) / COUNTA(_xlpm.grade_series)))</definedName>
    <definedName name="Conc_Violation" localSheetId="4">_xlfn.LAMBDA(_xlpm.grade_series,_xlpm.threshold,SUM(--(_xlfn.DROP(FREQUENCY(_xlpm.grade_series, _xlfn._xlws.SORT(_xlfn.UNIQUE(_xlpm.grade_series))), -1) / COUNTA(_xlpm.grade_series) &gt; _xlpm.threshold)))</definedName>
    <definedName name="Conc_Violation">_xlfn.LAMBDA(_xlpm.grade_series,_xlpm.threshold,SUM(--(_xlfn.DROP(FREQUENCY(_xlpm.grade_series, _xlfn._xlws.SORT(_xlfn.UNIQUE(_xlpm.grade_series))), -1) / COUNTA(_xlpm.grade_series) &gt; _xlpm.threshold)))</definedName>
    <definedName name="Costs">#REF!</definedName>
    <definedName name="CriticalValueAsZ">#REF!</definedName>
    <definedName name="d">OFFSET([1]Historic!$A$7,0,0,COUNT([1]Historic!$A$1:$A$65536),1)</definedName>
    <definedName name="datesDropdown">#REF!</definedName>
    <definedName name="DF" localSheetId="4">_xlfn.LAMBDA(_xlpm.r,_xlpm.type,_xlpm.m,_xlpm.tau,1/Diagram!CF(_xlpm.r,_xlpm.type,_xlpm.m,_xlpm.tau))</definedName>
    <definedName name="DF">_xlfn.LAMBDA(_xlpm.r,_xlpm.type,_xlpm.m,_xlpm.tau,1/CF(_xlpm.r,_xlpm.type,_xlpm.m,_xlpm.tau))</definedName>
    <definedName name="Distance">#REF!</definedName>
    <definedName name="EAD_series" localSheetId="4">_xlfn.LAMBDA(_xlpm.def_qtr,_xlpm.period_series,_xlpm.limit,_xlpm.utilized,_xlpm.ccf_d,_xlpm.ccf_nd_tbl,_xlpm.scenario_series,_xlfn.SCAN(_xlpm.utilized, _xlpm.period_series, _xlfn.LAMBDA(_xlpm.x,_xlpm.y, IF(_xlpm.def_qtr &gt;= _xlpm.y, (_xlpm.x + IF(_xlpm.def_qtr = _xlpm.y, _xlpm.ccf_d, INDEX(HLOOKUP(INDEX(_xlpm.scenario_series, _xlpm.period_series), _xlpm.ccf_nd_tbl, 2, 0), _xlpm.y)) * (_xlpm.limit - _xlpm.x)), 0))))</definedName>
    <definedName name="EAD_series">_xlfn.LAMBDA(_xlpm.def_qtr,_xlpm.period_series,_xlpm.limit,_xlpm.utilized,_xlpm.ccf_d,_xlpm.ccf_nd_tbl,_xlpm.scenario_series,_xlfn.SCAN(_xlpm.utilized, _xlpm.period_series, _xlfn.LAMBDA(_xlpm.x,_xlpm.y, IF(_xlpm.def_qtr &gt;= _xlpm.y, (_xlpm.x + IF(_xlpm.def_qtr = _xlpm.y, _xlpm.ccf_d, INDEX(HLOOKUP(INDEX(_xlpm.scenario_series, _xlpm.period_series), _xlpm.ccf_nd_tbl, 2, 0), _xlpm.y)) * (_xlpm.limit - _xlpm.x)), 0))))</definedName>
    <definedName name="ECL_Month">#REF!</definedName>
    <definedName name="ed">#REF!</definedName>
    <definedName name="flattener" localSheetId="4">_xlfn.LAMBDA(_xlpm.base_curve,_xlpm.tenors,_xlpm.R_short,_xlpm.R_long,_xlpm.base_curve+0.8*_xlpm.R_short*EXP(-_xlpm.tenors/4)/10000-0.6*_xlpm.R_long*(1-EXP(-_xlpm.tenors/4))/10000)</definedName>
    <definedName name="flattener">_xlfn.LAMBDA(_xlpm.base_curve,_xlpm.tenors,_xlpm.R_short,_xlpm.R_long,_xlpm.base_curve+0.8*_xlpm.R_short*EXP(-_xlpm.tenors/4)/10000-0.6*_xlpm.R_long*(1-EXP(-_xlpm.tenors/4))/10000)</definedName>
    <definedName name="fn_Cum_PD" localSheetId="4">_xlfn.LAMBDA(_xlpm.MMULT_TM_series,_xlpm.n_ratings,_xlpm.p,_xlfn.DROP(_xlfn.REDUCE("", _xlfn.SEQUENCE(, _xlpm.p, 1, _xlpm.n_ratings + 1) + _xlpm.n_ratings - 1, _xlfn.LAMBDA(_xlpm.x,_xlpm.y, _xlfn.HSTACK(_xlpm.x, _xlfn.CHOOSECOLS(_xlpm.MMULT_TM_series, _xlpm.y)))), , 1))</definedName>
    <definedName name="fn_Cum_PD">_xlfn.LAMBDA(_xlpm.MMULT_TM_series,_xlpm.n_ratings,_xlpm.p,_xlfn.DROP(_xlfn.REDUCE("", _xlfn.SEQUENCE(, _xlpm.p, 1, _xlpm.n_ratings + 1) + _xlpm.n_ratings - 1, _xlfn.LAMBDA(_xlpm.x,_xlpm.y, _xlfn.HSTACK(_xlpm.x, _xlfn.CHOOSECOLS(_xlpm.MMULT_TM_series, _xlpm.y)))), , 1))</definedName>
    <definedName name="fn_Cum_PD_series" localSheetId="4">_xlfn.LAMBDA(_xlpm.MMULT_TM_series,_xlpm.n_ratings,_xlpm.periods,_xlfn.HSTACK(_xlfn.VSTACK("", "CRR " &amp; _xlfn.SEQUENCE(_xlpm.n_ratings)), _xlfn.VSTACK(_xlfn.SEQUENCE(, _xlpm.periods), _xlfn.DROP(_xlfn.REDUCE("", _xlfn.SEQUENCE(, _xlpm.periods, 1, _xlpm.n_ratings + 1) + _xlpm.n_ratings - 1, _xlfn.LAMBDA(_xlpm.x,_xlpm.y, _xlfn.HSTACK(_xlpm.x, _xlfn.CHOOSECOLS(_xlfn.DROP(_xlpm.MMULT_TM_series, 1, 1), _xlpm.y)))), , 1))))</definedName>
    <definedName name="fn_Cum_PD_series">_xlfn.LAMBDA(_xlpm.MMULT_TM_series,_xlpm.n_ratings,_xlpm.periods,_xlfn.HSTACK(_xlfn.VSTACK("", "CRR " &amp; _xlfn.SEQUENCE(_xlpm.n_ratings)), _xlfn.VSTACK(_xlfn.SEQUENCE(, _xlpm.periods), _xlfn.DROP(_xlfn.REDUCE("", _xlfn.SEQUENCE(, _xlpm.periods, 1, _xlpm.n_ratings + 1) + _xlpm.n_ratings - 1, _xlfn.LAMBDA(_xlpm.x,_xlpm.y, _xlfn.HSTACK(_xlpm.x, _xlfn.CHOOSECOLS(_xlfn.DROP(_xlpm.MMULT_TM_series, 1, 1), _xlpm.y)))), , 1))))</definedName>
    <definedName name="fn_cum_r" localSheetId="4">_xlfn.LAMBDA(_xlpm.cf,_xlfn.MAP(_xlfn._xlws.SORT(_xlfn.SEQUENCE(ROWS(_xlfn.TOCOL(_xlpm.cf))),,-1),_xlfn.LAMBDA(_xlpm.a,SUM(_xlfn.TAKE(_xlfn.TOCOL(_xlpm.cf),-_xlpm.a)))))</definedName>
    <definedName name="fn_cum_r">_xlfn.LAMBDA(_xlpm.cf,_xlfn.MAP(_xlfn._xlws.SORT(_xlfn.SEQUENCE(ROWS(_xlfn.TOCOL(_xlpm.cf))),,-1),_xlfn.LAMBDA(_xlpm.a,SUM(_xlfn.TAKE(_xlfn.TOCOL(_xlpm.cf),-_xlpm.a)))))</definedName>
    <definedName name="fn_Marginal_PD" localSheetId="4">_xlfn.LAMBDA(_xlpm.Cum_PD_series,_xlfn.HSTACK(_xlfn.TAKE(_xlpm.Cum_PD_series, , 1), _xlfn.DROP(_xlpm.Cum_PD_series, , 1) - _xlfn.DROP(_xlpm.Cum_PD_series, , -1)))</definedName>
    <definedName name="fn_Marginal_PD">_xlfn.LAMBDA(_xlpm.Cum_PD_series,_xlfn.HSTACK(_xlfn.TAKE(_xlpm.Cum_PD_series, , 1), _xlfn.DROP(_xlpm.Cum_PD_series, , 1) - _xlfn.DROP(_xlpm.Cum_PD_series, , -1)))</definedName>
    <definedName name="fn_Marginal_PD_series" localSheetId="4">_xlfn.LAMBDA(_xlpm.Cum_PD_series,_xlpm.n_ratings,_xlpm.periods,_xlfn.HSTACK(_xlfn.VSTACK("", "CRR " &amp; _xlfn.SEQUENCE(_xlpm.n_ratings)), _xlfn.VSTACK(_xlfn.SEQUENCE(, _xlpm.periods), _xlfn.HSTACK(_xlfn.TAKE(_xlfn.DROP(_xlpm.Cum_PD_series, 1, 1), , 1), _xlfn.DROP(_xlpm.Cum_PD_series, 1, 2) - _xlfn.DROP(_xlfn.DROP(_xlpm.Cum_PD_series, 1, 1), , -1)))))</definedName>
    <definedName name="fn_Marginal_PD_series">_xlfn.LAMBDA(_xlpm.Cum_PD_series,_xlpm.n_ratings,_xlpm.periods,_xlfn.HSTACK(_xlfn.VSTACK("", "CRR " &amp; _xlfn.SEQUENCE(_xlpm.n_ratings)), _xlfn.VSTACK(_xlfn.SEQUENCE(, _xlpm.periods), _xlfn.HSTACK(_xlfn.TAKE(_xlfn.DROP(_xlpm.Cum_PD_series, 1, 1), , 1), _xlfn.DROP(_xlpm.Cum_PD_series, 1, 2) - _xlfn.DROP(_xlfn.DROP(_xlpm.Cum_PD_series, 1, 1), , -1)))))</definedName>
    <definedName name="fn_mat" localSheetId="4">_xlfn.LAMBDA(_xlpm.mat,_xlpm.z,_xlpm.rho,_xlfn.LET(_xlpm.tr_mat, _xlfn.TOCOL(_xlpm.mat), _xlpm.rws, ROWS(_xlpm.tr_mat), _xlpm.S, _xlfn.SEQUENCE(_xlpm.rws), _xlpm.h_1, _xlfn.SORTBY(_xlfn.SCAN(0, _xlfn.SORTBY(_xlpm.tr_mat, _xlpm.S, -1), _xlfn.LAMBDA(_xlpm.x,_xlpm.y, _xlpm.x + _xlpm.y)), _xlpm.S, -1), _xlpm.h_2, _xlfn.VSTACK(_xlfn.DROP(_xlpm.h_1, 1), 0), _xlpm.k, 0.0000000000001%, _xlpm.h_3, _xlfn.NORM.S.INV(_xlfn.IFS(_xlpm.h_1 = 1, 1 - _xlpm.k, _xlpm.h_1 = 0, _xlpm.k, 1, _xlpm.h_1)), _xlpm.h_4, _xlfn.NORM.S.INV(_xlfn.IFS(_xlpm.h_2 = 1, 1 - _xlpm.k, _xlpm.h_2 = 0, _xlpm.k, 1, _xlpm.h_2)), _xlfn.MAP(_xlpm.h_3, _xlpm.h_4, _xlfn.LAMBDA(_xlpm.a,_xlpm.b, _xlfn.NORM.S.DIST((_xlpm.a - SQRT(_xlpm.rho) * _xlpm.z) / SQRT(1 - _xlpm.rho), TRUE) - _xlfn.NORM.S.DIST((_xlpm.b - SQRT(_xlpm.rho) * _xlpm.z) / SQRT(1 - _xlpm.rho), TRUE)))))</definedName>
    <definedName name="fn_mat">_xlfn.LAMBDA(_xlpm.mat,_xlpm.z,_xlpm.rho,_xlfn.LET(_xlpm.tr_mat, _xlfn.TOCOL(_xlpm.mat), _xlpm.rws, ROWS(_xlpm.tr_mat), _xlpm.S, _xlfn.SEQUENCE(_xlpm.rws), _xlpm.h_1, _xlfn.SORTBY(_xlfn.SCAN(0, _xlfn.SORTBY(_xlpm.tr_mat, _xlpm.S, -1), _xlfn.LAMBDA(_xlpm.x,_xlpm.y, _xlpm.x + _xlpm.y)), _xlpm.S, -1), _xlpm.h_2, _xlfn.VSTACK(_xlfn.DROP(_xlpm.h_1, 1), 0), _xlpm.k, 0.0000000000001%, _xlpm.h_3, _xlfn.NORM.S.INV(_xlfn.IFS(_xlpm.h_1 = 1, 1 - _xlpm.k, _xlpm.h_1 = 0, _xlpm.k, 1, _xlpm.h_1)), _xlpm.h_4, _xlfn.NORM.S.INV(_xlfn.IFS(_xlpm.h_2 = 1, 1 - _xlpm.k, _xlpm.h_2 = 0, _xlpm.k, 1, _xlpm.h_2)), _xlfn.MAP(_xlpm.h_3, _xlpm.h_4, _xlfn.LAMBDA(_xlpm.a,_xlpm.b, _xlfn.NORM.S.DIST((_xlpm.a - SQRT(_xlpm.rho) * _xlpm.z) / SQRT(1 - _xlpm.rho), TRUE) - _xlfn.NORM.S.DIST((_xlpm.b - SQRT(_xlpm.rho) * _xlpm.z) / SQRT(1 - _xlpm.rho), TRUE)))))</definedName>
    <definedName name="fn_MMULT_TM" localSheetId="4">_xlfn.LAMBDA(_xlpm.Qtr_TM_series,_xlpm.n_ratings,_xlpm.p,_xlfn.DROP(_xlfn.DROP(_xlfn.REDUCE(_xlfn.EXPAND(_xlfn.MUNIT(_xlpm.n_ratings), , _xlpm.n_ratings + 1, ""), _xlfn.SEQUENCE(, _xlpm.p, 1, _xlpm.n_ratings + 1), _xlfn.LAMBDA(_xlpm.x,_xlpm.y, _xlfn.HSTACK(_xlpm.x, _xlfn.EXPAND(MMULT(_xlfn.TAKE(_xlfn.DROP(_xlpm.x, , -1), , -_xlpm.n_ratings), _xlfn.CHOOSECOLS(_xlpm.Qtr_TM_series, _xlfn.SEQUENCE(, _xlpm.n_ratings, _xlpm.y))), , _xlpm.n_ratings + 1, "")))), , _xlpm.n_ratings + 1), , -1))</definedName>
    <definedName name="fn_MMULT_TM">_xlfn.LAMBDA(_xlpm.Qtr_TM_series,_xlpm.n_ratings,_xlpm.p,_xlfn.DROP(_xlfn.DROP(_xlfn.REDUCE(_xlfn.EXPAND(_xlfn.MUNIT(_xlpm.n_ratings), , _xlpm.n_ratings + 1, ""), _xlfn.SEQUENCE(, _xlpm.p, 1, _xlpm.n_ratings + 1), _xlfn.LAMBDA(_xlpm.x,_xlpm.y, _xlfn.HSTACK(_xlpm.x, _xlfn.EXPAND(MMULT(_xlfn.TAKE(_xlfn.DROP(_xlpm.x, , -1), , -_xlpm.n_ratings), _xlfn.CHOOSECOLS(_xlpm.Qtr_TM_series, _xlfn.SEQUENCE(, _xlpm.n_ratings, _xlpm.y))), , _xlpm.n_ratings + 1, "")))), , _xlpm.n_ratings + 1), , -1))</definedName>
    <definedName name="fn_MMULT_TM_series" localSheetId="4">_xlfn.LAMBDA(_xlpm.Qtr_TM_series,_xlpm.n_ratings,_xlpm.periods,_xlfn.HSTACK(_xlfn.VSTACK("", "CRR " &amp; _xlfn.SEQUENCE(_xlpm.n_ratings)), _xlfn.VSTACK(_xlfn.DROP(_xlfn.REDUCE("", _xlfn.SEQUENCE(, _xlpm.periods), _xlfn.LAMBDA(_xlpm.x,_xlpm.y, _xlfn.HSTACK(_xlpm.x, "", "CRR " &amp; _xlfn.SEQUENCE(, _xlpm.n_ratings)))), , 2), _xlfn.DROP(_xlfn.DROP(_xlfn.REDUCE(_xlfn.EXPAND(_xlfn.MUNIT(_xlpm.n_ratings), , _xlpm.n_ratings + 1, ""), _xlfn.SEQUENCE(, _xlpm.periods, 1, _xlpm.n_ratings + 1), _xlfn.LAMBDA(_xlpm.x,_xlpm.y, _xlfn.HSTACK(_xlpm.x, _xlfn.EXPAND(MMULT(_xlfn.TAKE(_xlfn.DROP(_xlpm.x, , -1), , -_xlpm.n_ratings), _xlfn.CHOOSECOLS(_xlfn.DROP(_xlpm.Qtr_TM_series, 1, 1), _xlfn.SEQUENCE(, _xlpm.n_ratings, _xlpm.y))), , _xlpm.n_ratings + 1, "")))), , _xlpm.n_ratings + 1), , -1))))</definedName>
    <definedName name="fn_MMULT_TM_series">_xlfn.LAMBDA(_xlpm.Qtr_TM_series,_xlpm.n_ratings,_xlpm.periods,_xlfn.HSTACK(_xlfn.VSTACK("", "CRR " &amp; _xlfn.SEQUENCE(_xlpm.n_ratings)), _xlfn.VSTACK(_xlfn.DROP(_xlfn.REDUCE("", _xlfn.SEQUENCE(, _xlpm.periods), _xlfn.LAMBDA(_xlpm.x,_xlpm.y, _xlfn.HSTACK(_xlpm.x, "", "CRR " &amp; _xlfn.SEQUENCE(, _xlpm.n_ratings)))), , 2), _xlfn.DROP(_xlfn.DROP(_xlfn.REDUCE(_xlfn.EXPAND(_xlfn.MUNIT(_xlpm.n_ratings), , _xlpm.n_ratings + 1, ""), _xlfn.SEQUENCE(, _xlpm.periods, 1, _xlpm.n_ratings + 1), _xlfn.LAMBDA(_xlpm.x,_xlpm.y, _xlfn.HSTACK(_xlpm.x, _xlfn.EXPAND(MMULT(_xlfn.TAKE(_xlfn.DROP(_xlpm.x, , -1), , -_xlpm.n_ratings), _xlfn.CHOOSECOLS(_xlfn.DROP(_xlpm.Qtr_TM_series, 1, 1), _xlfn.SEQUENCE(, _xlpm.n_ratings, _xlpm.y))), , _xlpm.n_ratings + 1, "")))), , _xlpm.n_ratings + 1), , -1))))</definedName>
    <definedName name="fn_QTR_TM" localSheetId="4">_xlfn.LAMBDA(_xlpm.Annual_TM,_xlfn.LET(_xlpm.Identity_Matrix, _xlfn.MUNIT(ROWS(_xlpm.Annual_TM)), _xlpm.d, _xlpm.Annual_TM - _xlpm.Identity_Matrix, _xlpm.G, (_xlpm.d) - 0.5 * MMULT(_xlpm.d, _xlpm.d) + (1 / 3) * MMULT(_xlpm.d, MMULT(_xlpm.d, _xlpm.d)) - (1 / 4) * MMULT(_xlpm.d, MMULT(_xlpm.d, MMULT(_xlpm.d, _xlpm.d))) + (1 / 5) * MMULT(_xlpm.d, MMULT(_xlpm.d, MMULT(_xlpm.d, MMULT(_xlpm.d, _xlpm.d)))), _xlpm.Q, _xlpm.G / 4, _xlpm._3m_TM, _xlpm.Identity_Matrix + _xlpm.Q + MMULT(_xlpm.Q, _xlpm.Q) / 2 + MMULT(_xlpm.Q, MMULT(_xlpm.Q, _xlpm.Q)) / 6 + MMULT(_xlpm.Q, MMULT(_xlpm.Q, MMULT(_xlpm.Q, _xlpm.Q))) / 24 + MMULT(_xlpm.Q, MMULT(_xlpm.Q, MMULT(_xlpm.Q, MMULT(_xlpm.Q, _xlpm.Q)))) / 120, _xlpm.s, IF(_xlpm._3m_TM &lt; 0, 0, _xlpm._3m_TM), _xlpm.s / _xlfn.BYROW(_xlpm.s, _xlfn.LAMBDA(_xlpm.t, SUM(_xlpm.t)))))</definedName>
    <definedName name="fn_QTR_TM">_xlfn.LAMBDA(_xlpm.Annual_TM,_xlfn.LET(_xlpm.Identity_Matrix, _xlfn.MUNIT(ROWS(_xlpm.Annual_TM)), _xlpm.d, _xlpm.Annual_TM - _xlpm.Identity_Matrix, _xlpm.G, (_xlpm.d) - 0.5 * MMULT(_xlpm.d, _xlpm.d) + (1 / 3) * MMULT(_xlpm.d, MMULT(_xlpm.d, _xlpm.d)) - (1 / 4) * MMULT(_xlpm.d, MMULT(_xlpm.d, MMULT(_xlpm.d, _xlpm.d))) + (1 / 5) * MMULT(_xlpm.d, MMULT(_xlpm.d, MMULT(_xlpm.d, MMULT(_xlpm.d, _xlpm.d)))), _xlpm.Q, _xlpm.G / 4, _xlpm._3m_TM, _xlpm.Identity_Matrix + _xlpm.Q + MMULT(_xlpm.Q, _xlpm.Q) / 2 + MMULT(_xlpm.Q, MMULT(_xlpm.Q, _xlpm.Q)) / 6 + MMULT(_xlpm.Q, MMULT(_xlpm.Q, MMULT(_xlpm.Q, _xlpm.Q))) / 24 + MMULT(_xlpm.Q, MMULT(_xlpm.Q, MMULT(_xlpm.Q, MMULT(_xlpm.Q, _xlpm.Q)))) / 120, _xlpm.s, IF(_xlpm._3m_TM &lt; 0, 0, _xlpm._3m_TM), _xlpm.s / _xlfn.BYROW(_xlpm.s, _xlfn.LAMBDA(_xlpm.t, SUM(_xlpm.t)))))</definedName>
    <definedName name="fn_QTR_TM_series" localSheetId="4">_xlfn.LAMBDA(_xlpm.Annual_TM_series,_xlpm.n_ratings,_xlpm.periods,_xlfn.HSTACK(_xlfn.VSTACK("", "CRR " &amp; _xlfn.SEQUENCE(_xlpm.n_ratings)), _xlfn.VSTACK(_xlfn.DROP(_xlfn.REDUCE("", _xlfn.SEQUENCE(, _xlpm.periods), _xlfn.LAMBDA(_xlpm.x,_xlpm.y, _xlfn.HSTACK(_xlpm.x, "", "CRR " &amp; _xlfn.SEQUENCE(, _xlpm.n_ratings)))), , 2), _xlfn.DROP(_xlfn.DROP(_xlfn.REDUCE("", _xlfn.SEQUENCE(, _xlpm.periods, 1, _xlpm.n_ratings + 1), _xlfn.LAMBDA(_xlpm.x,_xlpm.y, _xlfn.HSTACK(_xlpm.x, _xlfn.EXPAND(Diagram!fn_QTR_TM(_xlfn.CHOOSECOLS(_xlfn.DROP(_xlpm.Annual_TM_series, 1, 1), _xlfn.SEQUENCE(, _xlpm.n_ratings, _xlpm.y))), , _xlpm.n_ratings + 1, "")))), , 1), , -1))))</definedName>
    <definedName name="fn_QTR_TM_series">_xlfn.LAMBDA(_xlpm.Annual_TM_series,_xlpm.n_ratings,_xlpm.periods,_xlfn.HSTACK(_xlfn.VSTACK("", "CRR " &amp; _xlfn.SEQUENCE(_xlpm.n_ratings)), _xlfn.VSTACK(_xlfn.DROP(_xlfn.REDUCE("", _xlfn.SEQUENCE(, _xlpm.periods), _xlfn.LAMBDA(_xlpm.x,_xlpm.y, _xlfn.HSTACK(_xlpm.x, "", "CRR " &amp; _xlfn.SEQUENCE(, _xlpm.n_ratings)))), , 2), _xlfn.DROP(_xlfn.DROP(_xlfn.REDUCE("", _xlfn.SEQUENCE(, _xlpm.periods, 1, _xlpm.n_ratings + 1), _xlfn.LAMBDA(_xlpm.x,_xlpm.y, _xlfn.HSTACK(_xlpm.x, _xlfn.EXPAND(fn_QTR_TM(_xlfn.CHOOSECOLS(_xlfn.DROP(_xlpm.Annual_TM_series, 1, 1), _xlfn.SEQUENCE(, _xlpm.n_ratings, _xlpm.y))), , _xlpm.n_ratings + 1, "")))), , 1), , -1))))</definedName>
    <definedName name="fnPIT_TM" localSheetId="4">_xlfn.LAMBDA(_xlpm.TTC_TM,_xlpm.Approach,_xlpm.k,_xlfn.SWITCH(_xlpm.Approach, "scalar", _xlfn.LET(_xlpm.absorb_sts, _xlfn.DROP(_xlpm.TTC_TM, -1), _xlpm.pd, _xlpm.k * _xlfn.TAKE(_xlpm.absorb_sts, , -1), _xlpm.r, _xlfn.DROP(_xlpm.absorb_sts, , -1), _xlpm.brs, _xlfn.BYROW(_xlpm.r, _xlfn.LAMBDA(_xlpm.x, SUM(_xlpm.x))), _xlfn.VSTACK(_xlfn.HSTACK((_xlpm.r / _xlpm.brs) * (1 - _xlpm.pd), _xlpm.pd), _xlfn.TAKE(_xlpm.TTC_TM, -1))), "z_shift", _xlfn.LET(_xlpm.lb, _xlfn.DROP(_xlfn.REDUCE("", _xlfn.SEQUENCE(ROWS(_xlpm.TTC_TM) - 1), _xlfn.LAMBDA(_xlpm.q,_xlpm.w, _xlfn.VSTACK(_xlpm.q, _xlfn.HSTACK(-_xlfn.DROP(_xlfn.NORM.S.INV(_xlfn.SCAN(0, _xlfn.CHOOSEROWS(_xlpm.TTC_TM, _xlpm.w), _xlfn.LAMBDA(_xlpm.x,_xlpm.y, _xlpm.x + _xlpm.y))), , -1), -10000)))), 1), _xlpm.ub, _xlfn.DROP(_xlfn.REDUCE("", _xlfn.SEQUENCE(ROWS(_xlpm.TTC_TM) - 1), _xlfn.LAMBDA(_xlpm.q,_xlpm.w, _xlfn.VSTACK(_xlpm.q, _xlfn.HSTACK(10000, -_xlfn.DROP(_xlfn.NORM.S.INV(_xlfn.SCAN(0, _xlfn.CHOOSEROWS(_xlpm.TTC_TM, _xlpm.w), _xlfn.LAMBDA(_xlpm.x,_xlpm.y, _xlpm.x + _xlpm.y))), , -1))))), 1), _xlpm.z, INDEX(_xlpm.k, 1), _xlpm.rho, INDEX(_xlpm.k, 2), _xlfn.VSTACK(_xlfn.NORM.S.DIST((_xlpm.ub - SQRT(_xlpm.rho) * _xlpm.z) / SQRT(1 - _xlpm.rho), 1) - _xlfn.NORM.S.DIST((_xlpm.lb - SQRT(_xlpm.rho) * _xlpm.z) / SQRT(1 - _xlpm.rho), 1), _xlfn.TAKE(_xlpm.TTC_TM, -1)))))</definedName>
    <definedName name="fnPIT_TM">_xlfn.LAMBDA(_xlpm.TTC_TM,_xlpm.Approach,_xlpm.k,_xlfn.SWITCH(_xlpm.Approach, "scalar", _xlfn.LET(_xlpm.absorb_sts, _xlfn.DROP(_xlpm.TTC_TM, -1), _xlpm.pd, _xlpm.k * _xlfn.TAKE(_xlpm.absorb_sts, , -1), _xlpm.r, _xlfn.DROP(_xlpm.absorb_sts, , -1), _xlpm.brs, _xlfn.BYROW(_xlpm.r, _xlfn.LAMBDA(_xlpm.x, SUM(_xlpm.x))), _xlfn.VSTACK(_xlfn.HSTACK((_xlpm.r / _xlpm.brs) * (1 - _xlpm.pd), _xlpm.pd), _xlfn.TAKE(_xlpm.TTC_TM, -1))), "z_shift", _xlfn.LET(_xlpm.lb, _xlfn.DROP(_xlfn.REDUCE("", _xlfn.SEQUENCE(ROWS(_xlpm.TTC_TM) - 1), _xlfn.LAMBDA(_xlpm.q,_xlpm.w, _xlfn.VSTACK(_xlpm.q, _xlfn.HSTACK(-_xlfn.DROP(_xlfn.NORM.S.INV(_xlfn.SCAN(0, _xlfn.CHOOSEROWS(_xlpm.TTC_TM, _xlpm.w), _xlfn.LAMBDA(_xlpm.x,_xlpm.y, _xlpm.x + _xlpm.y))), , -1), -10000)))), 1), _xlpm.ub, _xlfn.DROP(_xlfn.REDUCE("", _xlfn.SEQUENCE(ROWS(_xlpm.TTC_TM) - 1), _xlfn.LAMBDA(_xlpm.q,_xlpm.w, _xlfn.VSTACK(_xlpm.q, _xlfn.HSTACK(10000, -_xlfn.DROP(_xlfn.NORM.S.INV(_xlfn.SCAN(0, _xlfn.CHOOSEROWS(_xlpm.TTC_TM, _xlpm.w), _xlfn.LAMBDA(_xlpm.x,_xlpm.y, _xlpm.x + _xlpm.y))), , -1))))), 1), _xlpm.z, INDEX(_xlpm.k, 1), _xlpm.rho, INDEX(_xlpm.k, 2), _xlfn.VSTACK(_xlfn.NORM.S.DIST((_xlpm.ub - SQRT(_xlpm.rho) * _xlpm.z) / SQRT(1 - _xlpm.rho), 1) - _xlfn.NORM.S.DIST((_xlpm.lb - SQRT(_xlpm.rho) * _xlpm.z) / SQRT(1 - _xlpm.rho), 1), _xlfn.TAKE(_xlpm.TTC_TM, -1)))))</definedName>
    <definedName name="fnPIT_TM_MMULT_scalar" localSheetId="4">_xlfn.LAMBDA(_xlpm.TTC_TM,_xlpm.scalar_rng,_xlfn.LET(_xlpm.sr, _xlfn.TOCOL(_xlpm.scalar_rng), _xlpm.n, ROWS(_xlpm.sr), _xlpm.f, Diagram!fnPIT_TM(_xlpm.TTC_TM, "scalar", _xlfn.TAKE(_xlpm.sr, 1)), IF(_xlpm.n = 1, _xlpm.f, _xlfn.REDUCE(_xlpm.f, _xlfn.DROP(_xlpm.sr, 1), _xlfn.LAMBDA(_xlpm.x,_xlpm.y, MMULT(_xlpm.x, Diagram!fnPIT_TM(_xlpm.TTC_TM, "scalar", _xlpm.y)))))))</definedName>
    <definedName name="fnPIT_TM_MMULT_scalar">_xlfn.LAMBDA(_xlpm.TTC_TM,_xlpm.scalar_rng,_xlfn.LET(_xlpm.sr, _xlfn.TOCOL(_xlpm.scalar_rng), _xlpm.n, ROWS(_xlpm.sr), _xlpm.f, fnPIT_TM(_xlpm.TTC_TM, "scalar", _xlfn.TAKE(_xlpm.sr, 1)), IF(_xlpm.n = 1, _xlpm.f, _xlfn.REDUCE(_xlpm.f, _xlfn.DROP(_xlpm.sr, 1), _xlfn.LAMBDA(_xlpm.x,_xlpm.y, MMULT(_xlpm.x, fnPIT_TM(_xlpm.TTC_TM, "scalar", _xlpm.y)))))))</definedName>
    <definedName name="fnPIT_TM_MMULT_shift" localSheetId="4">_xlfn.LAMBDA(_xlpm.TTC_TM,_xlpm.z_rng,_xlpm.rho,_xlfn.LET(_xlpm.sr, _xlfn.TOCOL(_xlpm.z_rng), _xlpm.n, ROWS(_xlpm.sr), _xlpm.f, Diagram!fnPIT_TM(_xlpm.TTC_TM, "z_shift", _xlfn.VSTACK(_xlfn.TAKE(_xlpm.sr, 1), _xlpm.rho)), IF(_xlpm.n = 1, _xlpm.f, _xlfn.REDUCE(_xlpm.f, _xlfn.DROP(_xlpm.sr, 1), _xlfn.LAMBDA(_xlpm.x,_xlpm.y, MMULT(_xlpm.x, Diagram!fnPIT_TM(_xlpm.TTC_TM, "z_shift", _xlfn.VSTACK(_xlpm.y, _xlpm.rho))))))))</definedName>
    <definedName name="fnPIT_TM_MMULT_shift">_xlfn.LAMBDA(_xlpm.TTC_TM,_xlpm.z_rng,_xlpm.rho,_xlfn.LET(_xlpm.sr, _xlfn.TOCOL(_xlpm.z_rng), _xlpm.n, ROWS(_xlpm.sr), _xlpm.f, fnPIT_TM(_xlpm.TTC_TM, "z_shift", _xlfn.VSTACK(_xlfn.TAKE(_xlpm.sr, 1), _xlpm.rho)), IF(_xlpm.n = 1, _xlpm.f, _xlfn.REDUCE(_xlpm.f, _xlfn.DROP(_xlpm.sr, 1), _xlfn.LAMBDA(_xlpm.x,_xlpm.y, MMULT(_xlpm.x, fnPIT_TM(_xlpm.TTC_TM, "z_shift", _xlfn.VSTACK(_xlpm.y, _xlpm.rho))))))))</definedName>
    <definedName name="fnPIT_TM_series" localSheetId="4">_xlfn.LAMBDA(_xlpm.TTC_TM,_xlpm.Approach,_xlpm.z_series,_xlpm.rho,_xlpm.n_ratings,_xlpm.periods,_xlfn.HSTACK(_xlfn.VSTACK("", "CRR " &amp; _xlfn.SEQUENCE(_xlpm.n_ratings)), _xlfn.VSTACK(_xlfn.DROP(_xlfn.REDUCE("", _xlfn.SEQUENCE(, _xlpm.periods), _xlfn.LAMBDA(_xlpm.x,_xlpm.y, _xlfn.HSTACK(_xlpm.x, "", "CRR " &amp; _xlfn.SEQUENCE(, _xlpm.n_ratings)))), , 2), _xlfn.DROP(_xlfn.DROP(_xlfn.REDUCE("", _xlpm.z_series, _xlfn.LAMBDA(_xlpm.x,_xlpm.y, _xlfn.HSTACK(_xlpm.x, _xlfn.EXPAND(Diagram!fnPIT_TM(_xlpm.TTC_TM, _xlpm.Approach, _xlfn.VSTACK(_xlpm.y, _xlpm.rho)), , _xlpm.n_ratings + 1, "")))), , 1), , -1))))</definedName>
    <definedName name="fnPIT_TM_series">_xlfn.LAMBDA(_xlpm.TTC_TM,_xlpm.Approach,_xlpm.z_series,_xlpm.rho,_xlpm.n_ratings,_xlpm.periods,_xlfn.HSTACK(_xlfn.VSTACK("", "CRR " &amp; _xlfn.SEQUENCE(_xlpm.n_ratings)), _xlfn.VSTACK(_xlfn.DROP(_xlfn.REDUCE("", _xlfn.SEQUENCE(, _xlpm.periods), _xlfn.LAMBDA(_xlpm.x,_xlpm.y, _xlfn.HSTACK(_xlpm.x, "", "CRR " &amp; _xlfn.SEQUENCE(, _xlpm.n_ratings)))), , 2), _xlfn.DROP(_xlfn.DROP(_xlfn.REDUCE("", _xlpm.z_series, _xlfn.LAMBDA(_xlpm.x,_xlpm.y, _xlfn.HSTACK(_xlpm.x, _xlfn.EXPAND(fnPIT_TM(_xlpm.TTC_TM, _xlpm.Approach, _xlfn.VSTACK(_xlpm.y, _xlpm.rho)), , _xlpm.n_ratings + 1, "")))), , 1), , -1))))</definedName>
    <definedName name="fnReverse" localSheetId="4">_xlfn.LAMBDA(_xlpm.arr,_xlpm.RtL,_xlpm.BtT,_xlfn.SORTBY(_xlfn.SORTBY(_xlpm.arr, _xlfn.SEQUENCE(, COLUMNS(_xlpm.arr)), _xlpm.RtL), _xlfn.SEQUENCE(ROWS(_xlpm.arr)), _xlpm.BtT))</definedName>
    <definedName name="fnReverse">_xlfn.LAMBDA(_xlpm.arr,_xlpm.RtL,_xlpm.BtT,_xlfn.SORTBY(_xlfn.SORTBY(_xlpm.arr, _xlfn.SEQUENCE(, COLUMNS(_xlpm.arr)), _xlpm.RtL), _xlfn.SEQUENCE(ROWS(_xlpm.arr)), _xlpm.BtT))</definedName>
    <definedName name="forward_rate" localSheetId="4">_xlfn.LAMBDA(_xlpm.t,_xlpm.T_1,_xlpm.T_2,_xlpm.dfs,_xlpm.tenors,(1/(_xlpm.T_2-_xlpm.T_1))*(Diagram!get_df(_xlpm.T_1-_xlpm.t,_xlpm.dfs,_xlpm.tenors)/Diagram!get_df(_xlpm.T_2-_xlpm.t,_xlpm.dfs,_xlpm.tenors)-1))</definedName>
    <definedName name="forward_rate">_xlfn.LAMBDA(_xlpm.t,_xlpm.T_1,_xlpm.T_2,_xlpm.dfs,_xlpm.tenors,(1/(_xlpm.T_2-_xlpm.T_1))*(get_df(_xlpm.T_1-_xlpm.t,_xlpm.dfs,_xlpm.tenors)/get_df(_xlpm.T_2-_xlpm.t,_xlpm.dfs,_xlpm.tenors)-1))</definedName>
    <definedName name="FRA" localSheetId="4">_xlfn.LAMBDA(_xlpm.t,_xlpm.T_1,_xlpm.T_2,_xlpm.N,_xlpm.K,_xlpm.w,_xlpm.dfs,_xlpm.tenors,_xlpm.N*_xlpm.w*(Diagram!get_df(_xlpm.T_2-_xlpm.t,_xlpm.dfs,_xlpm.tenors)*(_xlpm.T_2-_xlpm.T_1)*_xlpm.K-Diagram!get_df(_xlpm.T_1-_xlpm.t,_xlpm.dfs,_xlpm.tenors)+Diagram!get_df(_xlpm.T_2-_xlpm.t,_xlpm.dfs,_xlpm.tenors)))</definedName>
    <definedName name="FRA">_xlfn.LAMBDA(_xlpm.t,_xlpm.T_1,_xlpm.T_2,_xlpm.N,_xlpm.K,_xlpm.w,_xlpm.dfs,_xlpm.tenors,_xlpm.N*_xlpm.w*(get_df(_xlpm.T_2-_xlpm.t,_xlpm.dfs,_xlpm.tenors)*(_xlpm.T_2-_xlpm.T_1)*_xlpm.K-get_df(_xlpm.T_1-_xlpm.t,_xlpm.dfs,_xlpm.tenors)+get_df(_xlpm.T_2-_xlpm.t,_xlpm.dfs,_xlpm.tenors)))</definedName>
    <definedName name="FRA_PV01" localSheetId="4">_xlfn.LAMBDA(_xlpm.t,_xlpm.T_1,_xlpm.T_2,_xlpm.N,_xlpm.K,_xlpm.w,_xlpm.dfs,_xlpm.tenors,IF(_xlpm.tenors=_xlpm.T_1,_xlpm.N*_xlpm.w*Diagram!get_df(_xlpm.T_1-_xlpm.t,_xlpm.dfs,_xlpm.tenors)*(_xlpm.T_1-_xlpm.t)*0.0001,IF(_xlpm.tenors=_xlpm.T_2,-_xlpm.N*_xlpm.w*(1+_xlpm.K*(_xlpm.T_2-_xlpm.T_1))*Diagram!get_df(_xlpm.T_2-_xlpm.t,_xlpm.dfs,_xlpm.tenors)*(_xlpm.T_2-_xlpm.t)*0.0001,0)))</definedName>
    <definedName name="FRA_PV01">_xlfn.LAMBDA(_xlpm.t,_xlpm.T_1,_xlpm.T_2,_xlpm.N,_xlpm.K,_xlpm.w,_xlpm.dfs,_xlpm.tenors,IF(_xlpm.tenors=_xlpm.T_1,_xlpm.N*_xlpm.w*get_df(_xlpm.T_1-_xlpm.t,_xlpm.dfs,_xlpm.tenors)*(_xlpm.T_1-_xlpm.t)*0.0001,IF(_xlpm.tenors=_xlpm.T_2,-_xlpm.N*_xlpm.w*(1+_xlpm.K*(_xlpm.T_2-_xlpm.T_1))*get_df(_xlpm.T_2-_xlpm.t,_xlpm.dfs,_xlpm.tenors)*(_xlpm.T_2-_xlpm.t)*0.0001,0)))</definedName>
    <definedName name="fxForward" localSheetId="4">_xlfn.LAMBDA(_xlpm.t,_xlpm.Expiry,_xlpm.Nd,_xlpm.Nf,_xlpm.X_spot,_xlpm.dfs_d,_xlpm.dfs_f,_xlpm.tenors,_xlpm.Nf*Diagram!get_df(_xlpm.Expiry-_xlpm.t,_xlpm.dfs_f,_xlpm.tenors)*_xlpm.X_spot-_xlpm.Nd*Diagram!get_df(_xlpm.Expiry-_xlpm.t,_xlpm.dfs_d,_xlpm.tenors))</definedName>
    <definedName name="fxForward">_xlfn.LAMBDA(_xlpm.t,_xlpm.Expiry,_xlpm.Nd,_xlpm.Nf,_xlpm.X_spot,_xlpm.dfs_d,_xlpm.dfs_f,_xlpm.tenors,_xlpm.Nf*get_df(_xlpm.Expiry-_xlpm.t,_xlpm.dfs_f,_xlpm.tenors)*_xlpm.X_spot-_xlpm.Nd*get_df(_xlpm.Expiry-_xlpm.t,_xlpm.dfs_d,_xlpm.tenors))</definedName>
    <definedName name="fxOption" localSheetId="4">_xlfn.LAMBDA(_xlpm.t,_xlpm.Expiry,_xlpm.Nb,_xlpm.X_spot,_xlpm.rd,_xlpm.rf,_xlpm.sigma,_xlpm.K,_xlpm.Nb*(_xlpm.X_spot*_xlfn.NORM.S.DIST((LN(_xlpm.X_spot/_xlpm.K)+((_xlpm.rd-_xlpm.rf)+0.5*_xlpm.sigma^2)*(_xlpm.Expiry-_xlpm.t))/(_xlpm.sigma*SQRT(_xlpm.Expiry-_xlpm.t)),TRUE)-_xlpm.K*_xlfn.NORM.S.DIST((LN(_xlpm.X_spot/_xlpm.K)+((_xlpm.rd-_xlpm.rf)-0.5*_xlpm.sigma^2)*(_xlpm.Expiry-_xlpm.t))/(_xlpm.sigma*SQRT(_xlpm.Expiry-_xlpm.t)),TRUE)))</definedName>
    <definedName name="fxOption">_xlfn.LAMBDA(_xlpm.t,_xlpm.Expiry,_xlpm.Nb,_xlpm.X_spot,_xlpm.rd,_xlpm.rf,_xlpm.sigma,_xlpm.K,_xlpm.Nb*(_xlpm.X_spot*_xlfn.NORM.S.DIST((LN(_xlpm.X_spot/_xlpm.K)+((_xlpm.rd-_xlpm.rf)+0.5*_xlpm.sigma^2)*(_xlpm.Expiry-_xlpm.t))/(_xlpm.sigma*SQRT(_xlpm.Expiry-_xlpm.t)),TRUE)-_xlpm.K*_xlfn.NORM.S.DIST((LN(_xlpm.X_spot/_xlpm.K)+((_xlpm.rd-_xlpm.rf)-0.5*_xlpm.sigma^2)*(_xlpm.Expiry-_xlpm.t))/(_xlpm.sigma*SQRT(_xlpm.Expiry-_xlpm.t)),TRUE)))</definedName>
    <definedName name="get_df" localSheetId="4">_xlfn.LAMBDA(_xlpm.tau,_xlpm.dfs,_xlpm.tenors,IF(_xlpm.tau=0,1,Diagram!linear_interpolation(_xlpm.tau,_xlfn.XLOOKUP(_xlpm.tau,_xlpm.tenors,_xlpm.tenors,"",-1,1),_xlfn.XLOOKUP(_xlpm.tau,_xlpm.tenors,_xlpm.dfs,"",-1,1),_xlfn.XLOOKUP(_xlpm.tau,_xlpm.tenors,_xlpm.tenors,"",1,-1),_xlfn.XLOOKUP(_xlpm.tau,_xlpm.tenors,_xlpm.dfs,"",1,-1))))</definedName>
    <definedName name="get_df">_xlfn.LAMBDA(_xlpm.tau,_xlpm.dfs,_xlpm.tenors,IF(_xlpm.tau=0,1,linear_interpolation(_xlpm.tau,_xlfn.XLOOKUP(_xlpm.tau,_xlpm.tenors,_xlpm.tenors,"",-1,1),_xlfn.XLOOKUP(_xlpm.tau,_xlpm.tenors,_xlpm.dfs,"",-1,1),_xlfn.XLOOKUP(_xlpm.tau,_xlpm.tenors,_xlpm.tenors,"",1,-1),_xlfn.XLOOKUP(_xlpm.tau,_xlpm.tenors,_xlpm.dfs,"",1,-1))))</definedName>
    <definedName name="Homogeneity_Violation" localSheetId="4">_xlfn.LAMBDA(_xlpm.obs_def_series,_xlpm.grade_series,_xlpm.threshold,_xlfn.LET(_xlpm.odr, _xlfn.MAP(_xlfn._xlws.SORT(_xlfn.UNIQUE(_xlpm.grade_series)), _xlfn.LAMBDA(_xlpm.x, AVERAGE(_xlfn._xlws.FILTER(_xlpm.obs_def_series, _xlpm.grade_series = _xlpm.x)))), _xlpm.n, _xlfn.DROP(FREQUENCY(_xlpm.grade_series, _xlfn._xlws.SORT(_xlfn.UNIQUE(_xlpm.grade_series))), -1), _xlpm.curr_odr, _xlfn.DROP(_xlpm.odr, 1), _xlpm.prev_odr, _xlfn.DROP(_xlpm.odr, -1), _xlpm.curr_n, _xlfn.DROP(_xlpm.n, 1), _xlpm.prev_n, _xlfn.DROP(_xlpm.n, -1), _xlpm.a, SQRT(((_xlpm.curr_odr * (1 - _xlpm.curr_odr)) / _xlpm.curr_n) + ((_xlpm.prev_odr * (1 - _xlpm.prev_odr)) / _xlpm.prev_n)), SUM(1 - ((IF(_xlpm.a = 0, 0, (_xlpm.curr_odr - _xlpm.prev_odr) / _xlpm.a)) &gt;= _xlpm.threshold))))</definedName>
    <definedName name="Homogeneity_Violation">_xlfn.LAMBDA(_xlpm.obs_def_series,_xlpm.grade_series,_xlpm.threshold,_xlfn.LET(_xlpm.odr, _xlfn.MAP(_xlfn._xlws.SORT(_xlfn.UNIQUE(_xlpm.grade_series)), _xlfn.LAMBDA(_xlpm.x, AVERAGE(_xlfn._xlws.FILTER(_xlpm.obs_def_series, _xlpm.grade_series = _xlpm.x)))), _xlpm.n, _xlfn.DROP(FREQUENCY(_xlpm.grade_series, _xlfn._xlws.SORT(_xlfn.UNIQUE(_xlpm.grade_series))), -1), _xlpm.curr_odr, _xlfn.DROP(_xlpm.odr, 1), _xlpm.prev_odr, _xlfn.DROP(_xlpm.odr, -1), _xlpm.curr_n, _xlfn.DROP(_xlpm.n, 1), _xlpm.prev_n, _xlfn.DROP(_xlpm.n, -1), _xlpm.a, SQRT(((_xlpm.curr_odr * (1 - _xlpm.curr_odr)) / _xlpm.curr_n) + ((_xlpm.prev_odr * (1 - _xlpm.prev_odr)) / _xlpm.prev_n)), SUM(1 - ((IF(_xlpm.a = 0, 0, (_xlpm.curr_odr - _xlpm.prev_odr) / _xlpm.a)) &gt;= _xlpm.threshold))))</definedName>
    <definedName name="HTML_CodePage" hidden="1">1252</definedName>
    <definedName name="HTML_Control" localSheetId="4" hidden="1">{"'INDEX'!$A$1:$C$80","'INDEX'!$A$1:$C$78","'INDEX'!$A$1:$D$78"}</definedName>
    <definedName name="HTML_Control" hidden="1">{"'INDEX'!$A$1:$C$80","'INDEX'!$A$1:$C$78","'INDEX'!$A$1:$D$78"}</definedName>
    <definedName name="HTML_Description" hidden="1">""</definedName>
    <definedName name="HTML_Email" hidden="1">"webmaster@fitchinv.com"</definedName>
    <definedName name="HTML_Header" hidden="1">"Fitch Credit Card Index"</definedName>
    <definedName name="HTML_LastUpdate" hidden="1">"6/6/97"</definedName>
    <definedName name="HTML_LineAfter" hidden="1">FALSE</definedName>
    <definedName name="HTML_LineBefore" hidden="1">FALSE</definedName>
    <definedName name="HTML_Name" hidden="1">"webmaster"</definedName>
    <definedName name="HTML_OBDlg2" hidden="1">TRUE</definedName>
    <definedName name="HTML_OBDlg4" hidden="1">TRUE</definedName>
    <definedName name="HTML_OS" hidden="1">0</definedName>
    <definedName name="HTML_PathFile" hidden="1">"C:\Projects\CC\ax.htm"</definedName>
    <definedName name="HTML_Title" hidden="1">"Fitch Credit Card Index"</definedName>
    <definedName name="I">[2]Qtrly_TM!$O$5:$W$13</definedName>
    <definedName name="int">#REF!</definedName>
    <definedName name="IRS" localSheetId="4">_xlfn.LAMBDA(_xlpm.t,_xlpm.T_alpha,_xlpm.T_beta,_xlpm.tau,_xlpm.N,_xlpm.K,_xlpm.w,_xlpm.dfs,_xlpm.tenors,_xlpm.N*_xlpm.w*(Diagram!get_df(_xlpm.T_beta-_xlpm.t,_xlpm.dfs,_xlpm.tenors)-Diagram!get_df(_xlpm.T_alpha-_xlpm.t,_xlpm.dfs,_xlpm.tenors)+_xlpm.K*_xlpm.tau*SUMIFS(_xlpm.dfs,_xlpm.tenors,"&gt;"&amp;_xlpm.T_alpha,_xlpm.tenors,"&lt;="&amp;_xlpm.T_beta)))</definedName>
    <definedName name="IRS">_xlfn.LAMBDA(_xlpm.t,_xlpm.T_alpha,_xlpm.T_beta,_xlpm.tau,_xlpm.N,_xlpm.K,_xlpm.w,_xlpm.dfs,_xlpm.tenors,_xlpm.N*_xlpm.w*(get_df(_xlpm.T_beta-_xlpm.t,_xlpm.dfs,_xlpm.tenors)-get_df(_xlpm.T_alpha-_xlpm.t,_xlpm.dfs,_xlpm.tenors)+_xlpm.K*_xlpm.tau*SUMIFS(_xlpm.dfs,_xlpm.tenors,"&gt;"&amp;_xlpm.T_alpha,_xlpm.tenors,"&lt;="&amp;_xlpm.T_beta)))</definedName>
    <definedName name="IRS_PV01" localSheetId="4">_xlfn.LAMBDA(_xlpm.t,_xlpm.T_alpha,_xlpm.T_beta,_xlpm.tau,_xlpm.N,_xlpm.K,_xlpm.w,_xlpm.dfs,_xlpm.tenors,IF(_xlpm.tenors&gt;_xlpm.T_beta,0,IF(_xlpm.tenors&lt;_xlpm.T_alpha,0,IF(_xlpm.tenors=_xlpm.T_alpha,_xlpm.N*_xlpm.w*Diagram!get_df(_xlpm.T_alpha-_xlpm.t,_xlpm.dfs,_xlpm.tenors)*(_xlpm.T_alpha-_xlpm.t)*0.0001,IF(_xlpm.tenors=_xlpm.T_beta,-_xlpm.N*_xlpm.w*(1+_xlpm.K*_xlpm.tau)*Diagram!get_df(_xlpm.T_beta-_xlpm.t,_xlpm.dfs,_xlpm.tenors)*(_xlpm.T_beta-_xlpm.t)*0.0001,-_xlpm.N*_xlpm.w*_xlpm.K*_xlpm.tau*Diagram!get_df(_xlpm.tenors-_xlpm.t,_xlpm.dfs,_xlpm.tenors)*(_xlpm.tenors-_xlpm.t)*0.0001)))))</definedName>
    <definedName name="IRS_PV01">_xlfn.LAMBDA(_xlpm.t,_xlpm.T_alpha,_xlpm.T_beta,_xlpm.tau,_xlpm.N,_xlpm.K,_xlpm.w,_xlpm.dfs,_xlpm.tenors,IF(_xlpm.tenors&gt;_xlpm.T_beta,0,IF(_xlpm.tenors&lt;_xlpm.T_alpha,0,IF(_xlpm.tenors=_xlpm.T_alpha,_xlpm.N*_xlpm.w*get_df(_xlpm.T_alpha-_xlpm.t,_xlpm.dfs,_xlpm.tenors)*(_xlpm.T_alpha-_xlpm.t)*0.0001,IF(_xlpm.tenors=_xlpm.T_beta,-_xlpm.N*_xlpm.w*(1+_xlpm.K*_xlpm.tau)*get_df(_xlpm.T_beta-_xlpm.t,_xlpm.dfs,_xlpm.tenors)*(_xlpm.T_beta-_xlpm.t)*0.0001,-_xlpm.N*_xlpm.w*_xlpm.K*_xlpm.tau*get_df(_xlpm.tenors-_xlpm.t,_xlpm.dfs,_xlpm.tenors)*(_xlpm.tenors-_xlpm.t)*0.0001)))))</definedName>
    <definedName name="LEGALADVISOR">#REF!</definedName>
    <definedName name="linear_interpolation" localSheetId="4">_xlfn.LAMBDA(_xlpm.x,_xlpm.x_1,_xlpm.y_1,_xlpm.x_2,_xlpm.y_2,IF(_xlpm.x=_xlpm.x_1,_xlpm.y_1,IF(_xlpm.x=_xlpm.x_2,_xlpm.y_2,_xlpm.y_1+(_xlpm.x-_xlpm.x_1)*((_xlpm.y_2-_xlpm.y_1)/(_xlpm.x_2-_xlpm.x_1)))))</definedName>
    <definedName name="linear_interpolation">_xlfn.LAMBDA(_xlpm.x,_xlpm.x_1,_xlpm.y_1,_xlpm.x_2,_xlpm.y_2,IF(_xlpm.x=_xlpm.x_1,_xlpm.y_1,IF(_xlpm.x=_xlpm.x_2,_xlpm.y_2,_xlpm.y_1+(_xlpm.x-_xlpm.x_1)*((_xlpm.y_2-_xlpm.y_1)/(_xlpm.x_2-_xlpm.x_1)))))</definedName>
    <definedName name="Master_Rating_Scale" localSheetId="4">_xlfn.LAMBDA(_xlpm.anchor,_xlpm.scalar,_xlpm.max_grades,_xlfn.LET(_xlpm.s, _xlfn.SEQUENCE(_xlpm.max_grades), _xlpm.u_half, ROUNDUP((_xlpm.max_grades - 1) / 2, 0), _xlpm.l_half, _xlpm.max_grades - _xlpm.u_half - 1, _xlpm.median, _xlfn.VSTACK(_xlpm.anchor / _xlpm.scalar ^ _xlfn._xlws.SORT(_xlfn.SEQUENCE(_xlpm.u_half), , -1), _xlpm.anchor, _xlpm.anchor * _xlpm.scalar ^ _xlfn.SEQUENCE(_xlpm.l_half)), _xlpm.ur, _xlfn.VSTACK(_xlfn.MAP(_xlfn.DROP(_xlpm.median, -1), _xlfn.DROP(_xlpm.median, 1), _xlfn.LAMBDA(_xlpm.x,_xlpm.y, GEOMEAN(_xlpm.x, _xlpm.y))), _xlfn.TAKE(_xlpm.median, -1)), _xlpm.lr, _xlfn.VSTACK(0, _xlfn.DROP(_xlpm.ur, -1)), _xlpm.ub, _xlfn.MAP(_xlpm.s, _xlfn.LAMBDA(_xlpm.x, IF(_xlpm.x = _xlpm.max_grades, 100%, MIN(INDEX(_xlpm.ur, _xlpm.x) / 10000, 100%)))), _xlpm.lb, _xlfn.VSTACK(0, _xlfn.DROP(_xlpm.ub, -1)), _xlfn.TAKE(_xlfn.HSTACK(_xlpm.s, _xlpm.lb, _xlpm.ub), _xlfn.XMATCH(1, _xlpm.ub))))</definedName>
    <definedName name="Master_Rating_Scale">_xlfn.LAMBDA(_xlpm.anchor,_xlpm.scalar,_xlpm.max_grades,_xlfn.LET(_xlpm.s, _xlfn.SEQUENCE(_xlpm.max_grades), _xlpm.u_half, ROUNDUP((_xlpm.max_grades - 1) / 2, 0), _xlpm.l_half, _xlpm.max_grades - _xlpm.u_half - 1, _xlpm.median, _xlfn.VSTACK(_xlpm.anchor / _xlpm.scalar ^ _xlfn._xlws.SORT(_xlfn.SEQUENCE(_xlpm.u_half), , -1), _xlpm.anchor, _xlpm.anchor * _xlpm.scalar ^ _xlfn.SEQUENCE(_xlpm.l_half)), _xlpm.ur, _xlfn.VSTACK(_xlfn.MAP(_xlfn.DROP(_xlpm.median, -1), _xlfn.DROP(_xlpm.median, 1), _xlfn.LAMBDA(_xlpm.x,_xlpm.y, GEOMEAN(_xlpm.x, _xlpm.y))), _xlfn.TAKE(_xlpm.median, -1)), _xlpm.lr, _xlfn.VSTACK(0, _xlfn.DROP(_xlpm.ur, -1)), _xlpm.ub, _xlfn.MAP(_xlpm.s, _xlfn.LAMBDA(_xlpm.x, IF(_xlpm.x = _xlpm.max_grades, 100%, MIN(INDEX(_xlpm.ur, _xlpm.x) / 10000, 100%)))), _xlpm.lb, _xlfn.VSTACK(0, _xlfn.DROP(_xlpm.ub, -1)), _xlfn.TAKE(_xlfn.HSTACK(_xlpm.s, _xlpm.lb, _xlpm.ub), _xlfn.XMATCH(1, _xlpm.ub))))</definedName>
    <definedName name="MATTERSTATUS">#REF!</definedName>
    <definedName name="max">OFFSET([3]Historic!$A$7,0,0,COUNT([3]Historic!$A$1:$A$65536),1)</definedName>
    <definedName name="myCOMBIN" localSheetId="4" xml:space="preserve"> _xlfn.LAMBDA(_xlpm.rng,_xlpm.n,
    _xlfn.LET(_xlpm.r, Diagram!myCOMBINA(_xlpm.rng, _xlpm.n), _xlfn._xlws.FILTER(_xlpm.r, _xlfn.BYROW(_xlpm.r,_xlfn.LAMBDA(_xlpm.x,COLUMNS(_xlfn.UNIQUE(_xlpm.x,TRUE))))=COLUMNS(_xlpm.r))))</definedName>
    <definedName name="myCOMBIN" xml:space="preserve"> _xlfn.LAMBDA(_xlpm.rng,_xlpm.n,
    _xlfn.LET(_xlpm.r, myCOMBINA(_xlpm.rng, _xlpm.n), _xlfn._xlws.FILTER(_xlpm.r, _xlfn.BYROW(_xlpm.r,_xlfn.LAMBDA(_xlpm.x,COLUMNS(_xlfn.UNIQUE(_xlpm.x,TRUE))))=COLUMNS(_xlpm.r))))</definedName>
    <definedName name="myCOMBINA" localSheetId="4" xml:space="preserve"> _xlfn.LAMBDA(_xlpm.rng,_xlpm.n,
    _xlfn.LET(
        _xlpm.Pns, Diagram!PNos_2(ROWS(_xlpm.rng)),
        _xlpm.r_2, _xlfn.BYROW(_xlfn.XLOOKUP(Diagram!myPERMUTATIONA(_xlpm.rng, _xlpm.n), _xlpm.rng, _xlpm.Pns), _xlfn.LAMBDA(_xlpm.x, PRODUCT(_xlpm.x))),
        _xlpm.r_3, _xlfn.UNIQUE(_xlpm.r_2),
        _xlpm.r_4, _xlfn.SEQUENCE(ROWS(_xlpm.r_2)),
        _xlfn.CHOOSEROWS(Diagram!myPERMUTATIONA(_xlpm.rng, _xlpm.n), _xlfn.XLOOKUP(_xlpm.r_3, _xlpm.r_2, _xlpm.r_4))
    )
)</definedName>
    <definedName name="myCOMBINA" xml:space="preserve"> _xlfn.LAMBDA(_xlpm.rng,_xlpm.n,
    _xlfn.LET(
        _xlpm.Pns, PNos_2(ROWS(_xlpm.rng)),
        _xlpm.r_2, _xlfn.BYROW(_xlfn.XLOOKUP(myPERMUTATIONA(_xlpm.rng, _xlpm.n), _xlpm.rng, _xlpm.Pns), _xlfn.LAMBDA(_xlpm.x, PRODUCT(_xlpm.x))),
        _xlpm.r_3, _xlfn.UNIQUE(_xlpm.r_2),
        _xlpm.r_4, _xlfn.SEQUENCE(ROWS(_xlpm.r_2)),
        _xlfn.CHOOSEROWS(myPERMUTATIONA(_xlpm.rng, _xlpm.n), _xlfn.XLOOKUP(_xlpm.r_3, _xlpm.r_2, _xlpm.r_4))
    )
)</definedName>
    <definedName name="myPERMUT" localSheetId="4" xml:space="preserve"> _xlfn.LAMBDA(_xlpm.rng,_xlpm.n,
    _xlfn.LET(_xlpm.r, Diagram!myPERMUTATIONA(_xlpm.rng, _xlpm.n), _xlfn._xlws.FILTER(_xlpm.r, _xlfn.BYROW(_xlpm.r,_xlfn.LAMBDA(_xlpm.x,COLUMNS(_xlfn.UNIQUE(_xlpm.x,TRUE))))=COLUMNS(_xlpm.r))))</definedName>
    <definedName name="myPERMUT" xml:space="preserve"> _xlfn.LAMBDA(_xlpm.rng,_xlpm.n,
    _xlfn.LET(_xlpm.r, myPERMUTATIONA(_xlpm.rng, _xlpm.n), _xlfn._xlws.FILTER(_xlpm.r, _xlfn.BYROW(_xlpm.r,_xlfn.LAMBDA(_xlpm.x,COLUMNS(_xlfn.UNIQUE(_xlpm.x,TRUE))))=COLUMNS(_xlpm.r))))</definedName>
    <definedName name="myPERMUTATIONA" localSheetId="4" xml:space="preserve"> _xlfn.LAMBDA(_xlpm.rng,_xlpm.n,
    Diagram!POSSIBILITIES(ROWS(_xlpm.rng), _xlpm.n, _xlpm.rng)
)</definedName>
    <definedName name="myPERMUTATIONA" xml:space="preserve"> _xlfn.LAMBDA(_xlpm.rng,_xlpm.n,
    POSSIBILITIES(ROWS(_xlpm.rng), _xlpm.n, _xlpm.rng)
)</definedName>
    <definedName name="P">[2]Qtrly_TM!$E$5:$M$13</definedName>
    <definedName name="P2T_Reg.adj_R" localSheetId="4">_xlfn.LAMBDA(_xlpm.x_rng,_xlpm.x_label,_xlpm.y_rng,_xlpm.y_label,_xlpm.icep_const, _xlfn.LET(_xlpm.ss, _xlfn.CHOOSEROWS(_xlfn.DROP(Diagram!P2T_Reg.ss(_xlpm.x_rng, _xlpm.x_label, _xlpm.y_rng, _xlpm.y_label, _xlpm.icep_const), 1, 1), 3), _xlpm.df, _xlfn.CHOOSEROWS(_xlfn.DROP(Diagram!P2T_Reg.df(_xlpm.x_rng, _xlpm.x_label, _xlpm.y_rng, _xlpm.y_label, _xlpm.icep_const), 1, 1), 3), _xlpm.ms, _xlfn.CHOOSEROWS(_xlfn.DROP(Diagram!P2T_Reg.ms(_xlpm.x_rng, _xlpm.x_label, _xlpm.y_rng, _xlpm.y_label, _xlpm.icep_const), 1, 1), 2), _xlfn.HSTACK("Adjusted R Square", 1 - _xlpm.ms / (_xlpm.ss / _xlpm.df))))</definedName>
    <definedName name="P2T_Reg.adj_R">_xlfn.LAMBDA(_xlpm.x_rng,_xlpm.x_label,_xlpm.y_rng,_xlpm.y_label,_xlpm.icep_const, _xlfn.LET(_xlpm.ss, _xlfn.CHOOSEROWS(_xlfn.DROP(P2T_Reg.ss(_xlpm.x_rng, _xlpm.x_label, _xlpm.y_rng, _xlpm.y_label, _xlpm.icep_const), 1, 1), 3), _xlpm.df, _xlfn.CHOOSEROWS(_xlfn.DROP(P2T_Reg.df(_xlpm.x_rng, _xlpm.x_label, _xlpm.y_rng, _xlpm.y_label, _xlpm.icep_const), 1, 1), 3), _xlpm.ms, _xlfn.CHOOSEROWS(_xlfn.DROP(P2T_Reg.ms(_xlpm.x_rng, _xlpm.x_label, _xlpm.y_rng, _xlpm.y_label, _xlpm.icep_const), 1, 1), 2), _xlfn.HSTACK("Adjusted R Square", 1 - _xlpm.ms / (_xlpm.ss / _xlpm.df))))</definedName>
    <definedName name="P2T_Reg.coeffs" localSheetId="4">_xlfn.LAMBDA(_xlpm.x_rng,_xlpm.x_label,_xlpm.y_rng,_xlpm.y_label,_xlpm.icep_const, _xlfn.LET(_xlpm.reg, LINEST(_xlpm.y_rng, _xlpm.x_rng, _xlpm.icep_const), _xlpm.icep, _xlfn.TAKE(_xlpm.reg, , -1), _xlpm.slp, _xlfn.SORTBY(_xlfn.DROP(_xlpm.reg, , -1), _xlfn.SEQUENCE(, COLUMNS(_xlpm.x_rng)), -1), _xlpm.coeffs, TRANSPOSE(_xlfn.VSTACK(_xlfn.HSTACK("", "Intercept", _xlpm.x_label), _xlfn.HSTACK("Coefficients", _xlpm.icep, _xlpm.slp))), _xlpm.coeffs))</definedName>
    <definedName name="P2T_Reg.coeffs">_xlfn.LAMBDA(_xlpm.x_rng,_xlpm.x_label,_xlpm.y_rng,_xlpm.y_label,_xlpm.icep_const, _xlfn.LET(_xlpm.reg, LINEST(_xlpm.y_rng, _xlpm.x_rng, _xlpm.icep_const), _xlpm.icep, _xlfn.TAKE(_xlpm.reg, , -1), _xlpm.slp, _xlfn.SORTBY(_xlfn.DROP(_xlpm.reg, , -1), _xlfn.SEQUENCE(, COLUMNS(_xlpm.x_rng)), -1), _xlpm.coeffs, TRANSPOSE(_xlfn.VSTACK(_xlfn.HSTACK("", "Intercept", _xlpm.x_label), _xlfn.HSTACK("Coefficients", _xlpm.icep, _xlpm.slp))), _xlpm.coeffs))</definedName>
    <definedName name="P2T_Reg.conf_int" localSheetId="4">_xlfn.LAMBDA(_xlpm.x_rng,_xlpm.x_label,_xlpm.y_rng,_xlpm.y_label,_xlpm.icep_const,_xlpm.alphas,_xlfn.LET(_xlpm.c, _xlfn.DROP(Diagram!P2T_Reg.coeffs(_xlpm.x_rng, _xlpm.x_label, _xlpm.y_rng, _xlpm.y_label, _xlpm.icep_const), 1, 1), _xlpm.s, _xlfn.DROP(Diagram!P2T_Reg.std_err(_xlpm.x_rng, _xlpm.x_label, _xlpm.y_rng, _xlpm.y_label, _xlpm.icep_const), 1, 1), _xlpm.df, _xlfn.CHOOSEROWS(_xlfn.DROP(Diagram!P2T_Reg.df(_xlpm.x_rng, _xlpm.x_label, _xlpm.y_rng, _xlpm.y_label, _xlpm.icep_const), 1, 1), 2), _xlpm.ci, _xlfn.VSTACK(_xlfn.TOROW({"Lower ";"Upper "} &amp; TEXT(_xlfn.TOROW(1 - _xlpm.alphas), "0%"), , 1), _xlfn.DROP(_xlfn.REDUCE(0, _xlpm.alphas, _xlfn.LAMBDA(_xlpm.q,_xlpm.w, _xlfn.HSTACK(_xlpm.q, _xlfn.LET(_xlpm.a, _xlpm.c, _xlpm.b, _xlfn.T.INV.2T(_xlpm.w, _xlpm.df) * _xlpm.s, _xlpm.a + {-1,1} * _xlpm.b)))), , 1)), _xlfn.HSTACK(_xlfn.VSTACK("", "Intercept", _xlfn.TOCOL(_xlpm.x_label)), _xlfn.VSTACK(_xlpm.ci))))</definedName>
    <definedName name="P2T_Reg.conf_int">_xlfn.LAMBDA(_xlpm.x_rng,_xlpm.x_label,_xlpm.y_rng,_xlpm.y_label,_xlpm.icep_const,_xlpm.alphas,_xlfn.LET(_xlpm.c, _xlfn.DROP(P2T_Reg.coeffs(_xlpm.x_rng, _xlpm.x_label, _xlpm.y_rng, _xlpm.y_label, _xlpm.icep_const), 1, 1), _xlpm.s, _xlfn.DROP(P2T_Reg.std_err(_xlpm.x_rng, _xlpm.x_label, _xlpm.y_rng, _xlpm.y_label, _xlpm.icep_const), 1, 1), _xlpm.df, _xlfn.CHOOSEROWS(_xlfn.DROP(P2T_Reg.df(_xlpm.x_rng, _xlpm.x_label, _xlpm.y_rng, _xlpm.y_label, _xlpm.icep_const), 1, 1), 2), _xlpm.ci, _xlfn.VSTACK(_xlfn.TOROW({"Lower ";"Upper "} &amp; TEXT(_xlfn.TOROW(1 - _xlpm.alphas), "0%"), , 1), _xlfn.DROP(_xlfn.REDUCE(0, _xlpm.alphas, _xlfn.LAMBDA(_xlpm.q,_xlpm.w, _xlfn.HSTACK(_xlpm.q, _xlfn.LET(_xlpm.a, _xlpm.c, _xlpm.b, _xlfn.T.INV.2T(_xlpm.w, _xlpm.df) * _xlpm.s, _xlpm.a + {-1,1} * _xlpm.b)))), , 1)), _xlfn.HSTACK(_xlfn.VSTACK("", "Intercept", _xlfn.TOCOL(_xlpm.x_label)), _xlfn.VSTACK(_xlpm.ci))))</definedName>
    <definedName name="P2T_Reg.df" localSheetId="4">_xlfn.LAMBDA(_xlpm.x_rng,_xlpm.x_label,_xlpm.y_rng,_xlpm.y_label,_xlpm.icep_const, _xlfn.LET(_xlpm.n, ROWS(_xlpm.y_rng), _xlpm.k, COLUMNS(_xlpm.x_rng), _xlpm.res, _xlpm.n - _xlpm.k - _xlpm.icep_const, _xlpm.t, _xlpm.n - _xlpm.icep_const, _xlfn.HSTACK(_xlfn.VSTACK("", "Regression", "Residual", "Total"), _xlfn.VSTACK("df", _xlpm.k, _xlpm.res, _xlpm.t))))</definedName>
    <definedName name="P2T_Reg.df">_xlfn.LAMBDA(_xlpm.x_rng,_xlpm.x_label,_xlpm.y_rng,_xlpm.y_label,_xlpm.icep_const, _xlfn.LET(_xlpm.n, ROWS(_xlpm.y_rng), _xlpm.k, COLUMNS(_xlpm.x_rng), _xlpm.res, _xlpm.n - _xlpm.k - _xlpm.icep_const, _xlpm.t, _xlpm.n - _xlpm.icep_const, _xlfn.HSTACK(_xlfn.VSTACK("", "Regression", "Residual", "Total"), _xlfn.VSTACK("df", _xlpm.k, _xlpm.res, _xlpm.t))))</definedName>
    <definedName name="P2T_Reg.error" localSheetId="4">_xlfn.LAMBDA(_xlpm.x_rng,_xlpm.x_label,_xlpm.y_rng,_xlpm.y_label,_xlpm.icep_const, _xlfn.VSTACK("error", -_xlfn.DROP(Diagram!P2T_Reg.y_hat(_xlpm.x_rng, _xlpm.x_label, _xlpm.y_rng, _xlpm.y_label, _xlpm.icep_const), 1) + _xlpm.y_rng))</definedName>
    <definedName name="P2T_Reg.error">_xlfn.LAMBDA(_xlpm.x_rng,_xlpm.x_label,_xlpm.y_rng,_xlpm.y_label,_xlpm.icep_const, _xlfn.VSTACK("error", -_xlfn.DROP(P2T_Reg.y_hat(_xlpm.x_rng, _xlpm.x_label, _xlpm.y_rng, _xlpm.y_label, _xlpm.icep_const), 1) + _xlpm.y_rng))</definedName>
    <definedName name="P2T_Reg.F" localSheetId="4">_xlfn.LAMBDA(_xlpm.x_rng,_xlpm.x_label,_xlpm.y_rng,_xlpm.y_label,_xlpm.icep_const, _xlfn.LET(_xlpm.df, _xlfn.DROP(Diagram!P2T_Reg.df(_xlpm.x_rng, _xlpm.x_label, _xlpm.y_rng, _xlpm.y_label, _xlpm.icep_const), 1, 1), _xlpm.ms, _xlfn.DROP(Diagram!P2T_Reg.ms(_xlpm.x_rng, _xlpm.x_label, _xlpm.y_rng, _xlpm.y_label, _xlpm.icep_const), 1, 1), _xlpm.F_stat, _xlfn.CHOOSEROWS(_xlpm.ms, 1) / _xlfn.CHOOSEROWS(_xlpm.ms, 2), _xlpm.S, _xlfn.F.DIST.RT(_xlpm.F_stat, _xlfn.CHOOSEROWS(_xlpm.df, 1), _xlfn.CHOOSEROWS(_xlpm.df, 2)), _xlfn.VSTACK(_xlfn.HSTACK("F", "Significance F"), _xlfn.HSTACK(_xlpm.F_stat, _xlpm.S))))</definedName>
    <definedName name="P2T_Reg.F">_xlfn.LAMBDA(_xlpm.x_rng,_xlpm.x_label,_xlpm.y_rng,_xlpm.y_label,_xlpm.icep_const, _xlfn.LET(_xlpm.df, _xlfn.DROP(P2T_Reg.df(_xlpm.x_rng, _xlpm.x_label, _xlpm.y_rng, _xlpm.y_label, _xlpm.icep_const), 1, 1), _xlpm.ms, _xlfn.DROP(P2T_Reg.ms(_xlpm.x_rng, _xlpm.x_label, _xlpm.y_rng, _xlpm.y_label, _xlpm.icep_const), 1, 1), _xlpm.F_stat, _xlfn.CHOOSEROWS(_xlpm.ms, 1) / _xlfn.CHOOSEROWS(_xlpm.ms, 2), _xlpm.S, _xlfn.F.DIST.RT(_xlpm.F_stat, _xlfn.CHOOSEROWS(_xlpm.df, 1), _xlfn.CHOOSEROWS(_xlpm.df, 2)), _xlfn.VSTACK(_xlfn.HSTACK("F", "Significance F"), _xlfn.HSTACK(_xlpm.F_stat, _xlpm.S))))</definedName>
    <definedName name="P2T_Reg.ms" localSheetId="4">_xlfn.LAMBDA(_xlpm.x_rng,_xlpm.x_label,_xlpm.y_rng,_xlpm.y_label,_xlpm.icep_const, _xlfn.LET(_xlpm.ss, _xlfn.DROP(Diagram!P2T_Reg.ss(_xlpm.x_rng, _xlpm.x_label, _xlpm.y_rng, _xlpm.y_label, _xlpm.icep_const), 1, 1), _xlpm.df, _xlfn.DROP(Diagram!P2T_Reg.df(_xlpm.x_rng, _xlpm.x_label, _xlpm.y_rng, _xlpm.y_label, _xlpm.icep_const), 1, 1), _xlfn.HSTACK(_xlfn.VSTACK("", "Regression", "Residual", "Total"), _xlfn.VSTACK("MS", _xlpm.ss / _xlpm.df))))</definedName>
    <definedName name="P2T_Reg.ms">_xlfn.LAMBDA(_xlpm.x_rng,_xlpm.x_label,_xlpm.y_rng,_xlpm.y_label,_xlpm.icep_const, _xlfn.LET(_xlpm.ss, _xlfn.DROP(P2T_Reg.ss(_xlpm.x_rng, _xlpm.x_label, _xlpm.y_rng, _xlpm.y_label, _xlpm.icep_const), 1, 1), _xlpm.df, _xlfn.DROP(P2T_Reg.df(_xlpm.x_rng, _xlpm.x_label, _xlpm.y_rng, _xlpm.y_label, _xlpm.icep_const), 1, 1), _xlfn.HSTACK(_xlfn.VSTACK("", "Regression", "Residual", "Total"), _xlfn.VSTACK("MS", _xlpm.ss / _xlpm.df))))</definedName>
    <definedName name="P2T_Reg.multiple_R" localSheetId="4">_xlfn.LAMBDA(_xlpm.x_rng,_xlpm.x_label,_xlpm.y_rng,_xlpm.y_label,_xlpm.icep_const, _xlfn.LET(_xlpm.ss, _xlfn.DROP(Diagram!P2T_Reg.ss(_xlpm.x_rng, _xlpm.x_label, _xlpm.y_rng, _xlpm.y_label, _xlpm.icep_const), 1, 1), _xlfn.HSTACK("Multiple R", SQRT(_xlfn.CHOOSEROWS(_xlpm.ss, 1) / _xlfn.CHOOSEROWS(_xlpm.ss, 3)))))</definedName>
    <definedName name="P2T_Reg.multiple_R">_xlfn.LAMBDA(_xlpm.x_rng,_xlpm.x_label,_xlpm.y_rng,_xlpm.y_label,_xlpm.icep_const, _xlfn.LET(_xlpm.ss, _xlfn.DROP(P2T_Reg.ss(_xlpm.x_rng, _xlpm.x_label, _xlpm.y_rng, _xlpm.y_label, _xlpm.icep_const), 1, 1), _xlfn.HSTACK("Multiple R", SQRT(_xlfn.CHOOSEROWS(_xlpm.ss, 1) / _xlfn.CHOOSEROWS(_xlpm.ss, 3)))))</definedName>
    <definedName name="P2T_Reg.obs" localSheetId="4">_xlfn.LAMBDA(_xlpm.x_rng,_xlpm.x_label,_xlpm.y_rng,_xlpm.y_label, _xlfn.LET(_xlpm.o, ROWS(_xlpm.x_rng), _xlfn.HSTACK("Observations", _xlpm.o)))</definedName>
    <definedName name="P2T_Reg.obs">_xlfn.LAMBDA(_xlpm.x_rng,_xlpm.x_label,_xlpm.y_rng,_xlpm.y_label, _xlfn.LET(_xlpm.o, ROWS(_xlpm.x_rng), _xlfn.HSTACK("Observations", _xlpm.o)))</definedName>
    <definedName name="P2T_Reg.p_val" localSheetId="4">_xlfn.LAMBDA(_xlpm.x_rng,_xlpm.x_label,_xlpm.y_rng,_xlpm.y_label,_xlpm.icep_const, _xlfn.LET(_xlpm.ts, _xlfn.DROP(Diagram!P2T_Reg.t_Stat(_xlpm.x_rng, _xlpm.x_label, _xlpm.y_rng, _xlpm.y_label, _xlpm.icep_const), 1, 1), _xlpm.df, _xlfn.CHOOSEROWS(_xlfn.DROP(Diagram!P2T_Reg.df(_xlpm.x_rng, _xlpm.x_label, _xlpm.y_rng, _xlpm.y_label, _xlpm.icep_const), 1, 1), 2), _xlfn.HSTACK(_xlfn.VSTACK("", "Intercept", _xlfn.TOCOL(_xlpm.x_label)), _xlfn.VSTACK("P-value", _xlfn.T.DIST.2T(ABS(_xlpm.ts), _xlpm.df)))))</definedName>
    <definedName name="P2T_Reg.p_val">_xlfn.LAMBDA(_xlpm.x_rng,_xlpm.x_label,_xlpm.y_rng,_xlpm.y_label,_xlpm.icep_const, _xlfn.LET(_xlpm.ts, _xlfn.DROP(P2T_Reg.t_Stat(_xlpm.x_rng, _xlpm.x_label, _xlpm.y_rng, _xlpm.y_label, _xlpm.icep_const), 1, 1), _xlpm.df, _xlfn.CHOOSEROWS(_xlfn.DROP(P2T_Reg.df(_xlpm.x_rng, _xlpm.x_label, _xlpm.y_rng, _xlpm.y_label, _xlpm.icep_const), 1, 1), 2), _xlfn.HSTACK(_xlfn.VSTACK("", "Intercept", _xlfn.TOCOL(_xlpm.x_label)), _xlfn.VSTACK("P-value", _xlfn.T.DIST.2T(ABS(_xlpm.ts), _xlpm.df)))))</definedName>
    <definedName name="P2T_Reg.R_sq" localSheetId="4">_xlfn.LAMBDA(_xlpm.x_rng,_xlpm.x_label,_xlpm.y_rng,_xlpm.y_label,_xlpm.icep_const, _xlfn.HSTACK("R Square", _xlfn.DROP(Diagram!P2T_Reg.multiple_R(_xlpm.x_rng, _xlpm.x_label, _xlpm.y_rng, _xlpm.y_label, _xlpm.icep_const) ^ 2, , 1)))</definedName>
    <definedName name="P2T_Reg.R_sq">_xlfn.LAMBDA(_xlpm.x_rng,_xlpm.x_label,_xlpm.y_rng,_xlpm.y_label,_xlpm.icep_const, _xlfn.HSTACK("R Square", _xlfn.DROP(P2T_Reg.multiple_R(_xlpm.x_rng, _xlpm.x_label, _xlpm.y_rng, _xlpm.y_label, _xlpm.icep_const) ^ 2, , 1)))</definedName>
    <definedName name="P2T_Reg.Regression_output" localSheetId="4">_xlfn.LAMBDA(_xlpm.x_rng,_xlpm.x_label,_xlpm.y_rng,_xlpm.y_label,_xlpm.icep_const,_xlpm.alphas, _xlfn.LET(_xlpm.c, Diagram!P2T_Reg.coeffs(_xlpm.x_rng, _xlpm.x_label, _xlpm.y_rng, _xlpm.y_label, _xlpm.icep_const), _xlfn.IFNA(_xlfn.VSTACK(_xlpm.y_label &amp; " = " &amp; TEXT(_xlfn.TAKE(_xlfn.DROP(_xlpm.c, 1, 1), 1), "0.00000") &amp; _xlfn.TEXTJOIN("", , _xlfn.SWITCH(SIGN(_xlfn.DROP(_xlpm.c, 2, 1)), -1, " - ", 1, "  + ", 0, " + ") &amp; TEXT(ABS(_xlfn.DROP(_xlpm.c, 2, 1)), "0.00000") &amp; " * " &amp; _xlfn.TOCOL(_xlpm.x_label)), "SUMMARY OUTPUT", "", _xlfn.HSTACK("Regression Statistics", ""), Diagram!P2T_Reg.multiple_R(_xlpm.x_rng, _xlpm.x_label, _xlpm.y_rng, _xlpm.y_label, _xlpm.icep_const), Diagram!P2T_Reg.R_sq(_xlpm.x_rng, _xlpm.x_label, _xlpm.y_rng, _xlpm.y_label, _xlpm.icep_const), Diagram!P2T_Reg.adj_R(_xlpm.x_rng, _xlpm.x_label, _xlpm.y_rng, _xlpm.y_label, _xlpm.icep_const), Diagram!P2T_Reg.std_err_reg(_xlpm.x_rng, _xlpm.x_label, _xlpm.y_rng, _xlpm.y_label, _xlpm.icep_const), Diagram!P2T_Reg.obs(_xlpm.x_rng, _xlpm.x_label, _xlpm.y_rng, _xlpm.y_label), "", "ANOVA", _xlfn.HSTACK(Diagram!P2T_Reg.df(_xlpm.x_rng, _xlpm.x_label, _xlpm.y_rng, _xlpm.y_label, _xlpm.icep_const), _xlfn.DROP(Diagram!P2T_Reg.ss(_xlpm.x_rng, _xlpm.x_label, _xlpm.y_rng, _xlpm.y_label, _xlpm.icep_const), , 1), _xlfn.DROP(Diagram!P2T_Reg.ms(_xlpm.x_rng, _xlpm.x_label, _xlpm.y_rng, _xlpm.y_label, _xlpm.icep_const), , 1), _xlfn.DROP(Diagram!P2T_Reg.F(_xlpm.x_rng, _xlpm.x_label, _xlpm.y_rng, _xlpm.y_label, _xlpm.icep_const), , 0)), "", _xlfn.HSTACK(_xlpm.c, _xlfn.DROP(Diagram!P2T_Reg.std_err(_xlpm.x_rng, _xlpm.x_label, _xlpm.y_rng, _xlpm.y_label, _xlpm.icep_const), , 1), _xlfn.DROP(Diagram!P2T_Reg.t_Stat(_xlpm.x_rng, _xlpm.x_label, _xlpm.y_rng, _xlpm.y_label, _xlpm.icep_const), , 1), _xlfn.DROP(Diagram!P2T_Reg.p_val(_xlpm.x_rng, _xlpm.x_label, _xlpm.y_rng, _xlpm.y_label, _xlpm.icep_const), , 1), _xlfn.DROP(Diagram!P2T_Reg.conf_int(_xlpm.x_rng, _xlpm.x_label, _xlpm.y_rng, _xlpm.y_label, _xlpm.icep_const, _xlpm.alphas), , 1))), "")))</definedName>
    <definedName name="P2T_Reg.Regression_output">_xlfn.LAMBDA(_xlpm.x_rng,_xlpm.x_label,_xlpm.y_rng,_xlpm.y_label,_xlpm.icep_const,_xlpm.alphas, _xlfn.LET(_xlpm.c, P2T_Reg.coeffs(_xlpm.x_rng, _xlpm.x_label, _xlpm.y_rng, _xlpm.y_label, _xlpm.icep_const), _xlfn.IFNA(_xlfn.VSTACK(_xlpm.y_label &amp; " = " &amp; TEXT(_xlfn.TAKE(_xlfn.DROP(_xlpm.c, 1, 1), 1), "0.00000") &amp; _xlfn.TEXTJOIN("", , _xlfn.SWITCH(SIGN(_xlfn.DROP(_xlpm.c, 2, 1)), -1, " - ", 1, "  + ", 0, " + ") &amp; TEXT(ABS(_xlfn.DROP(_xlpm.c, 2, 1)), "0.00000") &amp; " * " &amp; _xlfn.TOCOL(_xlpm.x_label)), "SUMMARY OUTPUT", "", _xlfn.HSTACK("Regression Statistics", ""), P2T_Reg.multiple_R(_xlpm.x_rng, _xlpm.x_label, _xlpm.y_rng, _xlpm.y_label, _xlpm.icep_const), P2T_Reg.R_sq(_xlpm.x_rng, _xlpm.x_label, _xlpm.y_rng, _xlpm.y_label, _xlpm.icep_const), P2T_Reg.adj_R(_xlpm.x_rng, _xlpm.x_label, _xlpm.y_rng, _xlpm.y_label, _xlpm.icep_const), P2T_Reg.std_err_reg(_xlpm.x_rng, _xlpm.x_label, _xlpm.y_rng, _xlpm.y_label, _xlpm.icep_const), P2T_Reg.obs(_xlpm.x_rng, _xlpm.x_label, _xlpm.y_rng, _xlpm.y_label), "", "ANOVA", _xlfn.HSTACK(P2T_Reg.df(_xlpm.x_rng, _xlpm.x_label, _xlpm.y_rng, _xlpm.y_label, _xlpm.icep_const), _xlfn.DROP(P2T_Reg.ss(_xlpm.x_rng, _xlpm.x_label, _xlpm.y_rng, _xlpm.y_label, _xlpm.icep_const), , 1), _xlfn.DROP(P2T_Reg.ms(_xlpm.x_rng, _xlpm.x_label, _xlpm.y_rng, _xlpm.y_label, _xlpm.icep_const), , 1), _xlfn.DROP(P2T_Reg.F(_xlpm.x_rng, _xlpm.x_label, _xlpm.y_rng, _xlpm.y_label, _xlpm.icep_const), , 0)), "", _xlfn.HSTACK(_xlpm.c, _xlfn.DROP(P2T_Reg.std_err(_xlpm.x_rng, _xlpm.x_label, _xlpm.y_rng, _xlpm.y_label, _xlpm.icep_const), , 1), _xlfn.DROP(P2T_Reg.t_Stat(_xlpm.x_rng, _xlpm.x_label, _xlpm.y_rng, _xlpm.y_label, _xlpm.icep_const), , 1), _xlfn.DROP(P2T_Reg.p_val(_xlpm.x_rng, _xlpm.x_label, _xlpm.y_rng, _xlpm.y_label, _xlpm.icep_const), , 1), _xlfn.DROP(P2T_Reg.conf_int(_xlpm.x_rng, _xlpm.x_label, _xlpm.y_rng, _xlpm.y_label, _xlpm.icep_const, _xlpm.alphas), , 1))), "")))</definedName>
    <definedName name="P2T_Reg.ss" localSheetId="4">_xlfn.LAMBDA(_xlpm.x_rng,_xlpm.x_label,_xlpm.y_rng,_xlpm.y_label,_xlpm.icep_const, _xlfn.LET(_xlpm.yh, _xlfn.DROP(Diagram!P2T_Reg.y_hat(_xlpm.x_rng, _xlpm.x_label, _xlpm.y_rng, _xlpm.y_label, _xlpm.icep_const), 1), _xlpm.reg, SUMSQ(_xlpm.yh - AVERAGE(_xlpm.y_rng) * _xlpm.icep_const), _xlpm.res, SUMSQ(_xlpm.y_rng - _xlpm.yh), _xlpm.t, SUMSQ(_xlpm.y_rng - AVERAGE(_xlpm.y_rng) * _xlpm.icep_const), _xlfn.HSTACK(_xlfn.VSTACK("", "Regression", "Residual", "Total"), _xlfn.VSTACK("SS", _xlpm.reg, _xlpm.res, _xlpm.t))))</definedName>
    <definedName name="P2T_Reg.ss">_xlfn.LAMBDA(_xlpm.x_rng,_xlpm.x_label,_xlpm.y_rng,_xlpm.y_label,_xlpm.icep_const, _xlfn.LET(_xlpm.yh, _xlfn.DROP(P2T_Reg.y_hat(_xlpm.x_rng, _xlpm.x_label, _xlpm.y_rng, _xlpm.y_label, _xlpm.icep_const), 1), _xlpm.reg, SUMSQ(_xlpm.yh - AVERAGE(_xlpm.y_rng) * _xlpm.icep_const), _xlpm.res, SUMSQ(_xlpm.y_rng - _xlpm.yh), _xlpm.t, SUMSQ(_xlpm.y_rng - AVERAGE(_xlpm.y_rng) * _xlpm.icep_const), _xlfn.HSTACK(_xlfn.VSTACK("", "Regression", "Residual", "Total"), _xlfn.VSTACK("SS", _xlpm.reg, _xlpm.res, _xlpm.t))))</definedName>
    <definedName name="P2T_Reg.std_err" localSheetId="4">_xlfn.LAMBDA(_xlpm.x_rng,_xlpm.x_label,_xlpm.y_rng,_xlpm.y_label,_xlpm.icep_const, _xlfn.LET(_xlpm.ms, _xlfn.DROP(Diagram!P2T_Reg.ms(_xlpm.x_rng, _xlpm.x_label, _xlpm.y_rng, _xlpm.y_label, _xlpm.icep_const), 1, 1), _xlpm.r, _xlfn.HSTACK(_xlfn.SEQUENCE(ROWS(_xlpm.y_rng), , 1, 0), _xlpm.x_rng), _xlpm.se, SQRT(_xlfn.TOCOL(MINVERSE(MMULT(TRANSPOSE(_xlpm.r), _xlpm.r)) * _xlfn.CHOOSEROWS(_xlpm.ms, 2) / _xlfn.MUNIT(COLUMNS(_xlpm.x_rng) + 1), 3)), _xlfn.HSTACK(_xlfn.VSTACK("", "Intercept", _xlfn.TOCOL(_xlpm.x_label)), _xlfn.VSTACK("Standard Error", _xlpm.se))))</definedName>
    <definedName name="P2T_Reg.std_err">_xlfn.LAMBDA(_xlpm.x_rng,_xlpm.x_label,_xlpm.y_rng,_xlpm.y_label,_xlpm.icep_const, _xlfn.LET(_xlpm.ms, _xlfn.DROP(P2T_Reg.ms(_xlpm.x_rng, _xlpm.x_label, _xlpm.y_rng, _xlpm.y_label, _xlpm.icep_const), 1, 1), _xlpm.r, _xlfn.HSTACK(_xlfn.SEQUENCE(ROWS(_xlpm.y_rng), , 1, 0), _xlpm.x_rng), _xlpm.se, SQRT(_xlfn.TOCOL(MINVERSE(MMULT(TRANSPOSE(_xlpm.r), _xlpm.r)) * _xlfn.CHOOSEROWS(_xlpm.ms, 2) / _xlfn.MUNIT(COLUMNS(_xlpm.x_rng) + 1), 3)), _xlfn.HSTACK(_xlfn.VSTACK("", "Intercept", _xlfn.TOCOL(_xlpm.x_label)), _xlfn.VSTACK("Standard Error", _xlpm.se))))</definedName>
    <definedName name="P2T_Reg.std_err_reg" localSheetId="4">_xlfn.LAMBDA(_xlpm.x_rng,_xlpm.x_label,_xlpm.y_rng,_xlpm.y_label,_xlpm.icep_const, _xlfn.LET(_xlpm.ser, SQRT(_xlfn.CHOOSEROWS(_xlfn.DROP(Diagram!P2T_Reg.ms(_xlpm.x_rng, _xlpm.x_label, _xlpm.y_rng, _xlpm.y_label, _xlpm.icep_const), 1, 1), 2)), _xlfn.HSTACK("Standard Error", _xlpm.ser)))</definedName>
    <definedName name="P2T_Reg.std_err_reg">_xlfn.LAMBDA(_xlpm.x_rng,_xlpm.x_label,_xlpm.y_rng,_xlpm.y_label,_xlpm.icep_const, _xlfn.LET(_xlpm.ser, SQRT(_xlfn.CHOOSEROWS(_xlfn.DROP(P2T_Reg.ms(_xlpm.x_rng, _xlpm.x_label, _xlpm.y_rng, _xlpm.y_label, _xlpm.icep_const), 1, 1), 2)), _xlfn.HSTACK("Standard Error", _xlpm.ser)))</definedName>
    <definedName name="P2T_Reg.t_Stat" localSheetId="4">_xlfn.LAMBDA(_xlpm.x_rng,_xlpm.x_label,_xlpm.y_rng,_xlpm.y_label,_xlpm.icep_const, _xlfn.LET(_xlpm.c, _xlfn.DROP(Diagram!P2T_Reg.coeffs(_xlpm.x_rng, _xlpm.x_label, _xlpm.y_rng, _xlpm.y_label, _xlpm.icep_const), 1, 1), _xlpm.s, _xlfn.DROP(Diagram!P2T_Reg.std_err(_xlpm.x_rng, _xlpm.x_label, _xlpm.y_rng, _xlpm.y_label, _xlpm.icep_const), 1, 1), _xlfn.HSTACK(_xlfn.VSTACK("", "Intercept", _xlfn.TOCOL(_xlpm.x_label)), _xlfn.VSTACK("tStat", _xlpm.c / _xlpm.s))))</definedName>
    <definedName name="P2T_Reg.t_Stat">_xlfn.LAMBDA(_xlpm.x_rng,_xlpm.x_label,_xlpm.y_rng,_xlpm.y_label,_xlpm.icep_const, _xlfn.LET(_xlpm.c, _xlfn.DROP(P2T_Reg.coeffs(_xlpm.x_rng, _xlpm.x_label, _xlpm.y_rng, _xlpm.y_label, _xlpm.icep_const), 1, 1), _xlpm.s, _xlfn.DROP(P2T_Reg.std_err(_xlpm.x_rng, _xlpm.x_label, _xlpm.y_rng, _xlpm.y_label, _xlpm.icep_const), 1, 1), _xlfn.HSTACK(_xlfn.VSTACK("", "Intercept", _xlfn.TOCOL(_xlpm.x_label)), _xlfn.VSTACK("tStat", _xlpm.c / _xlpm.s))))</definedName>
    <definedName name="P2T_Reg.y_hat" localSheetId="4">_xlfn.LAMBDA(_xlpm.x_rng,_xlpm.x_label,_xlpm.y_rng,_xlpm.y_label,_xlpm.icep_const, _xlfn.LET(_xlpm.coeffs, _xlfn.DROP(Diagram!P2T_Reg.coeffs(_xlpm.x_rng, _xlpm.x_label, _xlpm.y_rng, _xlpm.y_label, _xlpm.icep_const), 1, 1), _xlpm.icep, _xlfn.TAKE(_xlpm.coeffs, 1), _xlpm.slp, _xlfn.TOROW(_xlfn.DROP(_xlpm.coeffs, 1)), _xlpm.y_hat, _xlfn.VSTACK(_xlpm.y_label &amp; "_pred", _xlfn.BYROW(_xlpm.x_rng * _xlpm.slp, _xlfn.LAMBDA(_xlpm.q, SUM(_xlpm.q, _xlpm.icep)))), _xlpm.y_hat))</definedName>
    <definedName name="P2T_Reg.y_hat">_xlfn.LAMBDA(_xlpm.x_rng,_xlpm.x_label,_xlpm.y_rng,_xlpm.y_label,_xlpm.icep_const, _xlfn.LET(_xlpm.coeffs, _xlfn.DROP(P2T_Reg.coeffs(_xlpm.x_rng, _xlpm.x_label, _xlpm.y_rng, _xlpm.y_label, _xlpm.icep_const), 1, 1), _xlpm.icep, _xlfn.TAKE(_xlpm.coeffs, 1), _xlpm.slp, _xlfn.TOROW(_xlfn.DROP(_xlpm.coeffs, 1)), _xlpm.y_hat, _xlfn.VSTACK(_xlpm.y_label &amp; "_pred", _xlfn.BYROW(_xlpm.x_rng * _xlpm.slp, _xlfn.LAMBDA(_xlpm.q, SUM(_xlpm.q, _xlpm.icep)))), _xlpm.y_hat))</definedName>
    <definedName name="parallel_down" localSheetId="4">_xlfn.LAMBDA(_xlpm.base_curve,_xlpm.tenors,_xlpm.R_parallel,_xlpm.base_curve-_xlpm.R_parallel/10000)</definedName>
    <definedName name="parallel_down">_xlfn.LAMBDA(_xlpm.base_curve,_xlpm.tenors,_xlpm.R_parallel,_xlpm.base_curve-_xlpm.R_parallel/10000)</definedName>
    <definedName name="parallel_up" localSheetId="4">_xlfn.LAMBDA(_xlpm.base_curve,_xlpm.tenors,_xlpm.R_parallel,_xlpm.base_curve+_xlpm.R_parallel/10000)</definedName>
    <definedName name="parallel_up">_xlfn.LAMBDA(_xlpm.base_curve,_xlpm.tenors,_xlpm.R_parallel,_xlpm.base_curve+_xlpm.R_parallel/10000)</definedName>
    <definedName name="PNos_2" localSheetId="4" xml:space="preserve"> _xlfn.LAMBDA(_xlpm.n, PrimeNos(_xlpm.n, 3, 2))</definedName>
    <definedName name="PNos_2" xml:space="preserve"> _xlfn.LAMBDA(_xlpm.n, PrimeNos(_xlpm.n, 3, 2))</definedName>
    <definedName name="POSSIBILITIES" localSheetId="4" xml:space="preserve"> _xlfn.LAMBDA(_xlpm.Num_Posb_Outc,_xlpm.Num_Turns,_xlpm.Subs,
    _xlfn.LET(
        _xlpm.x, _xlpm.Num_Posb_Outc,
        _xlpm.y, _xlpm.Num_Turns,
        _xlpm.z, _xlpm.Subs,
        _xlpm.Ttl_Posb_Outc, _xlpm.x ^ _xlpm.y,
        _xlpm.Range1, _xlpm.x ^ _xlfn.SEQUENCE(1, _xlpm.y, _xlpm.y - 1, -1),
        _xlpm.Range2, _xlfn.MAKEARRAY(_xlpm.Ttl_Posb_Outc, _xlpm.y, _xlfn.LAMBDA(_xlpm.r,_xlpm.c, _xlpm.r)),
        _xlpm.Range3, _xlpm.Range2 / _xlpm.Range1,
        _xlpm.Range4, MOD(ROUNDUP(_xlpm.Range3, 0) - 1, _xlpm.x) + 1,
        _xlpm.Range5, MATCH(_xlpm.Subs, _xlpm.Subs, 0),
        _xlpm.Final_Result, _xlfn.XLOOKUP(_xlpm.Range4, _xlpm.Range5, _xlpm.Subs),
        _xlpm.Final_Result
    )
)</definedName>
    <definedName name="POSSIBILITIES" xml:space="preserve"> _xlfn.LAMBDA(_xlpm.Num_Posb_Outc,_xlpm.Num_Turns,_xlpm.Subs,
    _xlfn.LET(
        _xlpm.x, _xlpm.Num_Posb_Outc,
        _xlpm.y, _xlpm.Num_Turns,
        _xlpm.z, _xlpm.Subs,
        _xlpm.Ttl_Posb_Outc, _xlpm.x ^ _xlpm.y,
        _xlpm.Range1, _xlpm.x ^ _xlfn.SEQUENCE(1, _xlpm.y, _xlpm.y - 1, -1),
        _xlpm.Range2, _xlfn.MAKEARRAY(_xlpm.Ttl_Posb_Outc, _xlpm.y, _xlfn.LAMBDA(_xlpm.r,_xlpm.c, _xlpm.r)),
        _xlpm.Range3, _xlpm.Range2 / _xlpm.Range1,
        _xlpm.Range4, MOD(ROUNDUP(_xlpm.Range3, 0) - 1, _xlpm.x) + 1,
        _xlpm.Range5, MATCH(_xlpm.Subs, _xlpm.Subs, 0),
        _xlpm.Final_Result, _xlfn.XLOOKUP(_xlpm.Range4, _xlpm.Range5, _xlpm.Subs),
        _xlpm.Final_Result
    )
)</definedName>
    <definedName name="PrimeNos">#N/A</definedName>
    <definedName name="_xlnm.Print_Area" localSheetId="4">Diagram!$B$5:$D$24</definedName>
    <definedName name="PSI" localSheetId="4">_xlfn.LAMBDA(_xlpm.grade_series,_xlpm.partitioned_series,_xlfn.LET(_xlpm.dev, _xlfn.DROP(FREQUENCY(_xlfn._xlws.FILTER(_xlpm.grade_series, (_xlpm.partitioned_series = "DEV")), _xlfn._xlws.SORT(_xlfn.UNIQUE(_xlpm.grade_series))), -1) / COUNTA(_xlfn._xlws.FILTER(_xlpm.grade_series, (_xlpm.partitioned_series = "DEV"))), _xlpm.val, _xlfn.DROP(FREQUENCY(_xlfn._xlws.FILTER(_xlpm.grade_series, (_xlpm.partitioned_series = "VAL")), _xlfn._xlws.SORT(_xlfn.UNIQUE(_xlpm.grade_series))), -1) / COUNTA(_xlfn._xlws.FILTER(_xlpm.grade_series, (_xlpm.partitioned_series = "VAL"))), SUM(_xlfn.TOCOL((_xlpm.val - _xlpm.dev) * LN(_xlpm.val / _xlpm.dev), 3))))</definedName>
    <definedName name="PSI">_xlfn.LAMBDA(_xlpm.grade_series,_xlpm.partitioned_series,_xlfn.LET(_xlpm.dev, _xlfn.DROP(FREQUENCY(_xlfn._xlws.FILTER(_xlpm.grade_series, (_xlpm.partitioned_series = "DEV")), _xlfn._xlws.SORT(_xlfn.UNIQUE(_xlpm.grade_series))), -1) / COUNTA(_xlfn._xlws.FILTER(_xlpm.grade_series, (_xlpm.partitioned_series = "DEV"))), _xlpm.val, _xlfn.DROP(FREQUENCY(_xlfn._xlws.FILTER(_xlpm.grade_series, (_xlpm.partitioned_series = "VAL")), _xlfn._xlws.SORT(_xlfn.UNIQUE(_xlpm.grade_series))), -1) / COUNTA(_xlfn._xlws.FILTER(_xlpm.grade_series, (_xlpm.partitioned_series = "VAL"))), SUM(_xlfn.TOCOL((_xlpm.val - _xlpm.dev) * LN(_xlpm.val / _xlpm.dev), 3))))</definedName>
    <definedName name="PSI_Snapshots" localSheetId="4">_xlfn.LAMBDA(_xlpm.grade_series,_xlpm.snapshot_series,_xlpm.snapshot,_xlpm.interval,_xlfn.LET(_xlpm.u, _xlfn._xlws.SORT(_xlfn.UNIQUE(_xlpm.grade_series), , -1), _xlpm.dev, COUNTIFS(_xlpm.grade_series, _xlpm.u, _xlpm.snapshot_series, "&lt;" &amp; _xlpm.snapshot, _xlpm.snapshot_series, "&gt;" &amp; (_xlpm.snapshot - _xlpm.interval)) / COUNTIFS(_xlpm.snapshot_series, "&lt;" &amp; _xlpm.snapshot, _xlpm.snapshot_series, "&gt;" &amp; (_xlpm.snapshot - _xlpm.interval)), _xlpm.val, COUNTIFS(_xlpm.grade_series, _xlpm.u, _xlpm.snapshot_series, "=" &amp; _xlpm.snapshot) / COUNTIFS(_xlpm.snapshot_series, "=" &amp; _xlpm.snapshot), SUM(IFERROR((_xlpm.dev - _xlpm.val) * LN(_xlpm.dev / _xlpm.val), ""))))</definedName>
    <definedName name="PSI_Snapshots">_xlfn.LAMBDA(_xlpm.grade_series,_xlpm.snapshot_series,_xlpm.snapshot,_xlpm.interval,_xlfn.LET(_xlpm.u, _xlfn._xlws.SORT(_xlfn.UNIQUE(_xlpm.grade_series), , -1), _xlpm.dev, COUNTIFS(_xlpm.grade_series, _xlpm.u, _xlpm.snapshot_series, "&lt;" &amp; _xlpm.snapshot, _xlpm.snapshot_series, "&gt;" &amp; (_xlpm.snapshot - _xlpm.interval)) / COUNTIFS(_xlpm.snapshot_series, "&lt;" &amp; _xlpm.snapshot, _xlpm.snapshot_series, "&gt;" &amp; (_xlpm.snapshot - _xlpm.interval)), _xlpm.val, COUNTIFS(_xlpm.grade_series, _xlpm.u, _xlpm.snapshot_series, "=" &amp; _xlpm.snapshot) / COUNTIFS(_xlpm.snapshot_series, "=" &amp; _xlpm.snapshot), SUM(IFERROR((_xlpm.dev - _xlpm.val) * LN(_xlpm.dev / _xlpm.val), ""))))</definedName>
    <definedName name="Q">[2]Qtrly_TM!$E$33:$M$41</definedName>
    <definedName name="R_Long">#REF!</definedName>
    <definedName name="R_long_INR">#REF!</definedName>
    <definedName name="R_long_USD">#REF!</definedName>
    <definedName name="R_Parallel">#REF!</definedName>
    <definedName name="R_parallel_INR">#REF!</definedName>
    <definedName name="R_parallel_USD">#REF!</definedName>
    <definedName name="R_Short">#REF!</definedName>
    <definedName name="R_short_INR">#REF!</definedName>
    <definedName name="R_short_USD">#REF!</definedName>
    <definedName name="Rank_order_ODR_violation" localSheetId="4">_xlfn.LAMBDA(_xlpm.obs_def_series,_xlpm.grade_series,_xlfn.LET(_xlpm.a, _xlfn.MAP(_xlfn._xlws.SORT(_xlfn.UNIQUE(_xlpm.grade_series)), _xlfn.LAMBDA(_xlpm.x, AVERAGE(_xlfn._xlws.FILTER(_xlpm.obs_def_series, _xlpm.grade_series = _xlpm.x)))), SUM(1 - (_xlfn.DROP(_xlpm.a, 1) &gt;= _xlfn.DROP(_xlpm.a, -1)))))</definedName>
    <definedName name="Rank_order_ODR_violation">_xlfn.LAMBDA(_xlpm.obs_def_series,_xlpm.grade_series,_xlfn.LET(_xlpm.a, _xlfn.MAP(_xlfn._xlws.SORT(_xlfn.UNIQUE(_xlpm.grade_series)), _xlfn.LAMBDA(_xlpm.x, AVERAGE(_xlfn._xlws.FILTER(_xlpm.obs_def_series, _xlpm.grade_series = _xlpm.x)))), SUM(1 - (_xlfn.DROP(_xlpm.a, 1) &gt;= _xlfn.DROP(_xlpm.a, -1)))))</definedName>
    <definedName name="Rank_order_PD_violation" localSheetId="4">_xlfn.LAMBDA(_xlpm.logistic_pd_series,_xlpm.grade_series,_xlfn.LET(_xlpm.a, _xlfn.MAP(_xlfn._xlws.SORT(_xlfn.UNIQUE(_xlpm.grade_series)), _xlfn.LAMBDA(_xlpm.x, AVERAGE(_xlfn._xlws.FILTER(_xlpm.logistic_pd_series, _xlpm.grade_series = _xlpm.x)))), SUM(1 - (_xlfn.DROP(_xlpm.a, 1) &gt;= _xlfn.DROP(_xlpm.a, -1)))))</definedName>
    <definedName name="Rank_order_PD_violation">_xlfn.LAMBDA(_xlpm.logistic_pd_series,_xlpm.grade_series,_xlfn.LET(_xlpm.a, _xlfn.MAP(_xlfn._xlws.SORT(_xlfn.UNIQUE(_xlpm.grade_series)), _xlfn.LAMBDA(_xlpm.x, AVERAGE(_xlfn._xlws.FILTER(_xlpm.logistic_pd_series, _xlpm.grade_series = _xlpm.x)))), SUM(1 - (_xlfn.DROP(_xlpm.a, 1) &gt;= _xlfn.DROP(_xlpm.a, -1)))))</definedName>
    <definedName name="rate_baselin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catter_x">_xlfn.ANCHORARRAY([2]Wholesale!$U$55)</definedName>
    <definedName name="scatter_y">_xlfn.ANCHORARRAY([2]Wholesale!$V$55)</definedName>
    <definedName name="sd">#REF!</definedName>
    <definedName name="short_down" localSheetId="4">_xlfn.LAMBDA(_xlpm.base_curve,_xlpm.tenors,_xlpm.R_short,_xlpm.base_curve-_xlpm.R_short*EXP(-_xlpm.tenors/4)/10000)</definedName>
    <definedName name="short_down">_xlfn.LAMBDA(_xlpm.base_curve,_xlpm.tenors,_xlpm.R_short,_xlpm.base_curve-_xlpm.R_short*EXP(-_xlpm.tenors/4)/10000)</definedName>
    <definedName name="short_up" localSheetId="4">_xlfn.LAMBDA(_xlpm.base_curve,_xlpm.tenors,_xlpm.R_short,_xlpm.base_curve+_xlpm.R_short*EXP(-_xlpm.tenors/4)/10000)</definedName>
    <definedName name="short_up">_xlfn.LAMBDA(_xlpm.base_curve,_xlpm.tenors,_xlpm.R_short,_xlpm.base_curve+_xlpm.R_short*EXP(-_xlpm.tenors/4)/10000)</definedName>
    <definedName name="Solve" localSheetId="4">_xlfn.LAMBDA(_xlpm.staff,_xlpm.cost_matrix,_xlfn.LET(_xlpm.r, ROWS(_xlpm.staff), _xlpm.c, COLUMNS(_xlpm.cost_matrix), _xlpm.counter, _xlfn.SEQUENCE(_xlpm.r), _xlpm.GenerateCombin, _xlfn.LAMBDA(_xlpm.a,_xlpm.v, _xlfn.LET(_xlpm.taskA, _xlfn.EXPAND(_xlpm.v, PRODUCT(_xlpm.r - 1, _xlpm.r - 2), , _xlpm.v), _xlpm.filtered, _xlfn._xlws.FILTER(_xlpm.counter, _xlpm.counter &lt;&gt; _xlpm.v), _xlpm.taskB, _xlfn.TOCOL(_xlpm.filtered * _xlfn.SEQUENCE(, _xlpm.r - 2, 1, 0)), _xlpm.loop, _xlfn.LAMBDA(_xlpm.acc,_xlpm.val, _xlfn.LET(_xlpm.vector, _xlfn.TOCOL(_xlfn._xlws.FILTER(_xlpm.filtered, (_xlpm.filtered &lt;&gt; _xlpm.v) * (_xlpm.filtered &lt;&gt; _xlpm.val))), _xlfn.VSTACK(_xlpm.acc, _xlpm.vector))), _xlpm.taskC, _xlfn.DROP(_xlfn.REDUCE("", _xlpm.filtered, _xlpm.loop), 1), _xlfn.VSTACK(_xlpm.a, _xlfn.HSTACK(_xlpm.taskA, _xlpm.taskB, _xlpm.taskC)))), _xlpm.combin_matrix, _xlfn.DROP(_xlfn.REDUCE("", _xlpm.counter, _xlpm.GenerateCombin), 1), _xlpm.staff_matrix, INDEX(_xlpm.staff, _xlpm.combin_matrix), _xlpm.val_matrix, INDEX(_xlpm.cost_matrix, _xlpm.combin_matrix, _xlfn.SEQUENCE(, _xlpm.c)), _xlpm.totals, MMULT(_xlpm.val_matrix, _xlfn.SEQUENCE(_xlpm.c, , 1, 0)), _xlpm.lowest, MIN(_xlpm.totals), _xlpm.stack, _xlfn.DROP(_xlfn.HSTACK(_xlpm.staff_matrix, _xlpm.val_matrix, _xlpm.totals), , -1), _xlpm.filtered_stack, _xlfn.TOCOL(_xlfn._xlws.FILTER(_xlpm.stack, _xlpm.totals = _xlpm.lowest)), _xlpm.wrapped, _xlfn.WRAPROWS(_xlpm.filtered_stack, _xlpm.c), IFERROR(_xlfn.VSTACK(Tasks, _xlpm.wrapped), "-")))</definedName>
    <definedName name="Solve">_xlfn.LAMBDA(_xlpm.staff,_xlpm.cost_matrix,_xlfn.LET(_xlpm.r, ROWS(_xlpm.staff), _xlpm.c, COLUMNS(_xlpm.cost_matrix), _xlpm.counter, _xlfn.SEQUENCE(_xlpm.r), _xlpm.GenerateCombin, _xlfn.LAMBDA(_xlpm.a,_xlpm.v, _xlfn.LET(_xlpm.taskA, _xlfn.EXPAND(_xlpm.v, PRODUCT(_xlpm.r - 1, _xlpm.r - 2), , _xlpm.v), _xlpm.filtered, _xlfn._xlws.FILTER(_xlpm.counter, _xlpm.counter &lt;&gt; _xlpm.v), _xlpm.taskB, _xlfn.TOCOL(_xlpm.filtered * _xlfn.SEQUENCE(, _xlpm.r - 2, 1, 0)), _xlpm.loop, _xlfn.LAMBDA(_xlpm.acc,_xlpm.val, _xlfn.LET(_xlpm.vector, _xlfn.TOCOL(_xlfn._xlws.FILTER(_xlpm.filtered, (_xlpm.filtered &lt;&gt; _xlpm.v) * (_xlpm.filtered &lt;&gt; _xlpm.val))), _xlfn.VSTACK(_xlpm.acc, _xlpm.vector))), _xlpm.taskC, _xlfn.DROP(_xlfn.REDUCE("", _xlpm.filtered, _xlpm.loop), 1), _xlfn.VSTACK(_xlpm.a, _xlfn.HSTACK(_xlpm.taskA, _xlpm.taskB, _xlpm.taskC)))), _xlpm.combin_matrix, _xlfn.DROP(_xlfn.REDUCE("", _xlpm.counter, _xlpm.GenerateCombin), 1), _xlpm.staff_matrix, INDEX(_xlpm.staff, _xlpm.combin_matrix), _xlpm.val_matrix, INDEX(_xlpm.cost_matrix, _xlpm.combin_matrix, _xlfn.SEQUENCE(, _xlpm.c)), _xlpm.totals, MMULT(_xlpm.val_matrix, _xlfn.SEQUENCE(_xlpm.c, , 1, 0)), _xlpm.lowest, MIN(_xlpm.totals), _xlpm.stack, _xlfn.DROP(_xlfn.HSTACK(_xlpm.staff_matrix, _xlpm.val_matrix, _xlpm.totals), , -1), _xlpm.filtered_stack, _xlfn.TOCOL(_xlfn._xlws.FILTER(_xlpm.stack, _xlpm.totals = _xlpm.lowest)), _xlpm.wrapped, _xlfn.WRAPROWS(_xlpm.filtered_stack, _xlpm.c), IFERROR(_xlfn.VSTACK(Tasks, _xlpm.wrapped), "-")))</definedName>
    <definedName name="solver_adj" localSheetId="4" hidden="1">Diagram!$D$23,Diagram!$D$22</definedName>
    <definedName name="solver_cvg" localSheetId="4" hidden="1">0.001</definedName>
    <definedName name="solver_drv" localSheetId="4" hidden="1">1</definedName>
    <definedName name="solver_est" localSheetId="4" hidden="1">1</definedName>
    <definedName name="solver_itr" localSheetId="4" hidden="1">100</definedName>
    <definedName name="solver_lhs1" localSheetId="4" hidden="1">Diagram!$D$23</definedName>
    <definedName name="solver_lhs2" localSheetId="4" hidden="1">Diagram!$D$22</definedName>
    <definedName name="solver_lhs3" localSheetId="4" hidden="1">Diagram!#REF!</definedName>
    <definedName name="solver_lin" localSheetId="4" hidden="1">2</definedName>
    <definedName name="solver_neg" localSheetId="4" hidden="1">2</definedName>
    <definedName name="solver_ntri" hidden="1">1000</definedName>
    <definedName name="solver_num" localSheetId="4" hidden="1">3</definedName>
    <definedName name="solver_nwt" localSheetId="4" hidden="1">1</definedName>
    <definedName name="solver_opt" localSheetId="4" hidden="1">Diagram!#REF!</definedName>
    <definedName name="solver_pre" localSheetId="4" hidden="1">0.000001</definedName>
    <definedName name="solver_rcp" hidden="1">0</definedName>
    <definedName name="solver_rel1" localSheetId="4" hidden="1">3</definedName>
    <definedName name="solver_rel2" localSheetId="4" hidden="1">3</definedName>
    <definedName name="solver_rel3" localSheetId="4" hidden="1">2</definedName>
    <definedName name="solver_rhs1" localSheetId="4" hidden="1">0%</definedName>
    <definedName name="solver_rhs2" localSheetId="4" hidden="1">0</definedName>
    <definedName name="solver_rhs3" localSheetId="4" hidden="1">0</definedName>
    <definedName name="solver_rsmp" hidden="1">2</definedName>
    <definedName name="solver_scl" localSheetId="4" hidden="1">2</definedName>
    <definedName name="solver_seed" hidden="1">0</definedName>
    <definedName name="solver_sho" localSheetId="4" hidden="1">2</definedName>
    <definedName name="solver_tim" localSheetId="4" hidden="1">100</definedName>
    <definedName name="solver_tol" localSheetId="4" hidden="1">0.05</definedName>
    <definedName name="solver_typ" localSheetId="4" hidden="1">3</definedName>
    <definedName name="solver_val" localSheetId="4" hidden="1">0</definedName>
    <definedName name="Stability_PSI_Violation" localSheetId="4">_xlfn.LAMBDA(_xlpm.snapshot_series,_xlpm.grade_series,_xlpm.psi_threshold,_xlfn.LET(_xlpm.expected, _xlfn.DROP(FREQUENCY(_xlpm.grade_series, _xlfn._xlws.SORT(_xlfn.UNIQUE(_xlpm.grade_series))), -1) / COUNTA(_xlpm.grade_series), SUM(--(_xlfn.MAP(_xlfn.UNIQUE(_xlfn._xlws.SORT(_xlpm.snapshot_series)), _xlfn.LAMBDA(_xlpm.x, _xlfn.LET(_xlpm.act, _xlfn.DROP(FREQUENCY(_xlfn._xlws.FILTER(_xlpm.grade_series, _xlpm.snapshot_series = _xlpm.x), _xlfn._xlws.SORT(_xlfn.UNIQUE(_xlpm.grade_series))), -1) / COUNTA(_xlfn._xlws.FILTER(_xlpm.grade_series, _xlpm.snapshot_series = _xlpm.x)), SUM(_xlfn.TOCOL((_xlpm.act - _xlpm.expected) * LN(_xlpm.act / _xlpm.expected), 3))))) &gt; _xlpm.psi_threshold))))</definedName>
    <definedName name="Stability_PSI_Violation">_xlfn.LAMBDA(_xlpm.snapshot_series,_xlpm.grade_series,_xlpm.psi_threshold,_xlfn.LET(_xlpm.expected, _xlfn.DROP(FREQUENCY(_xlpm.grade_series, _xlfn._xlws.SORT(_xlfn.UNIQUE(_xlpm.grade_series))), -1) / COUNTA(_xlpm.grade_series), SUM(--(_xlfn.MAP(_xlfn.UNIQUE(_xlfn._xlws.SORT(_xlpm.snapshot_series)), _xlfn.LAMBDA(_xlpm.x, _xlfn.LET(_xlpm.act, _xlfn.DROP(FREQUENCY(_xlfn._xlws.FILTER(_xlpm.grade_series, _xlpm.snapshot_series = _xlpm.x), _xlfn._xlws.SORT(_xlfn.UNIQUE(_xlpm.grade_series))), -1) / COUNTA(_xlfn._xlws.FILTER(_xlpm.grade_series, _xlpm.snapshot_series = _xlpm.x)), SUM(_xlfn.TOCOL((_xlpm.act - _xlpm.expected) * LN(_xlpm.act / _xlpm.expected), 3))))) &gt; _xlpm.psi_threshold))))</definedName>
    <definedName name="steepener" localSheetId="4">_xlfn.LAMBDA(_xlpm.base_curve,_xlpm.tenors,_xlpm.R_short,_xlpm.R_long,_xlpm.base_curve-0.65*_xlpm.R_short*EXP(-_xlpm.tenors/4)/10000+0.9*_xlpm.R_long*(1-EXP(-_xlpm.tenors/4))/10000)</definedName>
    <definedName name="steepener">_xlfn.LAMBDA(_xlpm.base_curve,_xlpm.tenors,_xlpm.R_short,_xlpm.R_long,_xlpm.base_curve-0.65*_xlpm.R_short*EXP(-_xlpm.tenors/4)/10000+0.9*_xlpm.R_long*(1-EXP(-_xlpm.tenors/4))/10000)</definedName>
    <definedName name="stk">#REF!</definedName>
    <definedName name="stk_code">#REF!</definedName>
    <definedName name="swap_rate" localSheetId="4">_xlfn.LAMBDA(_xlpm.t,_xlpm.tau,_xlpm.T_alpha,_xlpm.T_beta,_xlpm.dfs,_xlpm.tenors,(Diagram!get_df(_xlpm.T_alpha-_xlpm.t,_xlpm.dfs,_xlpm.tenors)-Diagram!get_df(_xlpm.T_beta-_xlpm.t,_xlpm.dfs,_xlpm.tenors))/(_xlpm.tau*SUMIFS(_xlpm.dfs,_xlpm.tenors,"&gt;"&amp;_xlpm.T_alpha,_xlpm.tenors,"&lt;="&amp;_xlpm.T_beta)))</definedName>
    <definedName name="swap_rate">_xlfn.LAMBDA(_xlpm.t,_xlpm.tau,_xlpm.T_alpha,_xlpm.T_beta,_xlpm.dfs,_xlpm.tenors,(get_df(_xlpm.T_alpha-_xlpm.t,_xlpm.dfs,_xlpm.tenors)-get_df(_xlpm.T_beta-_xlpm.t,_xlpm.dfs,_xlpm.tenors))/(_xlpm.tau*SUMIFS(_xlpm.dfs,_xlpm.tenors,"&gt;"&amp;_xlpm.T_alpha,_xlpm.tenors,"&lt;="&amp;_xlpm.T_beta)))</definedName>
    <definedName name="Swaption" localSheetId="4">_xlfn.LAMBDA(_xlpm.t,_xlpm.T_alpha,_xlpm.T_beta,_xlpm.tau,_xlpm.sigma,_xlpm.N,_xlpm.K,_xlpm.w,_xlpm.dfs,_xlpm.tenors,_xlpm.N*_xlpm.tau*Diagram!Bl(_xlpm.K,Diagram!swap_rate(_xlpm.t,_xlpm.tau,_xlpm.T_alpha,_xlpm.T_beta,_xlpm.dfs,_xlpm.tenors),_xlpm.sigma*SQRT(_xlpm.T_alpha),_xlpm.w)*SUM(IF(_xlpm.tenors&gt;_xlpm.T_alpha,1,0)*IF(_xlpm.tenors&lt;=_xlpm.T_beta,1,0)*Diagram!get_df(_xlpm.tenors-_xlpm.t,_xlpm.dfs,_xlpm.tenors)))</definedName>
    <definedName name="Swaption">_xlfn.LAMBDA(_xlpm.t,_xlpm.T_alpha,_xlpm.T_beta,_xlpm.tau,_xlpm.sigma,_xlpm.N,_xlpm.K,_xlpm.w,_xlpm.dfs,_xlpm.tenors,_xlpm.N*_xlpm.tau*Bl(_xlpm.K,swap_rate(_xlpm.t,_xlpm.tau,_xlpm.T_alpha,_xlpm.T_beta,_xlpm.dfs,_xlpm.tenors),_xlpm.sigma*SQRT(_xlpm.T_alpha),_xlpm.w)*SUM(IF(_xlpm.tenors&gt;_xlpm.T_alpha,1,0)*IF(_xlpm.tenors&lt;=_xlpm.T_beta,1,0)*get_df(_xlpm.tenors-_xlpm.t,_xlpm.dfs,_xlpm.tenors)))</definedName>
    <definedName name="symbol">#REF!</definedName>
    <definedName name="TABLE" localSheetId="4">Diagram!$D$27:$W$35</definedName>
    <definedName name="TABLE_2" localSheetId="4">Diagram!$D$27:$W$35</definedName>
    <definedName name="TABLE_3" localSheetId="4">Diagram!$D$27:$W$35</definedName>
    <definedName name="TABLE_4" localSheetId="4">Diagram!$D$27:$W$35</definedName>
    <definedName name="Tasks">#REF!</definedName>
    <definedName name="Workers">#REF!</definedName>
    <definedName name="X0">#REF!</definedName>
    <definedName name="xCCy" localSheetId="4">_xlfn.LAMBDA(_xlpm.t,_xlpm.X_spot,_xlpm.T_alpha,_xlpm.T_beta,_xlpm.tau,_xlpm.Nf,_xlpm.Nd,_xlpm.Cf,_xlpm.Cd,_xlpm.dfs_d,_xlpm.dfs_f,_xlpm.tenors,_xlpm.Nf*_xlpm.X_spot-_xlpm.Nd+Diagram!CB(_xlpm.t,_xlpm.T_alpha,_xlpm.T_beta,_xlpm.tau,_xlpm.Nd,_xlpm.Cd,_xlpm.dfs_d,_xlpm.tenors)-Diagram!CB(_xlpm.t,_xlpm.T_alpha,_xlpm.T_beta,_xlpm.tau,_xlpm.Nf,_xlpm.Cf,_xlpm.dfs_f,_xlpm.tenors)*_xlpm.X_spot)</definedName>
    <definedName name="xCCy">_xlfn.LAMBDA(_xlpm.t,_xlpm.X_spot,_xlpm.T_alpha,_xlpm.T_beta,_xlpm.tau,_xlpm.Nf,_xlpm.Nd,_xlpm.Cf,_xlpm.Cd,_xlpm.dfs_d,_xlpm.dfs_f,_xlpm.tenors,_xlpm.Nf*_xlpm.X_spot-_xlpm.Nd+CB(_xlpm.t,_xlpm.T_alpha,_xlpm.T_beta,_xlpm.tau,_xlpm.Nd,_xlpm.Cd,_xlpm.dfs_d,_xlpm.tenors)-CB(_xlpm.t,_xlpm.T_alpha,_xlpm.T_beta,_xlpm.tau,_xlpm.Nf,_xlpm.Cf,_xlpm.dfs_f,_xlpm.tenors)*_xlpm.X_spot)</definedName>
    <definedName name="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17" l="1"/>
  <c r="F6" i="14"/>
  <c r="F5" i="14"/>
  <c r="F4" i="14"/>
  <c r="F3" i="14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N178" i="13"/>
  <c r="N179" i="13"/>
  <c r="N180" i="13"/>
  <c r="N181" i="13"/>
  <c r="N182" i="13"/>
  <c r="N183" i="13"/>
  <c r="N184" i="13"/>
  <c r="N185" i="13"/>
  <c r="N186" i="13"/>
  <c r="N187" i="13"/>
  <c r="N188" i="13"/>
  <c r="N189" i="13"/>
  <c r="N190" i="13"/>
  <c r="N191" i="13"/>
  <c r="N192" i="13"/>
  <c r="N193" i="13"/>
  <c r="N194" i="13"/>
  <c r="N195" i="13"/>
  <c r="N196" i="13"/>
  <c r="N197" i="13"/>
  <c r="N198" i="13"/>
  <c r="N199" i="13"/>
  <c r="N200" i="13"/>
  <c r="N201" i="13"/>
  <c r="N202" i="13"/>
  <c r="N203" i="13"/>
  <c r="N204" i="13"/>
  <c r="N205" i="13"/>
  <c r="N206" i="13"/>
  <c r="N207" i="13"/>
  <c r="N208" i="13"/>
  <c r="N209" i="13"/>
  <c r="N210" i="13"/>
  <c r="N211" i="13"/>
  <c r="N212" i="13"/>
  <c r="N213" i="13"/>
  <c r="N214" i="13"/>
  <c r="N215" i="13"/>
  <c r="N216" i="13"/>
  <c r="N217" i="13"/>
  <c r="N218" i="13"/>
  <c r="N219" i="13"/>
  <c r="N220" i="13"/>
  <c r="N221" i="13"/>
  <c r="N222" i="13"/>
  <c r="N223" i="13"/>
  <c r="N224" i="13"/>
  <c r="N225" i="13"/>
  <c r="N226" i="13"/>
  <c r="N227" i="13"/>
  <c r="N228" i="13"/>
  <c r="N229" i="13"/>
  <c r="N230" i="13"/>
  <c r="N231" i="13"/>
  <c r="N232" i="13"/>
  <c r="N233" i="13"/>
  <c r="N234" i="13"/>
  <c r="N235" i="13"/>
  <c r="N236" i="13"/>
  <c r="N237" i="13"/>
  <c r="N238" i="13"/>
  <c r="N239" i="13"/>
  <c r="N240" i="13"/>
  <c r="N241" i="13"/>
  <c r="N242" i="13"/>
  <c r="N243" i="13"/>
  <c r="N244" i="13"/>
  <c r="N245" i="13"/>
  <c r="N246" i="13"/>
  <c r="N247" i="13"/>
  <c r="N248" i="13"/>
  <c r="N249" i="13"/>
  <c r="N250" i="13"/>
  <c r="N251" i="13"/>
  <c r="N252" i="13"/>
  <c r="N253" i="13"/>
  <c r="N254" i="13"/>
  <c r="N255" i="13"/>
  <c r="N256" i="13"/>
  <c r="N257" i="13"/>
  <c r="N258" i="13"/>
  <c r="N259" i="13"/>
  <c r="N260" i="13"/>
  <c r="N261" i="13"/>
  <c r="N262" i="13"/>
  <c r="N263" i="13"/>
  <c r="N264" i="13"/>
  <c r="N265" i="13"/>
  <c r="N266" i="13"/>
  <c r="N267" i="13"/>
  <c r="N268" i="13"/>
  <c r="N269" i="13"/>
  <c r="N270" i="13"/>
  <c r="N271" i="13"/>
  <c r="N272" i="13"/>
  <c r="N273" i="13"/>
  <c r="N274" i="13"/>
  <c r="N275" i="13"/>
  <c r="N276" i="13"/>
  <c r="N277" i="13"/>
  <c r="N278" i="13"/>
  <c r="N279" i="13"/>
  <c r="N280" i="13"/>
  <c r="N281" i="13"/>
  <c r="N282" i="13"/>
  <c r="N283" i="13"/>
  <c r="N284" i="13"/>
  <c r="N285" i="13"/>
  <c r="N286" i="13"/>
  <c r="N287" i="13"/>
  <c r="N288" i="13"/>
  <c r="N289" i="13"/>
  <c r="N290" i="13"/>
  <c r="N291" i="13"/>
  <c r="N292" i="13"/>
  <c r="N293" i="13"/>
  <c r="N294" i="13"/>
  <c r="N295" i="13"/>
  <c r="N296" i="13"/>
  <c r="N297" i="13"/>
  <c r="N298" i="13"/>
  <c r="N299" i="13"/>
  <c r="N300" i="13"/>
  <c r="N301" i="13"/>
  <c r="N302" i="13"/>
  <c r="N303" i="13"/>
  <c r="N304" i="13"/>
  <c r="N305" i="13"/>
  <c r="N306" i="13"/>
  <c r="N307" i="13"/>
  <c r="N308" i="13"/>
  <c r="N309" i="13"/>
  <c r="N310" i="13"/>
  <c r="N311" i="13"/>
  <c r="N312" i="13"/>
  <c r="N313" i="13"/>
  <c r="N314" i="13"/>
  <c r="N315" i="13"/>
  <c r="N316" i="13"/>
  <c r="N317" i="13"/>
  <c r="N318" i="13"/>
  <c r="N319" i="13"/>
  <c r="N320" i="13"/>
  <c r="N321" i="13"/>
  <c r="N322" i="13"/>
  <c r="N323" i="13"/>
  <c r="N324" i="13"/>
  <c r="N325" i="13"/>
  <c r="N326" i="13"/>
  <c r="N327" i="13"/>
  <c r="N328" i="13"/>
  <c r="N329" i="13"/>
  <c r="N330" i="13"/>
  <c r="N331" i="13"/>
  <c r="N332" i="13"/>
  <c r="N333" i="13"/>
  <c r="N334" i="13"/>
  <c r="N335" i="13"/>
  <c r="N336" i="13"/>
  <c r="N337" i="13"/>
  <c r="N338" i="13"/>
  <c r="N339" i="13"/>
  <c r="N340" i="13"/>
  <c r="N341" i="13"/>
  <c r="N342" i="13"/>
  <c r="N343" i="13"/>
  <c r="N344" i="13"/>
  <c r="N345" i="13"/>
  <c r="N346" i="13"/>
  <c r="N347" i="13"/>
  <c r="N348" i="13"/>
  <c r="N349" i="13"/>
  <c r="N350" i="13"/>
  <c r="N351" i="13"/>
  <c r="N352" i="13"/>
  <c r="N353" i="13"/>
  <c r="N354" i="13"/>
  <c r="N355" i="13"/>
  <c r="N356" i="13"/>
  <c r="N357" i="13"/>
  <c r="N358" i="13"/>
  <c r="N359" i="13"/>
  <c r="N360" i="13"/>
  <c r="N361" i="13"/>
  <c r="N362" i="13"/>
  <c r="N363" i="13"/>
  <c r="N364" i="13"/>
  <c r="N365" i="13"/>
  <c r="N366" i="13"/>
  <c r="N367" i="13"/>
  <c r="N368" i="13"/>
  <c r="N369" i="13"/>
  <c r="N370" i="13"/>
  <c r="N371" i="13"/>
  <c r="N372" i="13"/>
  <c r="N373" i="13"/>
  <c r="N374" i="13"/>
  <c r="N375" i="13"/>
  <c r="N376" i="13"/>
  <c r="N377" i="13"/>
  <c r="N378" i="13"/>
  <c r="N379" i="13"/>
  <c r="N380" i="13"/>
  <c r="N381" i="13"/>
  <c r="N382" i="13"/>
  <c r="N383" i="13"/>
  <c r="N384" i="13"/>
  <c r="N385" i="13"/>
  <c r="N386" i="13"/>
  <c r="N387" i="13"/>
  <c r="N388" i="13"/>
  <c r="N389" i="13"/>
  <c r="N390" i="13"/>
  <c r="N391" i="13"/>
  <c r="N392" i="13"/>
  <c r="N393" i="13"/>
  <c r="N394" i="13"/>
  <c r="N395" i="13"/>
  <c r="N396" i="13"/>
  <c r="N397" i="13"/>
  <c r="N398" i="13"/>
  <c r="N399" i="13"/>
  <c r="N400" i="13"/>
  <c r="N401" i="13"/>
  <c r="N402" i="13"/>
  <c r="N403" i="13"/>
  <c r="N404" i="13"/>
  <c r="N405" i="13"/>
  <c r="N406" i="13"/>
  <c r="N407" i="13"/>
  <c r="N408" i="13"/>
  <c r="N409" i="13"/>
  <c r="N410" i="13"/>
  <c r="N411" i="13"/>
  <c r="N412" i="13"/>
  <c r="N413" i="13"/>
  <c r="N414" i="13"/>
  <c r="N415" i="13"/>
  <c r="N416" i="13"/>
  <c r="N417" i="13"/>
  <c r="N418" i="13"/>
  <c r="N419" i="13"/>
  <c r="N420" i="13"/>
  <c r="N421" i="13"/>
  <c r="N422" i="13"/>
  <c r="N423" i="13"/>
  <c r="N424" i="13"/>
  <c r="N425" i="13"/>
  <c r="N426" i="13"/>
  <c r="N427" i="13"/>
  <c r="N428" i="13"/>
  <c r="N429" i="13"/>
  <c r="N430" i="13"/>
  <c r="N431" i="13"/>
  <c r="N432" i="13"/>
  <c r="N433" i="13"/>
  <c r="N434" i="13"/>
  <c r="N435" i="13"/>
  <c r="N436" i="13"/>
  <c r="N437" i="13"/>
  <c r="N438" i="13"/>
  <c r="N439" i="13"/>
  <c r="N440" i="13"/>
  <c r="N441" i="13"/>
  <c r="N442" i="13"/>
  <c r="N443" i="13"/>
  <c r="N444" i="13"/>
  <c r="N445" i="13"/>
  <c r="N446" i="13"/>
  <c r="N447" i="13"/>
  <c r="N448" i="13"/>
  <c r="N449" i="13"/>
  <c r="N450" i="13"/>
  <c r="N451" i="13"/>
  <c r="N452" i="13"/>
  <c r="N453" i="13"/>
  <c r="N454" i="13"/>
  <c r="N455" i="13"/>
  <c r="N456" i="13"/>
  <c r="N457" i="13"/>
  <c r="N458" i="13"/>
  <c r="N459" i="13"/>
  <c r="N460" i="13"/>
  <c r="N461" i="13"/>
  <c r="N462" i="13"/>
  <c r="N463" i="13"/>
  <c r="N464" i="13"/>
  <c r="N465" i="13"/>
  <c r="N466" i="13"/>
  <c r="N467" i="13"/>
  <c r="N468" i="13"/>
  <c r="N469" i="13"/>
  <c r="N470" i="13"/>
  <c r="N471" i="13"/>
  <c r="N472" i="13"/>
  <c r="N473" i="13"/>
  <c r="N474" i="13"/>
  <c r="N475" i="13"/>
  <c r="N476" i="13"/>
  <c r="N477" i="13"/>
  <c r="N478" i="13"/>
  <c r="N479" i="13"/>
  <c r="N480" i="13"/>
  <c r="N481" i="13"/>
  <c r="N482" i="13"/>
  <c r="N483" i="13"/>
  <c r="N484" i="13"/>
  <c r="N485" i="13"/>
  <c r="N486" i="13"/>
  <c r="N487" i="13"/>
  <c r="N488" i="13"/>
  <c r="N489" i="13"/>
  <c r="N490" i="13"/>
  <c r="N491" i="13"/>
  <c r="N492" i="13"/>
  <c r="N493" i="13"/>
  <c r="N494" i="13"/>
  <c r="N495" i="13"/>
  <c r="N496" i="13"/>
  <c r="N497" i="13"/>
  <c r="N498" i="13"/>
  <c r="N499" i="13"/>
  <c r="N500" i="13"/>
  <c r="N501" i="13"/>
  <c r="N502" i="13"/>
  <c r="N503" i="13"/>
  <c r="N504" i="13"/>
  <c r="N505" i="13"/>
  <c r="N506" i="13"/>
  <c r="N507" i="13"/>
  <c r="N508" i="13"/>
  <c r="N509" i="13"/>
  <c r="N510" i="13"/>
  <c r="N511" i="13"/>
  <c r="N512" i="13"/>
  <c r="N513" i="13"/>
  <c r="N514" i="13"/>
  <c r="N515" i="13"/>
  <c r="N516" i="13"/>
  <c r="N517" i="13"/>
  <c r="N518" i="13"/>
  <c r="N519" i="13"/>
  <c r="N520" i="13"/>
  <c r="N521" i="13"/>
  <c r="N522" i="13"/>
  <c r="N523" i="13"/>
  <c r="N524" i="13"/>
  <c r="N525" i="13"/>
  <c r="N526" i="13"/>
  <c r="N527" i="13"/>
  <c r="N528" i="13"/>
  <c r="N529" i="13"/>
  <c r="N530" i="13"/>
  <c r="N531" i="13"/>
  <c r="N532" i="13"/>
  <c r="N533" i="13"/>
  <c r="N534" i="13"/>
  <c r="N535" i="13"/>
  <c r="N536" i="13"/>
  <c r="N537" i="13"/>
  <c r="N538" i="13"/>
  <c r="N539" i="13"/>
  <c r="N540" i="13"/>
  <c r="N541" i="13"/>
  <c r="N542" i="13"/>
  <c r="N543" i="13"/>
  <c r="N544" i="13"/>
  <c r="N545" i="13"/>
  <c r="N546" i="13"/>
  <c r="N547" i="13"/>
  <c r="N548" i="13"/>
  <c r="N549" i="13"/>
  <c r="N550" i="13"/>
  <c r="N551" i="13"/>
  <c r="N552" i="13"/>
  <c r="N553" i="13"/>
  <c r="N554" i="13"/>
  <c r="N555" i="13"/>
  <c r="N556" i="13"/>
  <c r="N557" i="13"/>
  <c r="N558" i="13"/>
  <c r="N559" i="13"/>
  <c r="N560" i="13"/>
  <c r="N561" i="13"/>
  <c r="N562" i="13"/>
  <c r="N563" i="13"/>
  <c r="N564" i="13"/>
  <c r="N565" i="13"/>
  <c r="N566" i="13"/>
  <c r="N567" i="13"/>
  <c r="N568" i="13"/>
  <c r="N569" i="13"/>
  <c r="N570" i="13"/>
  <c r="N571" i="13"/>
  <c r="N572" i="13"/>
  <c r="N573" i="13"/>
  <c r="N574" i="13"/>
  <c r="N575" i="13"/>
  <c r="N576" i="13"/>
  <c r="N577" i="13"/>
  <c r="N578" i="13"/>
  <c r="N579" i="13"/>
  <c r="N580" i="13"/>
  <c r="N581" i="13"/>
  <c r="N582" i="13"/>
  <c r="N583" i="13"/>
  <c r="N584" i="13"/>
  <c r="N585" i="13"/>
  <c r="N586" i="13"/>
  <c r="N587" i="13"/>
  <c r="N588" i="13"/>
  <c r="N589" i="13"/>
  <c r="N590" i="13"/>
  <c r="N591" i="13"/>
  <c r="N592" i="13"/>
  <c r="N593" i="13"/>
  <c r="N594" i="13"/>
  <c r="N595" i="13"/>
  <c r="N596" i="13"/>
  <c r="N597" i="13"/>
  <c r="N598" i="13"/>
  <c r="N599" i="13"/>
  <c r="N600" i="13"/>
  <c r="N601" i="13"/>
  <c r="N602" i="13"/>
  <c r="N603" i="13"/>
  <c r="N604" i="13"/>
  <c r="N605" i="13"/>
  <c r="N606" i="13"/>
  <c r="N607" i="13"/>
  <c r="N608" i="13"/>
  <c r="N609" i="13"/>
  <c r="N610" i="13"/>
  <c r="N611" i="13"/>
  <c r="N612" i="13"/>
  <c r="N613" i="13"/>
  <c r="N614" i="13"/>
  <c r="N615" i="13"/>
  <c r="N616" i="13"/>
  <c r="N617" i="13"/>
  <c r="N618" i="13"/>
  <c r="N619" i="13"/>
  <c r="N620" i="13"/>
  <c r="N621" i="13"/>
  <c r="N622" i="13"/>
  <c r="N623" i="13"/>
  <c r="N624" i="13"/>
  <c r="N625" i="13"/>
  <c r="N626" i="13"/>
  <c r="N627" i="13"/>
  <c r="N628" i="13"/>
  <c r="N629" i="13"/>
  <c r="N630" i="13"/>
  <c r="N631" i="13"/>
  <c r="N632" i="13"/>
  <c r="N633" i="13"/>
  <c r="N634" i="13"/>
  <c r="N635" i="13"/>
  <c r="N636" i="13"/>
  <c r="N637" i="13"/>
  <c r="N638" i="13"/>
  <c r="N639" i="13"/>
  <c r="N640" i="13"/>
  <c r="N641" i="13"/>
  <c r="N642" i="13"/>
  <c r="N643" i="13"/>
  <c r="N644" i="13"/>
  <c r="N645" i="13"/>
  <c r="N646" i="13"/>
  <c r="N647" i="13"/>
  <c r="N648" i="13"/>
  <c r="N649" i="13"/>
  <c r="N650" i="13"/>
  <c r="N651" i="13"/>
  <c r="N652" i="13"/>
  <c r="N653" i="13"/>
  <c r="N654" i="13"/>
  <c r="N655" i="13"/>
  <c r="N656" i="13"/>
  <c r="N657" i="13"/>
  <c r="N658" i="13"/>
  <c r="N659" i="13"/>
  <c r="N660" i="13"/>
  <c r="N661" i="13"/>
  <c r="N662" i="13"/>
  <c r="N663" i="13"/>
  <c r="N664" i="13"/>
  <c r="N665" i="13"/>
  <c r="N666" i="13"/>
  <c r="N667" i="13"/>
  <c r="N668" i="13"/>
  <c r="N669" i="13"/>
  <c r="N670" i="13"/>
  <c r="N671" i="13"/>
  <c r="N672" i="13"/>
  <c r="N673" i="13"/>
  <c r="N674" i="13"/>
  <c r="N675" i="13"/>
  <c r="N676" i="13"/>
  <c r="N677" i="13"/>
  <c r="N678" i="13"/>
  <c r="N679" i="13"/>
  <c r="N680" i="13"/>
  <c r="N681" i="13"/>
  <c r="N682" i="13"/>
  <c r="N683" i="13"/>
  <c r="N684" i="13"/>
  <c r="N685" i="13"/>
  <c r="N686" i="13"/>
  <c r="N687" i="13"/>
  <c r="N688" i="13"/>
  <c r="N689" i="13"/>
  <c r="N690" i="13"/>
  <c r="N691" i="13"/>
  <c r="N692" i="13"/>
  <c r="N693" i="13"/>
  <c r="N694" i="13"/>
  <c r="N695" i="13"/>
  <c r="N696" i="13"/>
  <c r="N697" i="13"/>
  <c r="N698" i="13"/>
  <c r="N699" i="13"/>
  <c r="N700" i="13"/>
  <c r="N701" i="13"/>
  <c r="N702" i="13"/>
  <c r="N703" i="13"/>
  <c r="N704" i="13"/>
  <c r="N705" i="13"/>
  <c r="N706" i="13"/>
  <c r="N707" i="13"/>
  <c r="N708" i="13"/>
  <c r="N709" i="13"/>
  <c r="N710" i="13"/>
  <c r="N711" i="13"/>
  <c r="N712" i="13"/>
  <c r="N713" i="13"/>
  <c r="N714" i="13"/>
  <c r="N715" i="13"/>
  <c r="N716" i="13"/>
  <c r="N717" i="13"/>
  <c r="N718" i="13"/>
  <c r="N719" i="13"/>
  <c r="N720" i="13"/>
  <c r="N721" i="13"/>
  <c r="N722" i="13"/>
  <c r="N723" i="13"/>
  <c r="N724" i="13"/>
  <c r="N725" i="13"/>
  <c r="N726" i="13"/>
  <c r="N727" i="13"/>
  <c r="N728" i="13"/>
  <c r="N729" i="13"/>
  <c r="N730" i="13"/>
  <c r="N731" i="13"/>
  <c r="N732" i="13"/>
  <c r="N733" i="13"/>
  <c r="N734" i="13"/>
  <c r="N735" i="13"/>
  <c r="N736" i="13"/>
  <c r="N737" i="13"/>
  <c r="N738" i="13"/>
  <c r="N739" i="13"/>
  <c r="N740" i="13"/>
  <c r="N741" i="13"/>
  <c r="N742" i="13"/>
  <c r="N743" i="13"/>
  <c r="N744" i="13"/>
  <c r="N745" i="13"/>
  <c r="N746" i="13"/>
  <c r="N747" i="13"/>
  <c r="N748" i="13"/>
  <c r="N749" i="13"/>
  <c r="N750" i="13"/>
  <c r="N751" i="13"/>
  <c r="N752" i="13"/>
  <c r="N753" i="13"/>
  <c r="N754" i="13"/>
  <c r="N755" i="13"/>
  <c r="N756" i="13"/>
  <c r="N757" i="13"/>
  <c r="N758" i="13"/>
  <c r="N759" i="13"/>
  <c r="N760" i="13"/>
  <c r="N761" i="13"/>
  <c r="N762" i="13"/>
  <c r="N763" i="13"/>
  <c r="N764" i="13"/>
  <c r="N765" i="13"/>
  <c r="N766" i="13"/>
  <c r="N767" i="13"/>
  <c r="N768" i="13"/>
  <c r="N769" i="13"/>
  <c r="N770" i="13"/>
  <c r="N771" i="13"/>
  <c r="N772" i="13"/>
  <c r="N773" i="13"/>
  <c r="N774" i="13"/>
  <c r="N775" i="13"/>
  <c r="N776" i="13"/>
  <c r="N777" i="13"/>
  <c r="N778" i="13"/>
  <c r="N779" i="13"/>
  <c r="N780" i="13"/>
  <c r="N781" i="13"/>
  <c r="N782" i="13"/>
  <c r="N783" i="13"/>
  <c r="N784" i="13"/>
  <c r="N785" i="13"/>
  <c r="N786" i="13"/>
  <c r="N787" i="13"/>
  <c r="N788" i="13"/>
  <c r="N789" i="13"/>
  <c r="N790" i="13"/>
  <c r="N791" i="13"/>
  <c r="N792" i="13"/>
  <c r="N793" i="13"/>
  <c r="N794" i="13"/>
  <c r="N795" i="13"/>
  <c r="N796" i="13"/>
  <c r="N797" i="13"/>
  <c r="N798" i="13"/>
  <c r="N799" i="13"/>
  <c r="N800" i="13"/>
  <c r="N801" i="13"/>
  <c r="N802" i="13"/>
  <c r="N803" i="13"/>
  <c r="N804" i="13"/>
  <c r="N805" i="13"/>
  <c r="N806" i="13"/>
  <c r="N807" i="13"/>
  <c r="N808" i="13"/>
  <c r="N809" i="13"/>
  <c r="N810" i="13"/>
  <c r="N811" i="13"/>
  <c r="N812" i="13"/>
  <c r="N813" i="13"/>
  <c r="N814" i="13"/>
  <c r="N815" i="13"/>
  <c r="N816" i="13"/>
  <c r="N817" i="13"/>
  <c r="N818" i="13"/>
  <c r="N819" i="13"/>
  <c r="N820" i="13"/>
  <c r="N821" i="13"/>
  <c r="N822" i="13"/>
  <c r="N823" i="13"/>
  <c r="N824" i="13"/>
  <c r="N825" i="13"/>
  <c r="N826" i="13"/>
  <c r="N827" i="13"/>
  <c r="N828" i="13"/>
  <c r="N829" i="13"/>
  <c r="N830" i="13"/>
  <c r="N831" i="13"/>
  <c r="N832" i="13"/>
  <c r="N833" i="13"/>
  <c r="N834" i="13"/>
  <c r="N835" i="13"/>
  <c r="N836" i="13"/>
  <c r="N837" i="13"/>
  <c r="N838" i="13"/>
  <c r="N839" i="13"/>
  <c r="N840" i="13"/>
  <c r="N841" i="13"/>
  <c r="N842" i="13"/>
  <c r="N843" i="13"/>
  <c r="N844" i="13"/>
  <c r="N845" i="13"/>
  <c r="N846" i="13"/>
  <c r="N847" i="13"/>
  <c r="N848" i="13"/>
  <c r="N849" i="13"/>
  <c r="N850" i="13"/>
  <c r="N851" i="13"/>
  <c r="N852" i="13"/>
  <c r="N853" i="13"/>
  <c r="N854" i="13"/>
  <c r="N855" i="13"/>
  <c r="N856" i="13"/>
  <c r="N857" i="13"/>
  <c r="N858" i="13"/>
  <c r="N859" i="13"/>
  <c r="N860" i="13"/>
  <c r="N861" i="13"/>
  <c r="N862" i="13"/>
  <c r="N863" i="13"/>
  <c r="N864" i="13"/>
  <c r="N865" i="13"/>
  <c r="N866" i="13"/>
  <c r="N867" i="13"/>
  <c r="N868" i="13"/>
  <c r="N869" i="13"/>
  <c r="N870" i="13"/>
  <c r="N871" i="13"/>
  <c r="N872" i="13"/>
  <c r="N873" i="13"/>
  <c r="N874" i="13"/>
  <c r="N875" i="13"/>
  <c r="N876" i="13"/>
  <c r="N877" i="13"/>
  <c r="N878" i="13"/>
  <c r="N879" i="13"/>
  <c r="N880" i="13"/>
  <c r="N881" i="13"/>
  <c r="N882" i="13"/>
  <c r="N883" i="13"/>
  <c r="N884" i="13"/>
  <c r="N885" i="13"/>
  <c r="N886" i="13"/>
  <c r="N887" i="13"/>
  <c r="N888" i="13"/>
  <c r="N889" i="13"/>
  <c r="N890" i="13"/>
  <c r="N891" i="13"/>
  <c r="N892" i="13"/>
  <c r="N893" i="13"/>
  <c r="N894" i="13"/>
  <c r="N895" i="13"/>
  <c r="N896" i="13"/>
  <c r="N897" i="13"/>
  <c r="N898" i="13"/>
  <c r="N899" i="13"/>
  <c r="N900" i="13"/>
  <c r="N901" i="13"/>
  <c r="N902" i="13"/>
  <c r="N903" i="13"/>
  <c r="N904" i="13"/>
  <c r="N905" i="13"/>
  <c r="N906" i="13"/>
  <c r="N907" i="13"/>
  <c r="N908" i="13"/>
  <c r="N909" i="13"/>
  <c r="N910" i="13"/>
  <c r="N911" i="13"/>
  <c r="N912" i="13"/>
  <c r="N913" i="13"/>
  <c r="N914" i="13"/>
  <c r="N915" i="13"/>
  <c r="N916" i="13"/>
  <c r="N917" i="13"/>
  <c r="N918" i="13"/>
  <c r="N919" i="13"/>
  <c r="N920" i="13"/>
  <c r="N921" i="13"/>
  <c r="N922" i="13"/>
  <c r="N923" i="13"/>
  <c r="N924" i="13"/>
  <c r="N925" i="13"/>
  <c r="N926" i="13"/>
  <c r="N927" i="13"/>
  <c r="N928" i="13"/>
  <c r="N929" i="13"/>
  <c r="N930" i="13"/>
  <c r="N931" i="13"/>
  <c r="N932" i="13"/>
  <c r="N933" i="13"/>
  <c r="N934" i="13"/>
  <c r="N935" i="13"/>
  <c r="N936" i="13"/>
  <c r="N937" i="13"/>
  <c r="N938" i="13"/>
  <c r="N939" i="13"/>
  <c r="N940" i="13"/>
  <c r="N941" i="13"/>
  <c r="N942" i="13"/>
  <c r="N943" i="13"/>
  <c r="N944" i="13"/>
  <c r="N945" i="13"/>
  <c r="N946" i="13"/>
  <c r="N947" i="13"/>
  <c r="N948" i="13"/>
  <c r="N949" i="13"/>
  <c r="N950" i="13"/>
  <c r="N951" i="13"/>
  <c r="N952" i="13"/>
  <c r="N953" i="13"/>
  <c r="N954" i="13"/>
  <c r="N955" i="13"/>
  <c r="N956" i="13"/>
  <c r="N957" i="13"/>
  <c r="N958" i="13"/>
  <c r="N959" i="13"/>
  <c r="N960" i="13"/>
  <c r="N961" i="13"/>
  <c r="N962" i="13"/>
  <c r="N963" i="13"/>
  <c r="N964" i="13"/>
  <c r="N965" i="13"/>
  <c r="N966" i="13"/>
  <c r="N967" i="13"/>
  <c r="N968" i="13"/>
  <c r="N969" i="13"/>
  <c r="N970" i="13"/>
  <c r="N971" i="13"/>
  <c r="N972" i="13"/>
  <c r="N973" i="13"/>
  <c r="N974" i="13"/>
  <c r="N975" i="13"/>
  <c r="N976" i="13"/>
  <c r="N977" i="13"/>
  <c r="N978" i="13"/>
  <c r="N979" i="13"/>
  <c r="N980" i="13"/>
  <c r="N981" i="13"/>
  <c r="N982" i="13"/>
  <c r="N983" i="13"/>
  <c r="N984" i="13"/>
  <c r="N985" i="13"/>
  <c r="N986" i="13"/>
  <c r="N987" i="13"/>
  <c r="N988" i="13"/>
  <c r="N989" i="13"/>
  <c r="N990" i="13"/>
  <c r="N991" i="13"/>
  <c r="N992" i="13"/>
  <c r="N993" i="13"/>
  <c r="N994" i="13"/>
  <c r="N995" i="13"/>
  <c r="N996" i="13"/>
  <c r="N997" i="13"/>
  <c r="N998" i="13"/>
  <c r="N999" i="13"/>
  <c r="N1000" i="13"/>
  <c r="N1001" i="13"/>
  <c r="N1002" i="13"/>
  <c r="N1003" i="13"/>
  <c r="N3" i="13"/>
  <c r="M4" i="13" a="1"/>
  <c r="P28" i="13" s="1"/>
  <c r="M3" i="13"/>
  <c r="J4" i="13"/>
  <c r="J3" i="13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305" i="12"/>
  <c r="N306" i="12"/>
  <c r="N307" i="12"/>
  <c r="N308" i="12"/>
  <c r="N309" i="12"/>
  <c r="N310" i="12"/>
  <c r="N311" i="12"/>
  <c r="N312" i="12"/>
  <c r="N313" i="12"/>
  <c r="N314" i="12"/>
  <c r="N315" i="12"/>
  <c r="N316" i="12"/>
  <c r="N317" i="12"/>
  <c r="N318" i="12"/>
  <c r="N319" i="12"/>
  <c r="N320" i="12"/>
  <c r="N321" i="12"/>
  <c r="N322" i="12"/>
  <c r="N323" i="12"/>
  <c r="N324" i="12"/>
  <c r="N325" i="12"/>
  <c r="N326" i="12"/>
  <c r="N327" i="12"/>
  <c r="N328" i="12"/>
  <c r="N329" i="12"/>
  <c r="N330" i="12"/>
  <c r="N331" i="12"/>
  <c r="N332" i="12"/>
  <c r="N333" i="12"/>
  <c r="N334" i="12"/>
  <c r="N335" i="12"/>
  <c r="N336" i="12"/>
  <c r="N337" i="12"/>
  <c r="N338" i="12"/>
  <c r="N339" i="12"/>
  <c r="N340" i="12"/>
  <c r="N341" i="12"/>
  <c r="N342" i="12"/>
  <c r="N343" i="12"/>
  <c r="N344" i="12"/>
  <c r="N345" i="12"/>
  <c r="N346" i="12"/>
  <c r="N347" i="12"/>
  <c r="N348" i="12"/>
  <c r="N349" i="12"/>
  <c r="N350" i="12"/>
  <c r="N351" i="12"/>
  <c r="N352" i="12"/>
  <c r="N353" i="12"/>
  <c r="N354" i="12"/>
  <c r="N355" i="12"/>
  <c r="N356" i="12"/>
  <c r="N357" i="12"/>
  <c r="N358" i="12"/>
  <c r="N359" i="12"/>
  <c r="N360" i="12"/>
  <c r="N361" i="12"/>
  <c r="N362" i="12"/>
  <c r="N363" i="12"/>
  <c r="N364" i="12"/>
  <c r="N365" i="12"/>
  <c r="N366" i="12"/>
  <c r="N367" i="12"/>
  <c r="N368" i="12"/>
  <c r="N369" i="12"/>
  <c r="N370" i="12"/>
  <c r="N371" i="12"/>
  <c r="N372" i="12"/>
  <c r="N373" i="12"/>
  <c r="N374" i="12"/>
  <c r="N375" i="12"/>
  <c r="N376" i="12"/>
  <c r="N377" i="12"/>
  <c r="N378" i="12"/>
  <c r="N379" i="12"/>
  <c r="N380" i="12"/>
  <c r="N381" i="12"/>
  <c r="N382" i="12"/>
  <c r="N383" i="12"/>
  <c r="N384" i="12"/>
  <c r="N385" i="12"/>
  <c r="N386" i="12"/>
  <c r="N387" i="12"/>
  <c r="N388" i="12"/>
  <c r="N389" i="12"/>
  <c r="N390" i="12"/>
  <c r="N391" i="12"/>
  <c r="N392" i="12"/>
  <c r="N393" i="12"/>
  <c r="N394" i="12"/>
  <c r="N395" i="12"/>
  <c r="N396" i="12"/>
  <c r="N397" i="12"/>
  <c r="N398" i="12"/>
  <c r="N399" i="12"/>
  <c r="N400" i="12"/>
  <c r="N401" i="12"/>
  <c r="N402" i="12"/>
  <c r="N403" i="12"/>
  <c r="N404" i="12"/>
  <c r="N405" i="12"/>
  <c r="N406" i="12"/>
  <c r="N407" i="12"/>
  <c r="N408" i="12"/>
  <c r="N409" i="12"/>
  <c r="N410" i="12"/>
  <c r="N411" i="12"/>
  <c r="N412" i="12"/>
  <c r="N413" i="12"/>
  <c r="N414" i="12"/>
  <c r="N415" i="12"/>
  <c r="N416" i="12"/>
  <c r="N417" i="12"/>
  <c r="N418" i="12"/>
  <c r="N419" i="12"/>
  <c r="N420" i="12"/>
  <c r="N421" i="12"/>
  <c r="N422" i="12"/>
  <c r="N423" i="12"/>
  <c r="N424" i="12"/>
  <c r="N425" i="12"/>
  <c r="N426" i="12"/>
  <c r="N427" i="12"/>
  <c r="N428" i="12"/>
  <c r="N429" i="12"/>
  <c r="N430" i="12"/>
  <c r="N431" i="12"/>
  <c r="N432" i="12"/>
  <c r="N433" i="12"/>
  <c r="N434" i="12"/>
  <c r="N435" i="12"/>
  <c r="N436" i="12"/>
  <c r="N437" i="12"/>
  <c r="N438" i="12"/>
  <c r="N439" i="12"/>
  <c r="N440" i="12"/>
  <c r="N441" i="12"/>
  <c r="N442" i="12"/>
  <c r="N443" i="12"/>
  <c r="N444" i="12"/>
  <c r="N445" i="12"/>
  <c r="N446" i="12"/>
  <c r="N447" i="12"/>
  <c r="N448" i="12"/>
  <c r="N449" i="12"/>
  <c r="N450" i="12"/>
  <c r="N451" i="12"/>
  <c r="N452" i="12"/>
  <c r="N453" i="12"/>
  <c r="N454" i="12"/>
  <c r="N455" i="12"/>
  <c r="N456" i="12"/>
  <c r="N457" i="12"/>
  <c r="N458" i="12"/>
  <c r="N459" i="12"/>
  <c r="N460" i="12"/>
  <c r="N461" i="12"/>
  <c r="N462" i="12"/>
  <c r="N463" i="12"/>
  <c r="N464" i="12"/>
  <c r="N465" i="12"/>
  <c r="N466" i="12"/>
  <c r="N467" i="12"/>
  <c r="N468" i="12"/>
  <c r="N469" i="12"/>
  <c r="N470" i="12"/>
  <c r="N471" i="12"/>
  <c r="N472" i="12"/>
  <c r="N473" i="12"/>
  <c r="N474" i="12"/>
  <c r="N475" i="12"/>
  <c r="N476" i="12"/>
  <c r="N477" i="12"/>
  <c r="N478" i="12"/>
  <c r="N479" i="12"/>
  <c r="N480" i="12"/>
  <c r="N481" i="12"/>
  <c r="N482" i="12"/>
  <c r="N483" i="12"/>
  <c r="N484" i="12"/>
  <c r="N485" i="12"/>
  <c r="N486" i="12"/>
  <c r="N487" i="12"/>
  <c r="N488" i="12"/>
  <c r="N489" i="12"/>
  <c r="N490" i="12"/>
  <c r="N491" i="12"/>
  <c r="N492" i="12"/>
  <c r="N493" i="12"/>
  <c r="N494" i="12"/>
  <c r="N495" i="12"/>
  <c r="N496" i="12"/>
  <c r="N497" i="12"/>
  <c r="N498" i="12"/>
  <c r="N499" i="12"/>
  <c r="N500" i="12"/>
  <c r="N501" i="12"/>
  <c r="N502" i="12"/>
  <c r="N503" i="12"/>
  <c r="N504" i="12"/>
  <c r="N505" i="12"/>
  <c r="N506" i="12"/>
  <c r="N507" i="12"/>
  <c r="N508" i="12"/>
  <c r="N509" i="12"/>
  <c r="N510" i="12"/>
  <c r="N511" i="12"/>
  <c r="N512" i="12"/>
  <c r="N513" i="12"/>
  <c r="N514" i="12"/>
  <c r="N515" i="12"/>
  <c r="N516" i="12"/>
  <c r="N517" i="12"/>
  <c r="N518" i="12"/>
  <c r="N519" i="12"/>
  <c r="N520" i="12"/>
  <c r="N521" i="12"/>
  <c r="N522" i="12"/>
  <c r="N523" i="12"/>
  <c r="N524" i="12"/>
  <c r="N525" i="12"/>
  <c r="N526" i="12"/>
  <c r="N527" i="12"/>
  <c r="N528" i="12"/>
  <c r="N529" i="12"/>
  <c r="N530" i="12"/>
  <c r="N531" i="12"/>
  <c r="N532" i="12"/>
  <c r="N533" i="12"/>
  <c r="N534" i="12"/>
  <c r="N535" i="12"/>
  <c r="N536" i="12"/>
  <c r="N537" i="12"/>
  <c r="N538" i="12"/>
  <c r="N539" i="12"/>
  <c r="N540" i="12"/>
  <c r="N541" i="12"/>
  <c r="N542" i="12"/>
  <c r="N543" i="12"/>
  <c r="N544" i="12"/>
  <c r="N545" i="12"/>
  <c r="N546" i="12"/>
  <c r="N547" i="12"/>
  <c r="N548" i="12"/>
  <c r="N549" i="12"/>
  <c r="N550" i="12"/>
  <c r="N551" i="12"/>
  <c r="N552" i="12"/>
  <c r="N553" i="12"/>
  <c r="N554" i="12"/>
  <c r="N555" i="12"/>
  <c r="N556" i="12"/>
  <c r="N557" i="12"/>
  <c r="N558" i="12"/>
  <c r="N559" i="12"/>
  <c r="N560" i="12"/>
  <c r="N561" i="12"/>
  <c r="N562" i="12"/>
  <c r="N563" i="12"/>
  <c r="N564" i="12"/>
  <c r="N565" i="12"/>
  <c r="N566" i="12"/>
  <c r="N567" i="12"/>
  <c r="N568" i="12"/>
  <c r="N569" i="12"/>
  <c r="N570" i="12"/>
  <c r="N571" i="12"/>
  <c r="N572" i="12"/>
  <c r="N573" i="12"/>
  <c r="N574" i="12"/>
  <c r="N575" i="12"/>
  <c r="N576" i="12"/>
  <c r="N577" i="12"/>
  <c r="N578" i="12"/>
  <c r="N579" i="12"/>
  <c r="N580" i="12"/>
  <c r="N581" i="12"/>
  <c r="N582" i="12"/>
  <c r="N583" i="12"/>
  <c r="N584" i="12"/>
  <c r="N585" i="12"/>
  <c r="N586" i="12"/>
  <c r="N587" i="12"/>
  <c r="N588" i="12"/>
  <c r="N589" i="12"/>
  <c r="N590" i="12"/>
  <c r="N591" i="12"/>
  <c r="N592" i="12"/>
  <c r="N593" i="12"/>
  <c r="N594" i="12"/>
  <c r="N595" i="12"/>
  <c r="N596" i="12"/>
  <c r="N597" i="12"/>
  <c r="N598" i="12"/>
  <c r="N599" i="12"/>
  <c r="N600" i="12"/>
  <c r="N601" i="12"/>
  <c r="N602" i="12"/>
  <c r="N603" i="12"/>
  <c r="N604" i="12"/>
  <c r="N605" i="12"/>
  <c r="N606" i="12"/>
  <c r="N607" i="12"/>
  <c r="N608" i="12"/>
  <c r="N609" i="12"/>
  <c r="N610" i="12"/>
  <c r="N611" i="12"/>
  <c r="N612" i="12"/>
  <c r="N613" i="12"/>
  <c r="N614" i="12"/>
  <c r="N615" i="12"/>
  <c r="N616" i="12"/>
  <c r="N617" i="12"/>
  <c r="N618" i="12"/>
  <c r="N619" i="12"/>
  <c r="N620" i="12"/>
  <c r="N621" i="12"/>
  <c r="N622" i="12"/>
  <c r="N623" i="12"/>
  <c r="N624" i="12"/>
  <c r="N625" i="12"/>
  <c r="N626" i="12"/>
  <c r="N627" i="12"/>
  <c r="N628" i="12"/>
  <c r="N629" i="12"/>
  <c r="N630" i="12"/>
  <c r="N631" i="12"/>
  <c r="N632" i="12"/>
  <c r="N633" i="12"/>
  <c r="N634" i="12"/>
  <c r="N635" i="12"/>
  <c r="N636" i="12"/>
  <c r="N637" i="12"/>
  <c r="N638" i="12"/>
  <c r="N639" i="12"/>
  <c r="N640" i="12"/>
  <c r="N641" i="12"/>
  <c r="N642" i="12"/>
  <c r="N643" i="12"/>
  <c r="N644" i="12"/>
  <c r="N645" i="12"/>
  <c r="N646" i="12"/>
  <c r="N647" i="12"/>
  <c r="N648" i="12"/>
  <c r="N649" i="12"/>
  <c r="N650" i="12"/>
  <c r="N651" i="12"/>
  <c r="N652" i="12"/>
  <c r="N653" i="12"/>
  <c r="N654" i="12"/>
  <c r="N655" i="12"/>
  <c r="N656" i="12"/>
  <c r="N657" i="12"/>
  <c r="N658" i="12"/>
  <c r="N659" i="12"/>
  <c r="N660" i="12"/>
  <c r="N661" i="12"/>
  <c r="N662" i="12"/>
  <c r="N663" i="12"/>
  <c r="N664" i="12"/>
  <c r="N665" i="12"/>
  <c r="N666" i="12"/>
  <c r="N667" i="12"/>
  <c r="N668" i="12"/>
  <c r="N669" i="12"/>
  <c r="N670" i="12"/>
  <c r="N671" i="12"/>
  <c r="N672" i="12"/>
  <c r="N673" i="12"/>
  <c r="N674" i="12"/>
  <c r="N675" i="12"/>
  <c r="N676" i="12"/>
  <c r="N677" i="12"/>
  <c r="N678" i="12"/>
  <c r="N679" i="12"/>
  <c r="N680" i="12"/>
  <c r="N681" i="12"/>
  <c r="N682" i="12"/>
  <c r="N683" i="12"/>
  <c r="N684" i="12"/>
  <c r="N685" i="12"/>
  <c r="N686" i="12"/>
  <c r="N687" i="12"/>
  <c r="N688" i="12"/>
  <c r="N689" i="12"/>
  <c r="N690" i="12"/>
  <c r="N691" i="12"/>
  <c r="N692" i="12"/>
  <c r="N693" i="12"/>
  <c r="N694" i="12"/>
  <c r="N695" i="12"/>
  <c r="N696" i="12"/>
  <c r="N697" i="12"/>
  <c r="N698" i="12"/>
  <c r="N699" i="12"/>
  <c r="N700" i="12"/>
  <c r="N701" i="12"/>
  <c r="N702" i="12"/>
  <c r="N703" i="12"/>
  <c r="N704" i="12"/>
  <c r="N705" i="12"/>
  <c r="N706" i="12"/>
  <c r="N707" i="12"/>
  <c r="N708" i="12"/>
  <c r="N709" i="12"/>
  <c r="N710" i="12"/>
  <c r="N711" i="12"/>
  <c r="N712" i="12"/>
  <c r="N713" i="12"/>
  <c r="N714" i="12"/>
  <c r="N715" i="12"/>
  <c r="N716" i="12"/>
  <c r="N717" i="12"/>
  <c r="N718" i="12"/>
  <c r="N719" i="12"/>
  <c r="N720" i="12"/>
  <c r="N721" i="12"/>
  <c r="N722" i="12"/>
  <c r="N723" i="12"/>
  <c r="N724" i="12"/>
  <c r="N725" i="12"/>
  <c r="N726" i="12"/>
  <c r="N727" i="12"/>
  <c r="N728" i="12"/>
  <c r="N729" i="12"/>
  <c r="N730" i="12"/>
  <c r="N731" i="12"/>
  <c r="N732" i="12"/>
  <c r="N733" i="12"/>
  <c r="N734" i="12"/>
  <c r="N735" i="12"/>
  <c r="N736" i="12"/>
  <c r="N737" i="12"/>
  <c r="N738" i="12"/>
  <c r="N739" i="12"/>
  <c r="N740" i="12"/>
  <c r="N741" i="12"/>
  <c r="N742" i="12"/>
  <c r="N743" i="12"/>
  <c r="N744" i="12"/>
  <c r="N745" i="12"/>
  <c r="N746" i="12"/>
  <c r="N747" i="12"/>
  <c r="N748" i="12"/>
  <c r="N749" i="12"/>
  <c r="N750" i="12"/>
  <c r="N751" i="12"/>
  <c r="N752" i="12"/>
  <c r="N753" i="12"/>
  <c r="N754" i="12"/>
  <c r="N755" i="12"/>
  <c r="N756" i="12"/>
  <c r="N757" i="12"/>
  <c r="N758" i="12"/>
  <c r="N759" i="12"/>
  <c r="N760" i="12"/>
  <c r="N761" i="12"/>
  <c r="N762" i="12"/>
  <c r="N763" i="12"/>
  <c r="N764" i="12"/>
  <c r="N765" i="12"/>
  <c r="N766" i="12"/>
  <c r="N767" i="12"/>
  <c r="N768" i="12"/>
  <c r="N769" i="12"/>
  <c r="N770" i="12"/>
  <c r="N771" i="12"/>
  <c r="N772" i="12"/>
  <c r="N773" i="12"/>
  <c r="N774" i="12"/>
  <c r="N775" i="12"/>
  <c r="N776" i="12"/>
  <c r="N777" i="12"/>
  <c r="N778" i="12"/>
  <c r="N779" i="12"/>
  <c r="N780" i="12"/>
  <c r="N781" i="12"/>
  <c r="N782" i="12"/>
  <c r="N783" i="12"/>
  <c r="N784" i="12"/>
  <c r="N785" i="12"/>
  <c r="N786" i="12"/>
  <c r="N787" i="12"/>
  <c r="N788" i="12"/>
  <c r="N789" i="12"/>
  <c r="N790" i="12"/>
  <c r="N791" i="12"/>
  <c r="N792" i="12"/>
  <c r="N793" i="12"/>
  <c r="N794" i="12"/>
  <c r="N795" i="12"/>
  <c r="N796" i="12"/>
  <c r="N797" i="12"/>
  <c r="N798" i="12"/>
  <c r="N799" i="12"/>
  <c r="N800" i="12"/>
  <c r="N801" i="12"/>
  <c r="N802" i="12"/>
  <c r="N803" i="12"/>
  <c r="N804" i="12"/>
  <c r="N805" i="12"/>
  <c r="N806" i="12"/>
  <c r="N807" i="12"/>
  <c r="N808" i="12"/>
  <c r="N809" i="12"/>
  <c r="N810" i="12"/>
  <c r="N811" i="12"/>
  <c r="N812" i="12"/>
  <c r="N813" i="12"/>
  <c r="N814" i="12"/>
  <c r="N815" i="12"/>
  <c r="N816" i="12"/>
  <c r="N817" i="12"/>
  <c r="N818" i="12"/>
  <c r="N819" i="12"/>
  <c r="N820" i="12"/>
  <c r="N821" i="12"/>
  <c r="N822" i="12"/>
  <c r="N823" i="12"/>
  <c r="N824" i="12"/>
  <c r="N825" i="12"/>
  <c r="N826" i="12"/>
  <c r="N827" i="12"/>
  <c r="N828" i="12"/>
  <c r="N829" i="12"/>
  <c r="N830" i="12"/>
  <c r="N831" i="12"/>
  <c r="N832" i="12"/>
  <c r="N833" i="12"/>
  <c r="N834" i="12"/>
  <c r="N835" i="12"/>
  <c r="N836" i="12"/>
  <c r="N837" i="12"/>
  <c r="N838" i="12"/>
  <c r="N839" i="12"/>
  <c r="N840" i="12"/>
  <c r="N841" i="12"/>
  <c r="N842" i="12"/>
  <c r="N843" i="12"/>
  <c r="N844" i="12"/>
  <c r="N845" i="12"/>
  <c r="N846" i="12"/>
  <c r="N847" i="12"/>
  <c r="N848" i="12"/>
  <c r="N849" i="12"/>
  <c r="N850" i="12"/>
  <c r="N851" i="12"/>
  <c r="N852" i="12"/>
  <c r="N853" i="12"/>
  <c r="N854" i="12"/>
  <c r="N855" i="12"/>
  <c r="N856" i="12"/>
  <c r="N857" i="12"/>
  <c r="N858" i="12"/>
  <c r="N859" i="12"/>
  <c r="N860" i="12"/>
  <c r="N861" i="12"/>
  <c r="N862" i="12"/>
  <c r="N863" i="12"/>
  <c r="N864" i="12"/>
  <c r="N865" i="12"/>
  <c r="N866" i="12"/>
  <c r="N867" i="12"/>
  <c r="N868" i="12"/>
  <c r="N869" i="12"/>
  <c r="N870" i="12"/>
  <c r="N871" i="12"/>
  <c r="N872" i="12"/>
  <c r="N873" i="12"/>
  <c r="N874" i="12"/>
  <c r="N875" i="12"/>
  <c r="N876" i="12"/>
  <c r="N877" i="12"/>
  <c r="N878" i="12"/>
  <c r="N879" i="12"/>
  <c r="N880" i="12"/>
  <c r="N881" i="12"/>
  <c r="N882" i="12"/>
  <c r="N883" i="12"/>
  <c r="N884" i="12"/>
  <c r="N885" i="12"/>
  <c r="N886" i="12"/>
  <c r="N887" i="12"/>
  <c r="N888" i="12"/>
  <c r="N889" i="12"/>
  <c r="N890" i="12"/>
  <c r="N891" i="12"/>
  <c r="N892" i="12"/>
  <c r="N893" i="12"/>
  <c r="N894" i="12"/>
  <c r="N895" i="12"/>
  <c r="N896" i="12"/>
  <c r="N897" i="12"/>
  <c r="N898" i="12"/>
  <c r="N899" i="12"/>
  <c r="N900" i="12"/>
  <c r="N901" i="12"/>
  <c r="N902" i="12"/>
  <c r="N903" i="12"/>
  <c r="N904" i="12"/>
  <c r="N905" i="12"/>
  <c r="N906" i="12"/>
  <c r="N907" i="12"/>
  <c r="N908" i="12"/>
  <c r="N909" i="12"/>
  <c r="N910" i="12"/>
  <c r="N911" i="12"/>
  <c r="N912" i="12"/>
  <c r="N913" i="12"/>
  <c r="N914" i="12"/>
  <c r="N915" i="12"/>
  <c r="N916" i="12"/>
  <c r="N917" i="12"/>
  <c r="N918" i="12"/>
  <c r="N919" i="12"/>
  <c r="N920" i="12"/>
  <c r="N921" i="12"/>
  <c r="N922" i="12"/>
  <c r="N923" i="12"/>
  <c r="N924" i="12"/>
  <c r="N925" i="12"/>
  <c r="N926" i="12"/>
  <c r="N927" i="12"/>
  <c r="N928" i="12"/>
  <c r="N929" i="12"/>
  <c r="N930" i="12"/>
  <c r="N931" i="12"/>
  <c r="N932" i="12"/>
  <c r="N933" i="12"/>
  <c r="N934" i="12"/>
  <c r="N935" i="12"/>
  <c r="N936" i="12"/>
  <c r="N937" i="12"/>
  <c r="N938" i="12"/>
  <c r="N939" i="12"/>
  <c r="N940" i="12"/>
  <c r="N941" i="12"/>
  <c r="N942" i="12"/>
  <c r="N943" i="12"/>
  <c r="N944" i="12"/>
  <c r="N945" i="12"/>
  <c r="N946" i="12"/>
  <c r="N947" i="12"/>
  <c r="N948" i="12"/>
  <c r="N949" i="12"/>
  <c r="N950" i="12"/>
  <c r="N951" i="12"/>
  <c r="N952" i="12"/>
  <c r="N953" i="12"/>
  <c r="N954" i="12"/>
  <c r="N955" i="12"/>
  <c r="N956" i="12"/>
  <c r="N957" i="12"/>
  <c r="N958" i="12"/>
  <c r="N959" i="12"/>
  <c r="N960" i="12"/>
  <c r="N961" i="12"/>
  <c r="N962" i="12"/>
  <c r="N963" i="12"/>
  <c r="N964" i="12"/>
  <c r="N965" i="12"/>
  <c r="N966" i="12"/>
  <c r="N967" i="12"/>
  <c r="N968" i="12"/>
  <c r="N969" i="12"/>
  <c r="N970" i="12"/>
  <c r="N971" i="12"/>
  <c r="N972" i="12"/>
  <c r="N973" i="12"/>
  <c r="N974" i="12"/>
  <c r="N975" i="12"/>
  <c r="N976" i="12"/>
  <c r="N977" i="12"/>
  <c r="N978" i="12"/>
  <c r="N979" i="12"/>
  <c r="N980" i="12"/>
  <c r="N981" i="12"/>
  <c r="N982" i="12"/>
  <c r="N983" i="12"/>
  <c r="N984" i="12"/>
  <c r="N985" i="12"/>
  <c r="N986" i="12"/>
  <c r="N987" i="12"/>
  <c r="N988" i="12"/>
  <c r="N989" i="12"/>
  <c r="N990" i="12"/>
  <c r="N991" i="12"/>
  <c r="N992" i="12"/>
  <c r="N993" i="12"/>
  <c r="N994" i="12"/>
  <c r="N995" i="12"/>
  <c r="N996" i="12"/>
  <c r="N997" i="12"/>
  <c r="N998" i="12"/>
  <c r="N999" i="12"/>
  <c r="N1000" i="12"/>
  <c r="N1001" i="12"/>
  <c r="N1002" i="12"/>
  <c r="N1003" i="12"/>
  <c r="N3" i="12"/>
  <c r="M4" i="12" a="1"/>
  <c r="P20" i="12" s="1"/>
  <c r="M3" i="12"/>
  <c r="J4" i="12"/>
  <c r="J3" i="12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960" i="9"/>
  <c r="N961" i="9"/>
  <c r="N962" i="9"/>
  <c r="N963" i="9"/>
  <c r="N964" i="9"/>
  <c r="N965" i="9"/>
  <c r="N966" i="9"/>
  <c r="N967" i="9"/>
  <c r="N968" i="9"/>
  <c r="N969" i="9"/>
  <c r="N970" i="9"/>
  <c r="N971" i="9"/>
  <c r="N972" i="9"/>
  <c r="N973" i="9"/>
  <c r="N974" i="9"/>
  <c r="N975" i="9"/>
  <c r="N976" i="9"/>
  <c r="N977" i="9"/>
  <c r="N978" i="9"/>
  <c r="N979" i="9"/>
  <c r="N980" i="9"/>
  <c r="N981" i="9"/>
  <c r="N982" i="9"/>
  <c r="N983" i="9"/>
  <c r="N984" i="9"/>
  <c r="N985" i="9"/>
  <c r="N986" i="9"/>
  <c r="N987" i="9"/>
  <c r="N988" i="9"/>
  <c r="N989" i="9"/>
  <c r="N990" i="9"/>
  <c r="N991" i="9"/>
  <c r="N992" i="9"/>
  <c r="N993" i="9"/>
  <c r="N994" i="9"/>
  <c r="N995" i="9"/>
  <c r="N996" i="9"/>
  <c r="N997" i="9"/>
  <c r="N998" i="9"/>
  <c r="N999" i="9"/>
  <c r="N1000" i="9"/>
  <c r="N1001" i="9"/>
  <c r="N1002" i="9"/>
  <c r="N1003" i="9"/>
  <c r="N3" i="9"/>
  <c r="M4" i="9" a="1"/>
  <c r="P648" i="9" s="1"/>
  <c r="M3" i="9"/>
  <c r="J4" i="9"/>
  <c r="J3" i="9"/>
  <c r="O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N1002" i="7"/>
  <c r="N1003" i="7"/>
  <c r="N3" i="7"/>
  <c r="M4" i="7" a="1"/>
  <c r="M3" i="7"/>
  <c r="J4" i="7"/>
  <c r="I3" i="17" s="1"/>
  <c r="J3" i="7"/>
  <c r="G4" i="9" a="1"/>
  <c r="G4" i="9" s="1"/>
  <c r="G3" i="17"/>
  <c r="D26" i="16" s="1"/>
  <c r="AD9" i="16" s="1"/>
  <c r="F3" i="17"/>
  <c r="H3" i="17"/>
  <c r="F4" i="17"/>
  <c r="G4" i="17"/>
  <c r="H4" i="17"/>
  <c r="I4" i="17"/>
  <c r="F5" i="17"/>
  <c r="G5" i="17"/>
  <c r="H5" i="17"/>
  <c r="F6" i="17"/>
  <c r="G6" i="17"/>
  <c r="H6" i="17"/>
  <c r="I6" i="17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V49" i="16"/>
  <c r="V50" i="16"/>
  <c r="V51" i="16"/>
  <c r="V52" i="16"/>
  <c r="V53" i="16"/>
  <c r="V54" i="16"/>
  <c r="V55" i="16"/>
  <c r="G4" i="12" a="1"/>
  <c r="G4" i="12"/>
  <c r="G4" i="13" a="1"/>
  <c r="G4" i="13"/>
  <c r="G4" i="7" a="1"/>
  <c r="G4" i="7"/>
  <c r="D22" i="16"/>
  <c r="D23" i="16" l="1"/>
  <c r="F23" i="16" s="1"/>
  <c r="P1001" i="13"/>
  <c r="P993" i="13"/>
  <c r="P985" i="13"/>
  <c r="P977" i="13"/>
  <c r="P969" i="13"/>
  <c r="P961" i="13"/>
  <c r="P945" i="13"/>
  <c r="P937" i="13"/>
  <c r="P929" i="13"/>
  <c r="P921" i="13"/>
  <c r="P913" i="13"/>
  <c r="P905" i="13"/>
  <c r="P897" i="13"/>
  <c r="P889" i="13"/>
  <c r="P881" i="13"/>
  <c r="P873" i="13"/>
  <c r="P865" i="13"/>
  <c r="P857" i="13"/>
  <c r="P849" i="13"/>
  <c r="P841" i="13"/>
  <c r="P833" i="13"/>
  <c r="P825" i="13"/>
  <c r="P817" i="13"/>
  <c r="P809" i="13"/>
  <c r="P801" i="13"/>
  <c r="P785" i="13"/>
  <c r="P777" i="13"/>
  <c r="P769" i="13"/>
  <c r="P761" i="13"/>
  <c r="P753" i="13"/>
  <c r="P745" i="13"/>
  <c r="P737" i="13"/>
  <c r="P729" i="13"/>
  <c r="P721" i="13"/>
  <c r="P713" i="13"/>
  <c r="P705" i="13"/>
  <c r="P697" i="13"/>
  <c r="P689" i="13"/>
  <c r="P676" i="13"/>
  <c r="P654" i="13"/>
  <c r="P634" i="13"/>
  <c r="P612" i="13"/>
  <c r="P590" i="13"/>
  <c r="P570" i="13"/>
  <c r="P548" i="13"/>
  <c r="P526" i="13"/>
  <c r="P506" i="13"/>
  <c r="P484" i="13"/>
  <c r="P462" i="13"/>
  <c r="P442" i="13"/>
  <c r="P420" i="13"/>
  <c r="P398" i="13"/>
  <c r="P378" i="13"/>
  <c r="P356" i="13"/>
  <c r="P334" i="13"/>
  <c r="P314" i="13"/>
  <c r="P292" i="13"/>
  <c r="P270" i="13"/>
  <c r="P250" i="13"/>
  <c r="P228" i="13"/>
  <c r="P206" i="13"/>
  <c r="P186" i="13"/>
  <c r="P164" i="13"/>
  <c r="P142" i="13"/>
  <c r="P122" i="13"/>
  <c r="P100" i="13"/>
  <c r="P78" i="13"/>
  <c r="P36" i="13"/>
  <c r="P1000" i="13"/>
  <c r="P992" i="13"/>
  <c r="P984" i="13"/>
  <c r="P976" i="13"/>
  <c r="P968" i="13"/>
  <c r="P960" i="13"/>
  <c r="P952" i="13"/>
  <c r="P944" i="13"/>
  <c r="P936" i="13"/>
  <c r="P928" i="13"/>
  <c r="P920" i="13"/>
  <c r="P912" i="13"/>
  <c r="P904" i="13"/>
  <c r="P896" i="13"/>
  <c r="P888" i="13"/>
  <c r="P880" i="13"/>
  <c r="P872" i="13"/>
  <c r="P864" i="13"/>
  <c r="P856" i="13"/>
  <c r="P848" i="13"/>
  <c r="P840" i="13"/>
  <c r="P832" i="13"/>
  <c r="P824" i="13"/>
  <c r="P816" i="13"/>
  <c r="P808" i="13"/>
  <c r="P800" i="13"/>
  <c r="P792" i="13"/>
  <c r="P784" i="13"/>
  <c r="P776" i="13"/>
  <c r="P768" i="13"/>
  <c r="P760" i="13"/>
  <c r="P752" i="13"/>
  <c r="P744" i="13"/>
  <c r="P736" i="13"/>
  <c r="P728" i="13"/>
  <c r="P720" i="13"/>
  <c r="P712" i="13"/>
  <c r="P704" i="13"/>
  <c r="P696" i="13"/>
  <c r="P688" i="13"/>
  <c r="P674" i="13"/>
  <c r="P652" i="13"/>
  <c r="P630" i="13"/>
  <c r="P610" i="13"/>
  <c r="P588" i="13"/>
  <c r="P566" i="13"/>
  <c r="P546" i="13"/>
  <c r="P524" i="13"/>
  <c r="P502" i="13"/>
  <c r="P482" i="13"/>
  <c r="P460" i="13"/>
  <c r="P438" i="13"/>
  <c r="P418" i="13"/>
  <c r="P396" i="13"/>
  <c r="P374" i="13"/>
  <c r="P354" i="13"/>
  <c r="P332" i="13"/>
  <c r="P310" i="13"/>
  <c r="P290" i="13"/>
  <c r="P268" i="13"/>
  <c r="P246" i="13"/>
  <c r="P226" i="13"/>
  <c r="P204" i="13"/>
  <c r="P182" i="13"/>
  <c r="P162" i="13"/>
  <c r="P140" i="13"/>
  <c r="P118" i="13"/>
  <c r="P98" i="13"/>
  <c r="P76" i="13"/>
  <c r="P54" i="13"/>
  <c r="P34" i="13"/>
  <c r="P999" i="13"/>
  <c r="P991" i="13"/>
  <c r="P983" i="13"/>
  <c r="P975" i="13"/>
  <c r="P967" i="13"/>
  <c r="P959" i="13"/>
  <c r="P951" i="13"/>
  <c r="P943" i="13"/>
  <c r="P935" i="13"/>
  <c r="P927" i="13"/>
  <c r="P919" i="13"/>
  <c r="P911" i="13"/>
  <c r="P903" i="13"/>
  <c r="P895" i="13"/>
  <c r="P887" i="13"/>
  <c r="P879" i="13"/>
  <c r="P871" i="13"/>
  <c r="P863" i="13"/>
  <c r="P855" i="13"/>
  <c r="P847" i="13"/>
  <c r="P839" i="13"/>
  <c r="P831" i="13"/>
  <c r="P823" i="13"/>
  <c r="P815" i="13"/>
  <c r="P807" i="13"/>
  <c r="P799" i="13"/>
  <c r="P791" i="13"/>
  <c r="P783" i="13"/>
  <c r="P775" i="13"/>
  <c r="P767" i="13"/>
  <c r="P759" i="13"/>
  <c r="P751" i="13"/>
  <c r="P743" i="13"/>
  <c r="P735" i="13"/>
  <c r="P727" i="13"/>
  <c r="P719" i="13"/>
  <c r="P711" i="13"/>
  <c r="P703" i="13"/>
  <c r="P695" i="13"/>
  <c r="P687" i="13"/>
  <c r="P670" i="13"/>
  <c r="P650" i="13"/>
  <c r="P628" i="13"/>
  <c r="P606" i="13"/>
  <c r="P586" i="13"/>
  <c r="P564" i="13"/>
  <c r="P542" i="13"/>
  <c r="P522" i="13"/>
  <c r="P500" i="13"/>
  <c r="P478" i="13"/>
  <c r="P458" i="13"/>
  <c r="P436" i="13"/>
  <c r="P414" i="13"/>
  <c r="P394" i="13"/>
  <c r="P372" i="13"/>
  <c r="P350" i="13"/>
  <c r="P330" i="13"/>
  <c r="P308" i="13"/>
  <c r="P286" i="13"/>
  <c r="P266" i="13"/>
  <c r="P244" i="13"/>
  <c r="P222" i="13"/>
  <c r="P202" i="13"/>
  <c r="P180" i="13"/>
  <c r="P158" i="13"/>
  <c r="P138" i="13"/>
  <c r="P116" i="13"/>
  <c r="P94" i="13"/>
  <c r="P74" i="13"/>
  <c r="P52" i="13"/>
  <c r="P30" i="13"/>
  <c r="P953" i="13"/>
  <c r="P58" i="13"/>
  <c r="P998" i="13"/>
  <c r="P990" i="13"/>
  <c r="P982" i="13"/>
  <c r="P974" i="13"/>
  <c r="P966" i="13"/>
  <c r="P958" i="13"/>
  <c r="P950" i="13"/>
  <c r="P942" i="13"/>
  <c r="P934" i="13"/>
  <c r="P926" i="13"/>
  <c r="P918" i="13"/>
  <c r="P910" i="13"/>
  <c r="P902" i="13"/>
  <c r="P894" i="13"/>
  <c r="P886" i="13"/>
  <c r="P878" i="13"/>
  <c r="P870" i="13"/>
  <c r="P862" i="13"/>
  <c r="P854" i="13"/>
  <c r="P846" i="13"/>
  <c r="P838" i="13"/>
  <c r="P830" i="13"/>
  <c r="P822" i="13"/>
  <c r="P814" i="13"/>
  <c r="P806" i="13"/>
  <c r="P798" i="13"/>
  <c r="P790" i="13"/>
  <c r="P782" i="13"/>
  <c r="P774" i="13"/>
  <c r="P766" i="13"/>
  <c r="P758" i="13"/>
  <c r="P750" i="13"/>
  <c r="P742" i="13"/>
  <c r="P734" i="13"/>
  <c r="P726" i="13"/>
  <c r="P718" i="13"/>
  <c r="P710" i="13"/>
  <c r="P702" i="13"/>
  <c r="P694" i="13"/>
  <c r="P686" i="13"/>
  <c r="P668" i="13"/>
  <c r="P646" i="13"/>
  <c r="P626" i="13"/>
  <c r="P604" i="13"/>
  <c r="P582" i="13"/>
  <c r="P562" i="13"/>
  <c r="P540" i="13"/>
  <c r="P518" i="13"/>
  <c r="P498" i="13"/>
  <c r="P476" i="13"/>
  <c r="P454" i="13"/>
  <c r="P434" i="13"/>
  <c r="P412" i="13"/>
  <c r="P390" i="13"/>
  <c r="P370" i="13"/>
  <c r="P348" i="13"/>
  <c r="P326" i="13"/>
  <c r="P306" i="13"/>
  <c r="P284" i="13"/>
  <c r="P262" i="13"/>
  <c r="P242" i="13"/>
  <c r="P220" i="13"/>
  <c r="P198" i="13"/>
  <c r="P178" i="13"/>
  <c r="P156" i="13"/>
  <c r="P134" i="13"/>
  <c r="P114" i="13"/>
  <c r="P92" i="13"/>
  <c r="P70" i="13"/>
  <c r="P50" i="13"/>
  <c r="O414" i="13"/>
  <c r="P5" i="13"/>
  <c r="P13" i="13"/>
  <c r="P21" i="13"/>
  <c r="P29" i="13"/>
  <c r="P37" i="13"/>
  <c r="P45" i="13"/>
  <c r="P53" i="13"/>
  <c r="P61" i="13"/>
  <c r="P69" i="13"/>
  <c r="P77" i="13"/>
  <c r="P85" i="13"/>
  <c r="P93" i="13"/>
  <c r="P101" i="13"/>
  <c r="P109" i="13"/>
  <c r="P117" i="13"/>
  <c r="P125" i="13"/>
  <c r="P133" i="13"/>
  <c r="P141" i="13"/>
  <c r="P149" i="13"/>
  <c r="P157" i="13"/>
  <c r="P165" i="13"/>
  <c r="P173" i="13"/>
  <c r="P181" i="13"/>
  <c r="P189" i="13"/>
  <c r="P197" i="13"/>
  <c r="P205" i="13"/>
  <c r="P213" i="13"/>
  <c r="P221" i="13"/>
  <c r="P229" i="13"/>
  <c r="P237" i="13"/>
  <c r="P245" i="13"/>
  <c r="P253" i="13"/>
  <c r="P261" i="13"/>
  <c r="P269" i="13"/>
  <c r="P277" i="13"/>
  <c r="P285" i="13"/>
  <c r="P293" i="13"/>
  <c r="P301" i="13"/>
  <c r="P309" i="13"/>
  <c r="P317" i="13"/>
  <c r="P325" i="13"/>
  <c r="P333" i="13"/>
  <c r="P341" i="13"/>
  <c r="P349" i="13"/>
  <c r="P357" i="13"/>
  <c r="P365" i="13"/>
  <c r="P373" i="13"/>
  <c r="P381" i="13"/>
  <c r="P389" i="13"/>
  <c r="P397" i="13"/>
  <c r="P405" i="13"/>
  <c r="P413" i="13"/>
  <c r="P421" i="13"/>
  <c r="P429" i="13"/>
  <c r="P437" i="13"/>
  <c r="P445" i="13"/>
  <c r="P453" i="13"/>
  <c r="P461" i="13"/>
  <c r="P469" i="13"/>
  <c r="P477" i="13"/>
  <c r="P485" i="13"/>
  <c r="P493" i="13"/>
  <c r="P501" i="13"/>
  <c r="P509" i="13"/>
  <c r="P517" i="13"/>
  <c r="P525" i="13"/>
  <c r="P533" i="13"/>
  <c r="P541" i="13"/>
  <c r="P549" i="13"/>
  <c r="P557" i="13"/>
  <c r="P565" i="13"/>
  <c r="P573" i="13"/>
  <c r="P581" i="13"/>
  <c r="P589" i="13"/>
  <c r="P597" i="13"/>
  <c r="P605" i="13"/>
  <c r="P613" i="13"/>
  <c r="P621" i="13"/>
  <c r="P629" i="13"/>
  <c r="P637" i="13"/>
  <c r="P645" i="13"/>
  <c r="P653" i="13"/>
  <c r="P661" i="13"/>
  <c r="P669" i="13"/>
  <c r="P677" i="13"/>
  <c r="P6" i="13"/>
  <c r="P14" i="13"/>
  <c r="P7" i="13"/>
  <c r="P15" i="13"/>
  <c r="P23" i="13"/>
  <c r="P31" i="13"/>
  <c r="P39" i="13"/>
  <c r="P47" i="13"/>
  <c r="P55" i="13"/>
  <c r="P63" i="13"/>
  <c r="P71" i="13"/>
  <c r="P79" i="13"/>
  <c r="P87" i="13"/>
  <c r="P95" i="13"/>
  <c r="P103" i="13"/>
  <c r="P111" i="13"/>
  <c r="P119" i="13"/>
  <c r="P127" i="13"/>
  <c r="P135" i="13"/>
  <c r="P143" i="13"/>
  <c r="P151" i="13"/>
  <c r="P159" i="13"/>
  <c r="P167" i="13"/>
  <c r="P175" i="13"/>
  <c r="P183" i="13"/>
  <c r="P191" i="13"/>
  <c r="P199" i="13"/>
  <c r="P207" i="13"/>
  <c r="P215" i="13"/>
  <c r="P223" i="13"/>
  <c r="P231" i="13"/>
  <c r="P239" i="13"/>
  <c r="P247" i="13"/>
  <c r="P255" i="13"/>
  <c r="P263" i="13"/>
  <c r="P271" i="13"/>
  <c r="P279" i="13"/>
  <c r="P287" i="13"/>
  <c r="P295" i="13"/>
  <c r="P303" i="13"/>
  <c r="P311" i="13"/>
  <c r="P319" i="13"/>
  <c r="P327" i="13"/>
  <c r="P335" i="13"/>
  <c r="P343" i="13"/>
  <c r="P351" i="13"/>
  <c r="P359" i="13"/>
  <c r="P367" i="13"/>
  <c r="P375" i="13"/>
  <c r="P383" i="13"/>
  <c r="P391" i="13"/>
  <c r="P399" i="13"/>
  <c r="P407" i="13"/>
  <c r="P415" i="13"/>
  <c r="P423" i="13"/>
  <c r="P431" i="13"/>
  <c r="P439" i="13"/>
  <c r="P447" i="13"/>
  <c r="P455" i="13"/>
  <c r="P463" i="13"/>
  <c r="P471" i="13"/>
  <c r="P479" i="13"/>
  <c r="P487" i="13"/>
  <c r="P495" i="13"/>
  <c r="P503" i="13"/>
  <c r="P511" i="13"/>
  <c r="P519" i="13"/>
  <c r="P527" i="13"/>
  <c r="P535" i="13"/>
  <c r="P543" i="13"/>
  <c r="P551" i="13"/>
  <c r="P559" i="13"/>
  <c r="P567" i="13"/>
  <c r="P575" i="13"/>
  <c r="P583" i="13"/>
  <c r="P591" i="13"/>
  <c r="P599" i="13"/>
  <c r="P607" i="13"/>
  <c r="P615" i="13"/>
  <c r="P623" i="13"/>
  <c r="P631" i="13"/>
  <c r="P639" i="13"/>
  <c r="P647" i="13"/>
  <c r="P655" i="13"/>
  <c r="P663" i="13"/>
  <c r="P671" i="13"/>
  <c r="P679" i="13"/>
  <c r="P8" i="13"/>
  <c r="P16" i="13"/>
  <c r="P24" i="13"/>
  <c r="P32" i="13"/>
  <c r="P40" i="13"/>
  <c r="P48" i="13"/>
  <c r="P56" i="13"/>
  <c r="P64" i="13"/>
  <c r="P72" i="13"/>
  <c r="P80" i="13"/>
  <c r="P88" i="13"/>
  <c r="P96" i="13"/>
  <c r="P104" i="13"/>
  <c r="P112" i="13"/>
  <c r="P120" i="13"/>
  <c r="P128" i="13"/>
  <c r="P136" i="13"/>
  <c r="P144" i="13"/>
  <c r="P152" i="13"/>
  <c r="P160" i="13"/>
  <c r="P168" i="13"/>
  <c r="P176" i="13"/>
  <c r="P184" i="13"/>
  <c r="P192" i="13"/>
  <c r="P200" i="13"/>
  <c r="P208" i="13"/>
  <c r="P216" i="13"/>
  <c r="P224" i="13"/>
  <c r="P232" i="13"/>
  <c r="P240" i="13"/>
  <c r="P248" i="13"/>
  <c r="P256" i="13"/>
  <c r="P264" i="13"/>
  <c r="P272" i="13"/>
  <c r="P280" i="13"/>
  <c r="P288" i="13"/>
  <c r="P296" i="13"/>
  <c r="P304" i="13"/>
  <c r="P312" i="13"/>
  <c r="P320" i="13"/>
  <c r="P328" i="13"/>
  <c r="P336" i="13"/>
  <c r="P344" i="13"/>
  <c r="P352" i="13"/>
  <c r="P360" i="13"/>
  <c r="P368" i="13"/>
  <c r="P376" i="13"/>
  <c r="P384" i="13"/>
  <c r="P392" i="13"/>
  <c r="P400" i="13"/>
  <c r="P408" i="13"/>
  <c r="P416" i="13"/>
  <c r="P424" i="13"/>
  <c r="P432" i="13"/>
  <c r="P440" i="13"/>
  <c r="P448" i="13"/>
  <c r="P456" i="13"/>
  <c r="P464" i="13"/>
  <c r="P472" i="13"/>
  <c r="P480" i="13"/>
  <c r="P488" i="13"/>
  <c r="P496" i="13"/>
  <c r="P504" i="13"/>
  <c r="P512" i="13"/>
  <c r="P520" i="13"/>
  <c r="P528" i="13"/>
  <c r="P536" i="13"/>
  <c r="P544" i="13"/>
  <c r="P552" i="13"/>
  <c r="P560" i="13"/>
  <c r="P568" i="13"/>
  <c r="P576" i="13"/>
  <c r="P584" i="13"/>
  <c r="P592" i="13"/>
  <c r="P600" i="13"/>
  <c r="P608" i="13"/>
  <c r="P616" i="13"/>
  <c r="P624" i="13"/>
  <c r="P632" i="13"/>
  <c r="P640" i="13"/>
  <c r="P648" i="13"/>
  <c r="P656" i="13"/>
  <c r="P664" i="13"/>
  <c r="P672" i="13"/>
  <c r="P680" i="13"/>
  <c r="P9" i="13"/>
  <c r="P17" i="13"/>
  <c r="P25" i="13"/>
  <c r="P33" i="13"/>
  <c r="P41" i="13"/>
  <c r="P49" i="13"/>
  <c r="P57" i="13"/>
  <c r="P65" i="13"/>
  <c r="P73" i="13"/>
  <c r="P81" i="13"/>
  <c r="P89" i="13"/>
  <c r="P97" i="13"/>
  <c r="P105" i="13"/>
  <c r="P113" i="13"/>
  <c r="P121" i="13"/>
  <c r="P129" i="13"/>
  <c r="P137" i="13"/>
  <c r="P145" i="13"/>
  <c r="P153" i="13"/>
  <c r="P161" i="13"/>
  <c r="P169" i="13"/>
  <c r="P177" i="13"/>
  <c r="P185" i="13"/>
  <c r="P193" i="13"/>
  <c r="P201" i="13"/>
  <c r="P209" i="13"/>
  <c r="P217" i="13"/>
  <c r="P225" i="13"/>
  <c r="P233" i="13"/>
  <c r="P241" i="13"/>
  <c r="P249" i="13"/>
  <c r="P257" i="13"/>
  <c r="P265" i="13"/>
  <c r="P273" i="13"/>
  <c r="P281" i="13"/>
  <c r="P289" i="13"/>
  <c r="P297" i="13"/>
  <c r="P305" i="13"/>
  <c r="P313" i="13"/>
  <c r="P321" i="13"/>
  <c r="P329" i="13"/>
  <c r="P337" i="13"/>
  <c r="P345" i="13"/>
  <c r="P353" i="13"/>
  <c r="P361" i="13"/>
  <c r="P369" i="13"/>
  <c r="P377" i="13"/>
  <c r="P385" i="13"/>
  <c r="P393" i="13"/>
  <c r="P401" i="13"/>
  <c r="P409" i="13"/>
  <c r="P417" i="13"/>
  <c r="P425" i="13"/>
  <c r="P433" i="13"/>
  <c r="P441" i="13"/>
  <c r="P449" i="13"/>
  <c r="P457" i="13"/>
  <c r="P465" i="13"/>
  <c r="P473" i="13"/>
  <c r="P481" i="13"/>
  <c r="P489" i="13"/>
  <c r="P497" i="13"/>
  <c r="P505" i="13"/>
  <c r="P513" i="13"/>
  <c r="P521" i="13"/>
  <c r="P529" i="13"/>
  <c r="P537" i="13"/>
  <c r="P545" i="13"/>
  <c r="P553" i="13"/>
  <c r="P561" i="13"/>
  <c r="P569" i="13"/>
  <c r="P577" i="13"/>
  <c r="P585" i="13"/>
  <c r="P593" i="13"/>
  <c r="P601" i="13"/>
  <c r="P609" i="13"/>
  <c r="P617" i="13"/>
  <c r="P625" i="13"/>
  <c r="P633" i="13"/>
  <c r="P641" i="13"/>
  <c r="P649" i="13"/>
  <c r="P657" i="13"/>
  <c r="P665" i="13"/>
  <c r="P673" i="13"/>
  <c r="P681" i="13"/>
  <c r="P10" i="13"/>
  <c r="P18" i="13"/>
  <c r="P11" i="13"/>
  <c r="P19" i="13"/>
  <c r="P27" i="13"/>
  <c r="P35" i="13"/>
  <c r="P43" i="13"/>
  <c r="P51" i="13"/>
  <c r="P59" i="13"/>
  <c r="P67" i="13"/>
  <c r="P75" i="13"/>
  <c r="P83" i="13"/>
  <c r="P91" i="13"/>
  <c r="P99" i="13"/>
  <c r="P107" i="13"/>
  <c r="P115" i="13"/>
  <c r="P123" i="13"/>
  <c r="P131" i="13"/>
  <c r="P139" i="13"/>
  <c r="P147" i="13"/>
  <c r="P155" i="13"/>
  <c r="P163" i="13"/>
  <c r="P171" i="13"/>
  <c r="P179" i="13"/>
  <c r="P187" i="13"/>
  <c r="P195" i="13"/>
  <c r="P203" i="13"/>
  <c r="P211" i="13"/>
  <c r="P219" i="13"/>
  <c r="P227" i="13"/>
  <c r="P235" i="13"/>
  <c r="P243" i="13"/>
  <c r="P251" i="13"/>
  <c r="P259" i="13"/>
  <c r="P267" i="13"/>
  <c r="P275" i="13"/>
  <c r="P283" i="13"/>
  <c r="P291" i="13"/>
  <c r="P299" i="13"/>
  <c r="P307" i="13"/>
  <c r="P315" i="13"/>
  <c r="P323" i="13"/>
  <c r="P331" i="13"/>
  <c r="P339" i="13"/>
  <c r="P347" i="13"/>
  <c r="P355" i="13"/>
  <c r="P363" i="13"/>
  <c r="P371" i="13"/>
  <c r="P379" i="13"/>
  <c r="P387" i="13"/>
  <c r="P395" i="13"/>
  <c r="P403" i="13"/>
  <c r="P411" i="13"/>
  <c r="P419" i="13"/>
  <c r="P427" i="13"/>
  <c r="P435" i="13"/>
  <c r="P443" i="13"/>
  <c r="P451" i="13"/>
  <c r="P459" i="13"/>
  <c r="P467" i="13"/>
  <c r="P475" i="13"/>
  <c r="P483" i="13"/>
  <c r="P491" i="13"/>
  <c r="P499" i="13"/>
  <c r="P507" i="13"/>
  <c r="P515" i="13"/>
  <c r="P523" i="13"/>
  <c r="P531" i="13"/>
  <c r="P539" i="13"/>
  <c r="P547" i="13"/>
  <c r="P555" i="13"/>
  <c r="P563" i="13"/>
  <c r="P571" i="13"/>
  <c r="P579" i="13"/>
  <c r="P587" i="13"/>
  <c r="P595" i="13"/>
  <c r="P603" i="13"/>
  <c r="P611" i="13"/>
  <c r="P619" i="13"/>
  <c r="P627" i="13"/>
  <c r="P635" i="13"/>
  <c r="P643" i="13"/>
  <c r="P651" i="13"/>
  <c r="P659" i="13"/>
  <c r="P667" i="13"/>
  <c r="P675" i="13"/>
  <c r="P683" i="13"/>
  <c r="P997" i="13"/>
  <c r="P989" i="13"/>
  <c r="P981" i="13"/>
  <c r="P973" i="13"/>
  <c r="P965" i="13"/>
  <c r="P957" i="13"/>
  <c r="P949" i="13"/>
  <c r="P941" i="13"/>
  <c r="P933" i="13"/>
  <c r="P925" i="13"/>
  <c r="P917" i="13"/>
  <c r="P909" i="13"/>
  <c r="P901" i="13"/>
  <c r="P893" i="13"/>
  <c r="P885" i="13"/>
  <c r="P877" i="13"/>
  <c r="P869" i="13"/>
  <c r="P861" i="13"/>
  <c r="P853" i="13"/>
  <c r="P845" i="13"/>
  <c r="P837" i="13"/>
  <c r="P829" i="13"/>
  <c r="P821" i="13"/>
  <c r="P813" i="13"/>
  <c r="P805" i="13"/>
  <c r="P797" i="13"/>
  <c r="P789" i="13"/>
  <c r="P781" i="13"/>
  <c r="P773" i="13"/>
  <c r="P765" i="13"/>
  <c r="P757" i="13"/>
  <c r="P749" i="13"/>
  <c r="P741" i="13"/>
  <c r="P733" i="13"/>
  <c r="P725" i="13"/>
  <c r="P717" i="13"/>
  <c r="P709" i="13"/>
  <c r="P701" i="13"/>
  <c r="P693" i="13"/>
  <c r="P685" i="13"/>
  <c r="P666" i="13"/>
  <c r="P644" i="13"/>
  <c r="P622" i="13"/>
  <c r="P602" i="13"/>
  <c r="P580" i="13"/>
  <c r="P558" i="13"/>
  <c r="P538" i="13"/>
  <c r="P516" i="13"/>
  <c r="P494" i="13"/>
  <c r="P474" i="13"/>
  <c r="P452" i="13"/>
  <c r="P430" i="13"/>
  <c r="P410" i="13"/>
  <c r="P388" i="13"/>
  <c r="P366" i="13"/>
  <c r="P346" i="13"/>
  <c r="P324" i="13"/>
  <c r="P302" i="13"/>
  <c r="P282" i="13"/>
  <c r="P260" i="13"/>
  <c r="P238" i="13"/>
  <c r="P218" i="13"/>
  <c r="P196" i="13"/>
  <c r="P174" i="13"/>
  <c r="P154" i="13"/>
  <c r="P132" i="13"/>
  <c r="P110" i="13"/>
  <c r="P90" i="13"/>
  <c r="P68" i="13"/>
  <c r="P46" i="13"/>
  <c r="P26" i="13"/>
  <c r="P996" i="13"/>
  <c r="P988" i="13"/>
  <c r="P980" i="13"/>
  <c r="P972" i="13"/>
  <c r="P964" i="13"/>
  <c r="P956" i="13"/>
  <c r="P948" i="13"/>
  <c r="P940" i="13"/>
  <c r="P932" i="13"/>
  <c r="P924" i="13"/>
  <c r="P916" i="13"/>
  <c r="P908" i="13"/>
  <c r="P900" i="13"/>
  <c r="P892" i="13"/>
  <c r="P884" i="13"/>
  <c r="P876" i="13"/>
  <c r="P868" i="13"/>
  <c r="P860" i="13"/>
  <c r="P852" i="13"/>
  <c r="P844" i="13"/>
  <c r="P836" i="13"/>
  <c r="P828" i="13"/>
  <c r="P820" i="13"/>
  <c r="P812" i="13"/>
  <c r="P804" i="13"/>
  <c r="P796" i="13"/>
  <c r="P788" i="13"/>
  <c r="P780" i="13"/>
  <c r="P772" i="13"/>
  <c r="P764" i="13"/>
  <c r="P756" i="13"/>
  <c r="P748" i="13"/>
  <c r="P740" i="13"/>
  <c r="P732" i="13"/>
  <c r="P724" i="13"/>
  <c r="P716" i="13"/>
  <c r="P708" i="13"/>
  <c r="P700" i="13"/>
  <c r="P692" i="13"/>
  <c r="P684" i="13"/>
  <c r="P662" i="13"/>
  <c r="P642" i="13"/>
  <c r="P620" i="13"/>
  <c r="P598" i="13"/>
  <c r="P578" i="13"/>
  <c r="P556" i="13"/>
  <c r="P534" i="13"/>
  <c r="P514" i="13"/>
  <c r="P492" i="13"/>
  <c r="P470" i="13"/>
  <c r="P450" i="13"/>
  <c r="P428" i="13"/>
  <c r="P406" i="13"/>
  <c r="P386" i="13"/>
  <c r="P364" i="13"/>
  <c r="P342" i="13"/>
  <c r="P322" i="13"/>
  <c r="P300" i="13"/>
  <c r="P278" i="13"/>
  <c r="P258" i="13"/>
  <c r="P236" i="13"/>
  <c r="P214" i="13"/>
  <c r="P194" i="13"/>
  <c r="P172" i="13"/>
  <c r="P150" i="13"/>
  <c r="P130" i="13"/>
  <c r="P108" i="13"/>
  <c r="P86" i="13"/>
  <c r="P66" i="13"/>
  <c r="P44" i="13"/>
  <c r="P22" i="13"/>
  <c r="P793" i="13"/>
  <c r="P1003" i="13"/>
  <c r="P995" i="13"/>
  <c r="P987" i="13"/>
  <c r="P979" i="13"/>
  <c r="P971" i="13"/>
  <c r="P963" i="13"/>
  <c r="P955" i="13"/>
  <c r="P947" i="13"/>
  <c r="P939" i="13"/>
  <c r="P931" i="13"/>
  <c r="P923" i="13"/>
  <c r="P915" i="13"/>
  <c r="P907" i="13"/>
  <c r="P899" i="13"/>
  <c r="P891" i="13"/>
  <c r="P883" i="13"/>
  <c r="P875" i="13"/>
  <c r="P867" i="13"/>
  <c r="P859" i="13"/>
  <c r="P851" i="13"/>
  <c r="P843" i="13"/>
  <c r="P835" i="13"/>
  <c r="P827" i="13"/>
  <c r="P819" i="13"/>
  <c r="P811" i="13"/>
  <c r="P803" i="13"/>
  <c r="P795" i="13"/>
  <c r="P787" i="13"/>
  <c r="P779" i="13"/>
  <c r="P771" i="13"/>
  <c r="P763" i="13"/>
  <c r="P755" i="13"/>
  <c r="P747" i="13"/>
  <c r="P739" i="13"/>
  <c r="P731" i="13"/>
  <c r="P723" i="13"/>
  <c r="P715" i="13"/>
  <c r="P707" i="13"/>
  <c r="P699" i="13"/>
  <c r="P691" i="13"/>
  <c r="P682" i="13"/>
  <c r="P660" i="13"/>
  <c r="P638" i="13"/>
  <c r="P618" i="13"/>
  <c r="P596" i="13"/>
  <c r="P574" i="13"/>
  <c r="P554" i="13"/>
  <c r="P532" i="13"/>
  <c r="P510" i="13"/>
  <c r="P490" i="13"/>
  <c r="P468" i="13"/>
  <c r="P446" i="13"/>
  <c r="P426" i="13"/>
  <c r="P404" i="13"/>
  <c r="P382" i="13"/>
  <c r="P362" i="13"/>
  <c r="P340" i="13"/>
  <c r="P318" i="13"/>
  <c r="P298" i="13"/>
  <c r="P276" i="13"/>
  <c r="P254" i="13"/>
  <c r="P234" i="13"/>
  <c r="P212" i="13"/>
  <c r="P190" i="13"/>
  <c r="P170" i="13"/>
  <c r="P148" i="13"/>
  <c r="P126" i="13"/>
  <c r="P106" i="13"/>
  <c r="P84" i="13"/>
  <c r="P62" i="13"/>
  <c r="P42" i="13"/>
  <c r="P20" i="13"/>
  <c r="P1002" i="13"/>
  <c r="P994" i="13"/>
  <c r="P986" i="13"/>
  <c r="P978" i="13"/>
  <c r="P970" i="13"/>
  <c r="P962" i="13"/>
  <c r="P954" i="13"/>
  <c r="P946" i="13"/>
  <c r="P938" i="13"/>
  <c r="P930" i="13"/>
  <c r="P922" i="13"/>
  <c r="P914" i="13"/>
  <c r="P906" i="13"/>
  <c r="P898" i="13"/>
  <c r="P890" i="13"/>
  <c r="P882" i="13"/>
  <c r="P874" i="13"/>
  <c r="P866" i="13"/>
  <c r="P858" i="13"/>
  <c r="P850" i="13"/>
  <c r="P842" i="13"/>
  <c r="P834" i="13"/>
  <c r="P826" i="13"/>
  <c r="P818" i="13"/>
  <c r="P810" i="13"/>
  <c r="P802" i="13"/>
  <c r="P794" i="13"/>
  <c r="P786" i="13"/>
  <c r="P778" i="13"/>
  <c r="P770" i="13"/>
  <c r="P762" i="13"/>
  <c r="P754" i="13"/>
  <c r="P746" i="13"/>
  <c r="P738" i="13"/>
  <c r="P730" i="13"/>
  <c r="P722" i="13"/>
  <c r="P714" i="13"/>
  <c r="P706" i="13"/>
  <c r="P698" i="13"/>
  <c r="P690" i="13"/>
  <c r="P678" i="13"/>
  <c r="P658" i="13"/>
  <c r="P636" i="13"/>
  <c r="P614" i="13"/>
  <c r="P594" i="13"/>
  <c r="P572" i="13"/>
  <c r="P550" i="13"/>
  <c r="P530" i="13"/>
  <c r="P508" i="13"/>
  <c r="P486" i="13"/>
  <c r="P466" i="13"/>
  <c r="P444" i="13"/>
  <c r="P422" i="13"/>
  <c r="P402" i="13"/>
  <c r="P380" i="13"/>
  <c r="P358" i="13"/>
  <c r="P338" i="13"/>
  <c r="P316" i="13"/>
  <c r="P294" i="13"/>
  <c r="P274" i="13"/>
  <c r="P252" i="13"/>
  <c r="P230" i="13"/>
  <c r="P210" i="13"/>
  <c r="P188" i="13"/>
  <c r="P166" i="13"/>
  <c r="P146" i="13"/>
  <c r="P124" i="13"/>
  <c r="P102" i="13"/>
  <c r="P82" i="13"/>
  <c r="P60" i="13"/>
  <c r="P38" i="13"/>
  <c r="P12" i="13"/>
  <c r="O966" i="13"/>
  <c r="O902" i="13"/>
  <c r="O838" i="13"/>
  <c r="O774" i="13"/>
  <c r="O710" i="13"/>
  <c r="O625" i="13"/>
  <c r="O522" i="13"/>
  <c r="O394" i="13"/>
  <c r="O958" i="13"/>
  <c r="O894" i="13"/>
  <c r="O830" i="13"/>
  <c r="O766" i="13"/>
  <c r="O702" i="13"/>
  <c r="O612" i="13"/>
  <c r="O509" i="13"/>
  <c r="O372" i="13"/>
  <c r="O950" i="13"/>
  <c r="O886" i="13"/>
  <c r="O822" i="13"/>
  <c r="O758" i="13"/>
  <c r="O694" i="13"/>
  <c r="O598" i="13"/>
  <c r="O497" i="13"/>
  <c r="O350" i="13"/>
  <c r="O942" i="13"/>
  <c r="O878" i="13"/>
  <c r="O814" i="13"/>
  <c r="O750" i="13"/>
  <c r="O686" i="13"/>
  <c r="O586" i="13"/>
  <c r="O484" i="13"/>
  <c r="O330" i="13"/>
  <c r="O998" i="13"/>
  <c r="O934" i="13"/>
  <c r="O870" i="13"/>
  <c r="O806" i="13"/>
  <c r="O742" i="13"/>
  <c r="O676" i="13"/>
  <c r="O573" i="13"/>
  <c r="O468" i="13"/>
  <c r="O308" i="13"/>
  <c r="O990" i="13"/>
  <c r="O926" i="13"/>
  <c r="O862" i="13"/>
  <c r="O798" i="13"/>
  <c r="O734" i="13"/>
  <c r="O662" i="13"/>
  <c r="O561" i="13"/>
  <c r="O452" i="13"/>
  <c r="O286" i="13"/>
  <c r="O982" i="13"/>
  <c r="O918" i="13"/>
  <c r="O854" i="13"/>
  <c r="O790" i="13"/>
  <c r="O726" i="13"/>
  <c r="O650" i="13"/>
  <c r="O548" i="13"/>
  <c r="O436" i="13"/>
  <c r="O74" i="13"/>
  <c r="O974" i="13"/>
  <c r="O910" i="13"/>
  <c r="O846" i="13"/>
  <c r="O782" i="13"/>
  <c r="O718" i="13"/>
  <c r="O637" i="13"/>
  <c r="O534" i="13"/>
  <c r="M4" i="13"/>
  <c r="P4" i="13" s="1"/>
  <c r="O5" i="13"/>
  <c r="O13" i="13"/>
  <c r="O21" i="13"/>
  <c r="O29" i="13"/>
  <c r="O37" i="13"/>
  <c r="O45" i="13"/>
  <c r="O53" i="13"/>
  <c r="O61" i="13"/>
  <c r="O69" i="13"/>
  <c r="O77" i="13"/>
  <c r="O85" i="13"/>
  <c r="O93" i="13"/>
  <c r="O101" i="13"/>
  <c r="O109" i="13"/>
  <c r="O117" i="13"/>
  <c r="O125" i="13"/>
  <c r="O133" i="13"/>
  <c r="O141" i="13"/>
  <c r="O149" i="13"/>
  <c r="O157" i="13"/>
  <c r="O165" i="13"/>
  <c r="O173" i="13"/>
  <c r="O181" i="13"/>
  <c r="O189" i="13"/>
  <c r="O197" i="13"/>
  <c r="O205" i="13"/>
  <c r="O213" i="13"/>
  <c r="O221" i="13"/>
  <c r="O229" i="13"/>
  <c r="O237" i="13"/>
  <c r="O245" i="13"/>
  <c r="O253" i="13"/>
  <c r="O261" i="13"/>
  <c r="O269" i="13"/>
  <c r="O277" i="13"/>
  <c r="O285" i="13"/>
  <c r="O293" i="13"/>
  <c r="O301" i="13"/>
  <c r="O309" i="13"/>
  <c r="O317" i="13"/>
  <c r="O325" i="13"/>
  <c r="O333" i="13"/>
  <c r="O341" i="13"/>
  <c r="O349" i="13"/>
  <c r="O357" i="13"/>
  <c r="O365" i="13"/>
  <c r="O373" i="13"/>
  <c r="O381" i="13"/>
  <c r="O389" i="13"/>
  <c r="O397" i="13"/>
  <c r="O405" i="13"/>
  <c r="O413" i="13"/>
  <c r="O421" i="13"/>
  <c r="O429" i="13"/>
  <c r="O6" i="13"/>
  <c r="O7" i="13"/>
  <c r="O15" i="13"/>
  <c r="O23" i="13"/>
  <c r="O31" i="13"/>
  <c r="O39" i="13"/>
  <c r="O47" i="13"/>
  <c r="O55" i="13"/>
  <c r="O63" i="13"/>
  <c r="O71" i="13"/>
  <c r="O79" i="13"/>
  <c r="O87" i="13"/>
  <c r="O95" i="13"/>
  <c r="O103" i="13"/>
  <c r="O111" i="13"/>
  <c r="O119" i="13"/>
  <c r="O127" i="13"/>
  <c r="O135" i="13"/>
  <c r="O143" i="13"/>
  <c r="O151" i="13"/>
  <c r="O159" i="13"/>
  <c r="O167" i="13"/>
  <c r="O175" i="13"/>
  <c r="O183" i="13"/>
  <c r="O191" i="13"/>
  <c r="O199" i="13"/>
  <c r="O207" i="13"/>
  <c r="O215" i="13"/>
  <c r="O223" i="13"/>
  <c r="O231" i="13"/>
  <c r="O239" i="13"/>
  <c r="O247" i="13"/>
  <c r="O255" i="13"/>
  <c r="O263" i="13"/>
  <c r="O271" i="13"/>
  <c r="O279" i="13"/>
  <c r="O287" i="13"/>
  <c r="O295" i="13"/>
  <c r="O303" i="13"/>
  <c r="O311" i="13"/>
  <c r="O319" i="13"/>
  <c r="O327" i="13"/>
  <c r="O335" i="13"/>
  <c r="O343" i="13"/>
  <c r="O351" i="13"/>
  <c r="O359" i="13"/>
  <c r="O367" i="13"/>
  <c r="O375" i="13"/>
  <c r="O383" i="13"/>
  <c r="O391" i="13"/>
  <c r="O399" i="13"/>
  <c r="O407" i="13"/>
  <c r="O415" i="13"/>
  <c r="O423" i="13"/>
  <c r="O431" i="13"/>
  <c r="O439" i="13"/>
  <c r="O447" i="13"/>
  <c r="O455" i="13"/>
  <c r="O463" i="13"/>
  <c r="O471" i="13"/>
  <c r="O479" i="13"/>
  <c r="O487" i="13"/>
  <c r="O495" i="13"/>
  <c r="O503" i="13"/>
  <c r="O511" i="13"/>
  <c r="O519" i="13"/>
  <c r="O527" i="13"/>
  <c r="O535" i="13"/>
  <c r="O543" i="13"/>
  <c r="O551" i="13"/>
  <c r="O559" i="13"/>
  <c r="O567" i="13"/>
  <c r="O575" i="13"/>
  <c r="O583" i="13"/>
  <c r="O591" i="13"/>
  <c r="O599" i="13"/>
  <c r="O607" i="13"/>
  <c r="O615" i="13"/>
  <c r="O623" i="13"/>
  <c r="O631" i="13"/>
  <c r="O639" i="13"/>
  <c r="O647" i="13"/>
  <c r="O655" i="13"/>
  <c r="O663" i="13"/>
  <c r="O671" i="13"/>
  <c r="O679" i="13"/>
  <c r="O8" i="13"/>
  <c r="O16" i="13"/>
  <c r="O24" i="13"/>
  <c r="O32" i="13"/>
  <c r="O40" i="13"/>
  <c r="O48" i="13"/>
  <c r="O56" i="13"/>
  <c r="O64" i="13"/>
  <c r="O72" i="13"/>
  <c r="O80" i="13"/>
  <c r="O88" i="13"/>
  <c r="O96" i="13"/>
  <c r="O104" i="13"/>
  <c r="O112" i="13"/>
  <c r="O120" i="13"/>
  <c r="O128" i="13"/>
  <c r="O136" i="13"/>
  <c r="O144" i="13"/>
  <c r="O152" i="13"/>
  <c r="O160" i="13"/>
  <c r="O168" i="13"/>
  <c r="O176" i="13"/>
  <c r="O184" i="13"/>
  <c r="O192" i="13"/>
  <c r="O200" i="13"/>
  <c r="O208" i="13"/>
  <c r="O216" i="13"/>
  <c r="O224" i="13"/>
  <c r="O232" i="13"/>
  <c r="O240" i="13"/>
  <c r="O248" i="13"/>
  <c r="O256" i="13"/>
  <c r="O264" i="13"/>
  <c r="O272" i="13"/>
  <c r="O280" i="13"/>
  <c r="O288" i="13"/>
  <c r="O296" i="13"/>
  <c r="O304" i="13"/>
  <c r="O312" i="13"/>
  <c r="O320" i="13"/>
  <c r="O328" i="13"/>
  <c r="O336" i="13"/>
  <c r="O344" i="13"/>
  <c r="O352" i="13"/>
  <c r="O360" i="13"/>
  <c r="O368" i="13"/>
  <c r="O376" i="13"/>
  <c r="O384" i="13"/>
  <c r="O392" i="13"/>
  <c r="O400" i="13"/>
  <c r="O408" i="13"/>
  <c r="O416" i="13"/>
  <c r="O424" i="13"/>
  <c r="O432" i="13"/>
  <c r="O440" i="13"/>
  <c r="O448" i="13"/>
  <c r="O456" i="13"/>
  <c r="O464" i="13"/>
  <c r="O472" i="13"/>
  <c r="O480" i="13"/>
  <c r="O488" i="13"/>
  <c r="O496" i="13"/>
  <c r="O504" i="13"/>
  <c r="O512" i="13"/>
  <c r="O520" i="13"/>
  <c r="O528" i="13"/>
  <c r="O536" i="13"/>
  <c r="O544" i="13"/>
  <c r="O552" i="13"/>
  <c r="O560" i="13"/>
  <c r="O568" i="13"/>
  <c r="O576" i="13"/>
  <c r="O584" i="13"/>
  <c r="O592" i="13"/>
  <c r="O600" i="13"/>
  <c r="O608" i="13"/>
  <c r="O616" i="13"/>
  <c r="O624" i="13"/>
  <c r="O632" i="13"/>
  <c r="O640" i="13"/>
  <c r="O648" i="13"/>
  <c r="O656" i="13"/>
  <c r="O664" i="13"/>
  <c r="O672" i="13"/>
  <c r="O680" i="13"/>
  <c r="O9" i="13"/>
  <c r="O17" i="13"/>
  <c r="O25" i="13"/>
  <c r="O33" i="13"/>
  <c r="O41" i="13"/>
  <c r="O49" i="13"/>
  <c r="O57" i="13"/>
  <c r="O65" i="13"/>
  <c r="O73" i="13"/>
  <c r="O81" i="13"/>
  <c r="O89" i="13"/>
  <c r="O97" i="13"/>
  <c r="O105" i="13"/>
  <c r="O113" i="13"/>
  <c r="O121" i="13"/>
  <c r="O129" i="13"/>
  <c r="O137" i="13"/>
  <c r="O145" i="13"/>
  <c r="O153" i="13"/>
  <c r="O161" i="13"/>
  <c r="O169" i="13"/>
  <c r="O177" i="13"/>
  <c r="O185" i="13"/>
  <c r="O193" i="13"/>
  <c r="O201" i="13"/>
  <c r="O209" i="13"/>
  <c r="O217" i="13"/>
  <c r="O225" i="13"/>
  <c r="O233" i="13"/>
  <c r="O241" i="13"/>
  <c r="O249" i="13"/>
  <c r="O257" i="13"/>
  <c r="O265" i="13"/>
  <c r="O273" i="13"/>
  <c r="O281" i="13"/>
  <c r="O289" i="13"/>
  <c r="O297" i="13"/>
  <c r="O305" i="13"/>
  <c r="O313" i="13"/>
  <c r="O321" i="13"/>
  <c r="O329" i="13"/>
  <c r="O337" i="13"/>
  <c r="O345" i="13"/>
  <c r="O353" i="13"/>
  <c r="O361" i="13"/>
  <c r="O369" i="13"/>
  <c r="O377" i="13"/>
  <c r="O385" i="13"/>
  <c r="O393" i="13"/>
  <c r="O401" i="13"/>
  <c r="O409" i="13"/>
  <c r="O417" i="13"/>
  <c r="O425" i="13"/>
  <c r="O433" i="13"/>
  <c r="O441" i="13"/>
  <c r="O449" i="13"/>
  <c r="O457" i="13"/>
  <c r="O465" i="13"/>
  <c r="O473" i="13"/>
  <c r="O481" i="13"/>
  <c r="O10" i="13"/>
  <c r="O11" i="13"/>
  <c r="O19" i="13"/>
  <c r="O27" i="13"/>
  <c r="O35" i="13"/>
  <c r="O43" i="13"/>
  <c r="O51" i="13"/>
  <c r="O59" i="13"/>
  <c r="O67" i="13"/>
  <c r="O75" i="13"/>
  <c r="O83" i="13"/>
  <c r="O91" i="13"/>
  <c r="O99" i="13"/>
  <c r="O107" i="13"/>
  <c r="O115" i="13"/>
  <c r="O123" i="13"/>
  <c r="O131" i="13"/>
  <c r="O139" i="13"/>
  <c r="O147" i="13"/>
  <c r="O155" i="13"/>
  <c r="O163" i="13"/>
  <c r="O171" i="13"/>
  <c r="O179" i="13"/>
  <c r="O187" i="13"/>
  <c r="O195" i="13"/>
  <c r="O203" i="13"/>
  <c r="O211" i="13"/>
  <c r="O219" i="13"/>
  <c r="O227" i="13"/>
  <c r="O235" i="13"/>
  <c r="O243" i="13"/>
  <c r="O251" i="13"/>
  <c r="O259" i="13"/>
  <c r="O267" i="13"/>
  <c r="O275" i="13"/>
  <c r="O283" i="13"/>
  <c r="O291" i="13"/>
  <c r="O299" i="13"/>
  <c r="O307" i="13"/>
  <c r="O315" i="13"/>
  <c r="O323" i="13"/>
  <c r="O331" i="13"/>
  <c r="O339" i="13"/>
  <c r="O347" i="13"/>
  <c r="O355" i="13"/>
  <c r="O363" i="13"/>
  <c r="O371" i="13"/>
  <c r="O379" i="13"/>
  <c r="O387" i="13"/>
  <c r="O395" i="13"/>
  <c r="O403" i="13"/>
  <c r="O411" i="13"/>
  <c r="O419" i="13"/>
  <c r="O427" i="13"/>
  <c r="O435" i="13"/>
  <c r="O443" i="13"/>
  <c r="O451" i="13"/>
  <c r="O459" i="13"/>
  <c r="O467" i="13"/>
  <c r="O475" i="13"/>
  <c r="O483" i="13"/>
  <c r="O491" i="13"/>
  <c r="O499" i="13"/>
  <c r="O507" i="13"/>
  <c r="O515" i="13"/>
  <c r="O523" i="13"/>
  <c r="O531" i="13"/>
  <c r="O539" i="13"/>
  <c r="O547" i="13"/>
  <c r="O555" i="13"/>
  <c r="O563" i="13"/>
  <c r="O571" i="13"/>
  <c r="O579" i="13"/>
  <c r="O587" i="13"/>
  <c r="O595" i="13"/>
  <c r="O603" i="13"/>
  <c r="O611" i="13"/>
  <c r="O619" i="13"/>
  <c r="O627" i="13"/>
  <c r="O635" i="13"/>
  <c r="O643" i="13"/>
  <c r="O651" i="13"/>
  <c r="O659" i="13"/>
  <c r="O667" i="13"/>
  <c r="O675" i="13"/>
  <c r="O997" i="13"/>
  <c r="O989" i="13"/>
  <c r="O981" i="13"/>
  <c r="O973" i="13"/>
  <c r="O965" i="13"/>
  <c r="O957" i="13"/>
  <c r="O949" i="13"/>
  <c r="O941" i="13"/>
  <c r="O933" i="13"/>
  <c r="O925" i="13"/>
  <c r="O917" i="13"/>
  <c r="O909" i="13"/>
  <c r="O901" i="13"/>
  <c r="O893" i="13"/>
  <c r="O885" i="13"/>
  <c r="O877" i="13"/>
  <c r="O869" i="13"/>
  <c r="O861" i="13"/>
  <c r="O853" i="13"/>
  <c r="O845" i="13"/>
  <c r="O837" i="13"/>
  <c r="O829" i="13"/>
  <c r="O821" i="13"/>
  <c r="O813" i="13"/>
  <c r="O805" i="13"/>
  <c r="O797" i="13"/>
  <c r="O789" i="13"/>
  <c r="O781" i="13"/>
  <c r="O773" i="13"/>
  <c r="O765" i="13"/>
  <c r="O757" i="13"/>
  <c r="O749" i="13"/>
  <c r="O741" i="13"/>
  <c r="O733" i="13"/>
  <c r="O725" i="13"/>
  <c r="O717" i="13"/>
  <c r="O709" i="13"/>
  <c r="O701" i="13"/>
  <c r="O693" i="13"/>
  <c r="O685" i="13"/>
  <c r="O674" i="13"/>
  <c r="O661" i="13"/>
  <c r="O649" i="13"/>
  <c r="O636" i="13"/>
  <c r="O622" i="13"/>
  <c r="O610" i="13"/>
  <c r="O597" i="13"/>
  <c r="O585" i="13"/>
  <c r="O572" i="13"/>
  <c r="O558" i="13"/>
  <c r="O546" i="13"/>
  <c r="O533" i="13"/>
  <c r="O521" i="13"/>
  <c r="O508" i="13"/>
  <c r="O494" i="13"/>
  <c r="O482" i="13"/>
  <c r="O466" i="13"/>
  <c r="O450" i="13"/>
  <c r="O434" i="13"/>
  <c r="O412" i="13"/>
  <c r="O390" i="13"/>
  <c r="O370" i="13"/>
  <c r="O348" i="13"/>
  <c r="O326" i="13"/>
  <c r="O306" i="13"/>
  <c r="O284" i="13"/>
  <c r="O262" i="13"/>
  <c r="O242" i="13"/>
  <c r="O220" i="13"/>
  <c r="O198" i="13"/>
  <c r="O178" i="13"/>
  <c r="O156" i="13"/>
  <c r="O134" i="13"/>
  <c r="O114" i="13"/>
  <c r="O92" i="13"/>
  <c r="O70" i="13"/>
  <c r="O50" i="13"/>
  <c r="O28" i="13"/>
  <c r="O266" i="13"/>
  <c r="O202" i="13"/>
  <c r="O158" i="13"/>
  <c r="O116" i="13"/>
  <c r="O30" i="13"/>
  <c r="O996" i="13"/>
  <c r="O988" i="13"/>
  <c r="O980" i="13"/>
  <c r="O972" i="13"/>
  <c r="O964" i="13"/>
  <c r="O956" i="13"/>
  <c r="O948" i="13"/>
  <c r="O940" i="13"/>
  <c r="O932" i="13"/>
  <c r="O924" i="13"/>
  <c r="O916" i="13"/>
  <c r="O908" i="13"/>
  <c r="O900" i="13"/>
  <c r="O892" i="13"/>
  <c r="O884" i="13"/>
  <c r="O876" i="13"/>
  <c r="O868" i="13"/>
  <c r="O860" i="13"/>
  <c r="O852" i="13"/>
  <c r="O844" i="13"/>
  <c r="O836" i="13"/>
  <c r="O828" i="13"/>
  <c r="O820" i="13"/>
  <c r="O812" i="13"/>
  <c r="O804" i="13"/>
  <c r="O796" i="13"/>
  <c r="O788" i="13"/>
  <c r="O780" i="13"/>
  <c r="O772" i="13"/>
  <c r="O764" i="13"/>
  <c r="O756" i="13"/>
  <c r="O748" i="13"/>
  <c r="O740" i="13"/>
  <c r="O732" i="13"/>
  <c r="O724" i="13"/>
  <c r="O716" i="13"/>
  <c r="O708" i="13"/>
  <c r="O700" i="13"/>
  <c r="O692" i="13"/>
  <c r="O684" i="13"/>
  <c r="O673" i="13"/>
  <c r="O660" i="13"/>
  <c r="O646" i="13"/>
  <c r="O634" i="13"/>
  <c r="O621" i="13"/>
  <c r="O609" i="13"/>
  <c r="O596" i="13"/>
  <c r="O582" i="13"/>
  <c r="O570" i="13"/>
  <c r="O557" i="13"/>
  <c r="O545" i="13"/>
  <c r="O532" i="13"/>
  <c r="O518" i="13"/>
  <c r="O506" i="13"/>
  <c r="O493" i="13"/>
  <c r="O478" i="13"/>
  <c r="O462" i="13"/>
  <c r="O446" i="13"/>
  <c r="O430" i="13"/>
  <c r="O410" i="13"/>
  <c r="O388" i="13"/>
  <c r="O366" i="13"/>
  <c r="O346" i="13"/>
  <c r="O324" i="13"/>
  <c r="O302" i="13"/>
  <c r="O282" i="13"/>
  <c r="O260" i="13"/>
  <c r="O238" i="13"/>
  <c r="O218" i="13"/>
  <c r="O196" i="13"/>
  <c r="O174" i="13"/>
  <c r="O154" i="13"/>
  <c r="O132" i="13"/>
  <c r="O110" i="13"/>
  <c r="O90" i="13"/>
  <c r="O68" i="13"/>
  <c r="O46" i="13"/>
  <c r="O26" i="13"/>
  <c r="O1003" i="13"/>
  <c r="O995" i="13"/>
  <c r="O987" i="13"/>
  <c r="O979" i="13"/>
  <c r="O971" i="13"/>
  <c r="O963" i="13"/>
  <c r="O955" i="13"/>
  <c r="O947" i="13"/>
  <c r="O939" i="13"/>
  <c r="O931" i="13"/>
  <c r="O923" i="13"/>
  <c r="O915" i="13"/>
  <c r="O907" i="13"/>
  <c r="O899" i="13"/>
  <c r="O891" i="13"/>
  <c r="O883" i="13"/>
  <c r="O875" i="13"/>
  <c r="O867" i="13"/>
  <c r="O859" i="13"/>
  <c r="O851" i="13"/>
  <c r="O843" i="13"/>
  <c r="O835" i="13"/>
  <c r="O827" i="13"/>
  <c r="O819" i="13"/>
  <c r="O811" i="13"/>
  <c r="O803" i="13"/>
  <c r="O795" i="13"/>
  <c r="O787" i="13"/>
  <c r="O779" i="13"/>
  <c r="O771" i="13"/>
  <c r="O763" i="13"/>
  <c r="O755" i="13"/>
  <c r="O747" i="13"/>
  <c r="O739" i="13"/>
  <c r="O731" i="13"/>
  <c r="O723" i="13"/>
  <c r="O715" i="13"/>
  <c r="O707" i="13"/>
  <c r="O699" i="13"/>
  <c r="O691" i="13"/>
  <c r="O683" i="13"/>
  <c r="O670" i="13"/>
  <c r="O658" i="13"/>
  <c r="O645" i="13"/>
  <c r="O633" i="13"/>
  <c r="O620" i="13"/>
  <c r="O606" i="13"/>
  <c r="O594" i="13"/>
  <c r="O581" i="13"/>
  <c r="O569" i="13"/>
  <c r="O556" i="13"/>
  <c r="O542" i="13"/>
  <c r="O530" i="13"/>
  <c r="O517" i="13"/>
  <c r="O505" i="13"/>
  <c r="O492" i="13"/>
  <c r="O477" i="13"/>
  <c r="O461" i="13"/>
  <c r="O445" i="13"/>
  <c r="O428" i="13"/>
  <c r="O406" i="13"/>
  <c r="O386" i="13"/>
  <c r="O364" i="13"/>
  <c r="O342" i="13"/>
  <c r="O322" i="13"/>
  <c r="O300" i="13"/>
  <c r="O278" i="13"/>
  <c r="O258" i="13"/>
  <c r="O236" i="13"/>
  <c r="O214" i="13"/>
  <c r="O194" i="13"/>
  <c r="O172" i="13"/>
  <c r="O150" i="13"/>
  <c r="O130" i="13"/>
  <c r="O108" i="13"/>
  <c r="O86" i="13"/>
  <c r="O66" i="13"/>
  <c r="O44" i="13"/>
  <c r="O22" i="13"/>
  <c r="O1002" i="13"/>
  <c r="O994" i="13"/>
  <c r="O986" i="13"/>
  <c r="O978" i="13"/>
  <c r="O970" i="13"/>
  <c r="O962" i="13"/>
  <c r="O954" i="13"/>
  <c r="O946" i="13"/>
  <c r="O938" i="13"/>
  <c r="O930" i="13"/>
  <c r="O922" i="13"/>
  <c r="O914" i="13"/>
  <c r="O906" i="13"/>
  <c r="O898" i="13"/>
  <c r="O890" i="13"/>
  <c r="O882" i="13"/>
  <c r="O874" i="13"/>
  <c r="O866" i="13"/>
  <c r="O858" i="13"/>
  <c r="O850" i="13"/>
  <c r="O842" i="13"/>
  <c r="O834" i="13"/>
  <c r="O826" i="13"/>
  <c r="O818" i="13"/>
  <c r="O810" i="13"/>
  <c r="O802" i="13"/>
  <c r="O794" i="13"/>
  <c r="O786" i="13"/>
  <c r="O778" i="13"/>
  <c r="O770" i="13"/>
  <c r="O762" i="13"/>
  <c r="O754" i="13"/>
  <c r="O746" i="13"/>
  <c r="O738" i="13"/>
  <c r="O730" i="13"/>
  <c r="O722" i="13"/>
  <c r="O714" i="13"/>
  <c r="O706" i="13"/>
  <c r="O698" i="13"/>
  <c r="O690" i="13"/>
  <c r="O682" i="13"/>
  <c r="O669" i="13"/>
  <c r="O657" i="13"/>
  <c r="O644" i="13"/>
  <c r="O630" i="13"/>
  <c r="O618" i="13"/>
  <c r="O605" i="13"/>
  <c r="O593" i="13"/>
  <c r="O580" i="13"/>
  <c r="O566" i="13"/>
  <c r="O554" i="13"/>
  <c r="O541" i="13"/>
  <c r="O529" i="13"/>
  <c r="O516" i="13"/>
  <c r="O502" i="13"/>
  <c r="O490" i="13"/>
  <c r="O476" i="13"/>
  <c r="O460" i="13"/>
  <c r="O444" i="13"/>
  <c r="O426" i="13"/>
  <c r="O404" i="13"/>
  <c r="O382" i="13"/>
  <c r="O362" i="13"/>
  <c r="O340" i="13"/>
  <c r="O318" i="13"/>
  <c r="O298" i="13"/>
  <c r="O276" i="13"/>
  <c r="O254" i="13"/>
  <c r="O234" i="13"/>
  <c r="O212" i="13"/>
  <c r="O190" i="13"/>
  <c r="O170" i="13"/>
  <c r="O148" i="13"/>
  <c r="O126" i="13"/>
  <c r="O106" i="13"/>
  <c r="O84" i="13"/>
  <c r="O62" i="13"/>
  <c r="O42" i="13"/>
  <c r="O20" i="13"/>
  <c r="O1001" i="13"/>
  <c r="O993" i="13"/>
  <c r="O985" i="13"/>
  <c r="O977" i="13"/>
  <c r="O969" i="13"/>
  <c r="O961" i="13"/>
  <c r="O953" i="13"/>
  <c r="O945" i="13"/>
  <c r="O937" i="13"/>
  <c r="O929" i="13"/>
  <c r="O921" i="13"/>
  <c r="O913" i="13"/>
  <c r="O905" i="13"/>
  <c r="O897" i="13"/>
  <c r="O889" i="13"/>
  <c r="O881" i="13"/>
  <c r="O873" i="13"/>
  <c r="O865" i="13"/>
  <c r="O857" i="13"/>
  <c r="O849" i="13"/>
  <c r="O841" i="13"/>
  <c r="O833" i="13"/>
  <c r="O825" i="13"/>
  <c r="O817" i="13"/>
  <c r="O809" i="13"/>
  <c r="O801" i="13"/>
  <c r="O793" i="13"/>
  <c r="O785" i="13"/>
  <c r="O777" i="13"/>
  <c r="O769" i="13"/>
  <c r="O761" i="13"/>
  <c r="O753" i="13"/>
  <c r="O745" i="13"/>
  <c r="O737" i="13"/>
  <c r="O729" i="13"/>
  <c r="O721" i="13"/>
  <c r="O713" i="13"/>
  <c r="O705" i="13"/>
  <c r="O697" i="13"/>
  <c r="O689" i="13"/>
  <c r="O681" i="13"/>
  <c r="O668" i="13"/>
  <c r="O654" i="13"/>
  <c r="O642" i="13"/>
  <c r="O629" i="13"/>
  <c r="O617" i="13"/>
  <c r="O604" i="13"/>
  <c r="O590" i="13"/>
  <c r="O578" i="13"/>
  <c r="O565" i="13"/>
  <c r="O553" i="13"/>
  <c r="O540" i="13"/>
  <c r="O526" i="13"/>
  <c r="O514" i="13"/>
  <c r="O501" i="13"/>
  <c r="O489" i="13"/>
  <c r="O474" i="13"/>
  <c r="O458" i="13"/>
  <c r="O442" i="13"/>
  <c r="O422" i="13"/>
  <c r="O402" i="13"/>
  <c r="O380" i="13"/>
  <c r="O358" i="13"/>
  <c r="O338" i="13"/>
  <c r="O316" i="13"/>
  <c r="O294" i="13"/>
  <c r="O274" i="13"/>
  <c r="O252" i="13"/>
  <c r="O230" i="13"/>
  <c r="O210" i="13"/>
  <c r="O188" i="13"/>
  <c r="O166" i="13"/>
  <c r="O146" i="13"/>
  <c r="O124" i="13"/>
  <c r="O102" i="13"/>
  <c r="O82" i="13"/>
  <c r="O60" i="13"/>
  <c r="O38" i="13"/>
  <c r="O18" i="13"/>
  <c r="O244" i="13"/>
  <c r="O222" i="13"/>
  <c r="O180" i="13"/>
  <c r="O138" i="13"/>
  <c r="O94" i="13"/>
  <c r="O52" i="13"/>
  <c r="O1000" i="13"/>
  <c r="O992" i="13"/>
  <c r="O984" i="13"/>
  <c r="O976" i="13"/>
  <c r="O968" i="13"/>
  <c r="O960" i="13"/>
  <c r="O952" i="13"/>
  <c r="O944" i="13"/>
  <c r="O936" i="13"/>
  <c r="O928" i="13"/>
  <c r="O920" i="13"/>
  <c r="O912" i="13"/>
  <c r="O904" i="13"/>
  <c r="O896" i="13"/>
  <c r="O888" i="13"/>
  <c r="O880" i="13"/>
  <c r="O872" i="13"/>
  <c r="O864" i="13"/>
  <c r="O856" i="13"/>
  <c r="O848" i="13"/>
  <c r="O840" i="13"/>
  <c r="O832" i="13"/>
  <c r="O824" i="13"/>
  <c r="O816" i="13"/>
  <c r="O808" i="13"/>
  <c r="O800" i="13"/>
  <c r="O792" i="13"/>
  <c r="O784" i="13"/>
  <c r="O776" i="13"/>
  <c r="O768" i="13"/>
  <c r="O760" i="13"/>
  <c r="O752" i="13"/>
  <c r="O744" i="13"/>
  <c r="O736" i="13"/>
  <c r="O728" i="13"/>
  <c r="O720" i="13"/>
  <c r="O712" i="13"/>
  <c r="O704" i="13"/>
  <c r="O696" i="13"/>
  <c r="O688" i="13"/>
  <c r="O678" i="13"/>
  <c r="O666" i="13"/>
  <c r="O653" i="13"/>
  <c r="O641" i="13"/>
  <c r="O628" i="13"/>
  <c r="O614" i="13"/>
  <c r="O602" i="13"/>
  <c r="O589" i="13"/>
  <c r="O577" i="13"/>
  <c r="O564" i="13"/>
  <c r="O550" i="13"/>
  <c r="O538" i="13"/>
  <c r="O525" i="13"/>
  <c r="O513" i="13"/>
  <c r="O500" i="13"/>
  <c r="O486" i="13"/>
  <c r="O470" i="13"/>
  <c r="O454" i="13"/>
  <c r="O438" i="13"/>
  <c r="O420" i="13"/>
  <c r="O398" i="13"/>
  <c r="O378" i="13"/>
  <c r="O356" i="13"/>
  <c r="O334" i="13"/>
  <c r="O314" i="13"/>
  <c r="O292" i="13"/>
  <c r="O270" i="13"/>
  <c r="O250" i="13"/>
  <c r="O228" i="13"/>
  <c r="O206" i="13"/>
  <c r="O186" i="13"/>
  <c r="O164" i="13"/>
  <c r="O142" i="13"/>
  <c r="O122" i="13"/>
  <c r="O100" i="13"/>
  <c r="O78" i="13"/>
  <c r="O58" i="13"/>
  <c r="O36" i="13"/>
  <c r="O14" i="13"/>
  <c r="O999" i="13"/>
  <c r="O991" i="13"/>
  <c r="O983" i="13"/>
  <c r="O975" i="13"/>
  <c r="O967" i="13"/>
  <c r="O959" i="13"/>
  <c r="O951" i="13"/>
  <c r="O943" i="13"/>
  <c r="O935" i="13"/>
  <c r="O927" i="13"/>
  <c r="O919" i="13"/>
  <c r="O911" i="13"/>
  <c r="O903" i="13"/>
  <c r="O895" i="13"/>
  <c r="O887" i="13"/>
  <c r="O879" i="13"/>
  <c r="O871" i="13"/>
  <c r="O863" i="13"/>
  <c r="O855" i="13"/>
  <c r="O847" i="13"/>
  <c r="O839" i="13"/>
  <c r="O831" i="13"/>
  <c r="O823" i="13"/>
  <c r="O815" i="13"/>
  <c r="O807" i="13"/>
  <c r="O799" i="13"/>
  <c r="O791" i="13"/>
  <c r="O783" i="13"/>
  <c r="O775" i="13"/>
  <c r="O767" i="13"/>
  <c r="O759" i="13"/>
  <c r="O751" i="13"/>
  <c r="O743" i="13"/>
  <c r="O735" i="13"/>
  <c r="O727" i="13"/>
  <c r="O719" i="13"/>
  <c r="O711" i="13"/>
  <c r="O703" i="13"/>
  <c r="O695" i="13"/>
  <c r="O687" i="13"/>
  <c r="O677" i="13"/>
  <c r="O665" i="13"/>
  <c r="O652" i="13"/>
  <c r="O638" i="13"/>
  <c r="O626" i="13"/>
  <c r="O613" i="13"/>
  <c r="O601" i="13"/>
  <c r="O588" i="13"/>
  <c r="O574" i="13"/>
  <c r="O562" i="13"/>
  <c r="O549" i="13"/>
  <c r="O537" i="13"/>
  <c r="O524" i="13"/>
  <c r="O510" i="13"/>
  <c r="O498" i="13"/>
  <c r="O485" i="13"/>
  <c r="O469" i="13"/>
  <c r="O453" i="13"/>
  <c r="O437" i="13"/>
  <c r="O418" i="13"/>
  <c r="O396" i="13"/>
  <c r="O374" i="13"/>
  <c r="O354" i="13"/>
  <c r="O332" i="13"/>
  <c r="O310" i="13"/>
  <c r="O290" i="13"/>
  <c r="O268" i="13"/>
  <c r="O246" i="13"/>
  <c r="O226" i="13"/>
  <c r="O204" i="13"/>
  <c r="O182" i="13"/>
  <c r="O162" i="13"/>
  <c r="O140" i="13"/>
  <c r="O118" i="13"/>
  <c r="O98" i="13"/>
  <c r="O76" i="13"/>
  <c r="O54" i="13"/>
  <c r="O34" i="13"/>
  <c r="O12" i="13"/>
  <c r="P1000" i="12"/>
  <c r="P992" i="12"/>
  <c r="P984" i="12"/>
  <c r="P976" i="12"/>
  <c r="P968" i="12"/>
  <c r="P960" i="12"/>
  <c r="P952" i="12"/>
  <c r="P944" i="12"/>
  <c r="P936" i="12"/>
  <c r="P928" i="12"/>
  <c r="P920" i="12"/>
  <c r="P912" i="12"/>
  <c r="P904" i="12"/>
  <c r="P896" i="12"/>
  <c r="P888" i="12"/>
  <c r="P880" i="12"/>
  <c r="P872" i="12"/>
  <c r="P864" i="12"/>
  <c r="P856" i="12"/>
  <c r="P848" i="12"/>
  <c r="P840" i="12"/>
  <c r="P832" i="12"/>
  <c r="P824" i="12"/>
  <c r="P816" i="12"/>
  <c r="P808" i="12"/>
  <c r="P800" i="12"/>
  <c r="P792" i="12"/>
  <c r="P784" i="12"/>
  <c r="P776" i="12"/>
  <c r="P768" i="12"/>
  <c r="P760" i="12"/>
  <c r="P752" i="12"/>
  <c r="P744" i="12"/>
  <c r="P736" i="12"/>
  <c r="P728" i="12"/>
  <c r="P720" i="12"/>
  <c r="P712" i="12"/>
  <c r="P704" i="12"/>
  <c r="P696" i="12"/>
  <c r="P688" i="12"/>
  <c r="P668" i="12"/>
  <c r="P636" i="12"/>
  <c r="P604" i="12"/>
  <c r="P572" i="12"/>
  <c r="P540" i="12"/>
  <c r="P508" i="12"/>
  <c r="P476" i="12"/>
  <c r="P444" i="12"/>
  <c r="P412" i="12"/>
  <c r="P380" i="12"/>
  <c r="P348" i="12"/>
  <c r="P316" i="12"/>
  <c r="P284" i="12"/>
  <c r="P252" i="12"/>
  <c r="P220" i="12"/>
  <c r="P188" i="12"/>
  <c r="P156" i="12"/>
  <c r="P124" i="12"/>
  <c r="P92" i="12"/>
  <c r="P60" i="12"/>
  <c r="P28" i="12"/>
  <c r="P986" i="12"/>
  <c r="P954" i="12"/>
  <c r="P922" i="12"/>
  <c r="P882" i="12"/>
  <c r="P850" i="12"/>
  <c r="P818" i="12"/>
  <c r="P770" i="12"/>
  <c r="P746" i="12"/>
  <c r="P690" i="12"/>
  <c r="P132" i="12"/>
  <c r="P1001" i="12"/>
  <c r="P969" i="12"/>
  <c r="P945" i="12"/>
  <c r="P913" i="12"/>
  <c r="P881" i="12"/>
  <c r="P857" i="12"/>
  <c r="P817" i="12"/>
  <c r="P785" i="12"/>
  <c r="P721" i="12"/>
  <c r="P65" i="12"/>
  <c r="P999" i="12"/>
  <c r="P991" i="12"/>
  <c r="P983" i="12"/>
  <c r="P975" i="12"/>
  <c r="P967" i="12"/>
  <c r="P959" i="12"/>
  <c r="P951" i="12"/>
  <c r="P943" i="12"/>
  <c r="P935" i="12"/>
  <c r="P927" i="12"/>
  <c r="P919" i="12"/>
  <c r="P911" i="12"/>
  <c r="P903" i="12"/>
  <c r="P895" i="12"/>
  <c r="P887" i="12"/>
  <c r="P879" i="12"/>
  <c r="P871" i="12"/>
  <c r="P863" i="12"/>
  <c r="P855" i="12"/>
  <c r="P847" i="12"/>
  <c r="P839" i="12"/>
  <c r="P831" i="12"/>
  <c r="P823" i="12"/>
  <c r="P815" i="12"/>
  <c r="P807" i="12"/>
  <c r="P799" i="12"/>
  <c r="P791" i="12"/>
  <c r="P783" i="12"/>
  <c r="P775" i="12"/>
  <c r="P767" i="12"/>
  <c r="P759" i="12"/>
  <c r="P751" i="12"/>
  <c r="P743" i="12"/>
  <c r="P735" i="12"/>
  <c r="P727" i="12"/>
  <c r="P719" i="12"/>
  <c r="P711" i="12"/>
  <c r="P703" i="12"/>
  <c r="P695" i="12"/>
  <c r="P687" i="12"/>
  <c r="P665" i="12"/>
  <c r="P633" i="12"/>
  <c r="P601" i="12"/>
  <c r="P569" i="12"/>
  <c r="P537" i="12"/>
  <c r="P505" i="12"/>
  <c r="P473" i="12"/>
  <c r="P441" i="12"/>
  <c r="P409" i="12"/>
  <c r="P377" i="12"/>
  <c r="P345" i="12"/>
  <c r="P313" i="12"/>
  <c r="P281" i="12"/>
  <c r="P249" i="12"/>
  <c r="P185" i="12"/>
  <c r="P153" i="12"/>
  <c r="P121" i="12"/>
  <c r="P89" i="12"/>
  <c r="P57" i="12"/>
  <c r="P25" i="12"/>
  <c r="P1002" i="12"/>
  <c r="P962" i="12"/>
  <c r="P930" i="12"/>
  <c r="P898" i="12"/>
  <c r="P866" i="12"/>
  <c r="P834" i="12"/>
  <c r="P810" i="12"/>
  <c r="P786" i="12"/>
  <c r="P754" i="12"/>
  <c r="P722" i="12"/>
  <c r="P706" i="12"/>
  <c r="P676" i="12"/>
  <c r="P580" i="12"/>
  <c r="P420" i="12"/>
  <c r="P356" i="12"/>
  <c r="P292" i="12"/>
  <c r="P196" i="12"/>
  <c r="P36" i="12"/>
  <c r="P993" i="12"/>
  <c r="P961" i="12"/>
  <c r="P921" i="12"/>
  <c r="P889" i="12"/>
  <c r="P865" i="12"/>
  <c r="P833" i="12"/>
  <c r="P801" i="12"/>
  <c r="P769" i="12"/>
  <c r="P745" i="12"/>
  <c r="P729" i="12"/>
  <c r="P705" i="12"/>
  <c r="P673" i="12"/>
  <c r="P609" i="12"/>
  <c r="P545" i="12"/>
  <c r="P481" i="12"/>
  <c r="P417" i="12"/>
  <c r="P353" i="12"/>
  <c r="P289" i="12"/>
  <c r="P225" i="12"/>
  <c r="P161" i="12"/>
  <c r="P97" i="12"/>
  <c r="P217" i="12"/>
  <c r="P998" i="12"/>
  <c r="P990" i="12"/>
  <c r="P982" i="12"/>
  <c r="P974" i="12"/>
  <c r="P966" i="12"/>
  <c r="P958" i="12"/>
  <c r="P950" i="12"/>
  <c r="P942" i="12"/>
  <c r="P934" i="12"/>
  <c r="P926" i="12"/>
  <c r="P918" i="12"/>
  <c r="P910" i="12"/>
  <c r="P902" i="12"/>
  <c r="P894" i="12"/>
  <c r="P886" i="12"/>
  <c r="P878" i="12"/>
  <c r="P870" i="12"/>
  <c r="P862" i="12"/>
  <c r="P854" i="12"/>
  <c r="P846" i="12"/>
  <c r="P838" i="12"/>
  <c r="P830" i="12"/>
  <c r="P822" i="12"/>
  <c r="P814" i="12"/>
  <c r="P806" i="12"/>
  <c r="P798" i="12"/>
  <c r="P790" i="12"/>
  <c r="P782" i="12"/>
  <c r="P774" i="12"/>
  <c r="P766" i="12"/>
  <c r="P758" i="12"/>
  <c r="P750" i="12"/>
  <c r="P742" i="12"/>
  <c r="P734" i="12"/>
  <c r="P726" i="12"/>
  <c r="P718" i="12"/>
  <c r="P710" i="12"/>
  <c r="P702" i="12"/>
  <c r="P694" i="12"/>
  <c r="P686" i="12"/>
  <c r="P660" i="12"/>
  <c r="P628" i="12"/>
  <c r="P596" i="12"/>
  <c r="P564" i="12"/>
  <c r="P532" i="12"/>
  <c r="P500" i="12"/>
  <c r="P468" i="12"/>
  <c r="P436" i="12"/>
  <c r="P404" i="12"/>
  <c r="P372" i="12"/>
  <c r="P340" i="12"/>
  <c r="P308" i="12"/>
  <c r="P276" i="12"/>
  <c r="P244" i="12"/>
  <c r="P212" i="12"/>
  <c r="P180" i="12"/>
  <c r="P148" i="12"/>
  <c r="P116" i="12"/>
  <c r="P84" i="12"/>
  <c r="P52" i="12"/>
  <c r="P5" i="12"/>
  <c r="P13" i="12"/>
  <c r="P21" i="12"/>
  <c r="P29" i="12"/>
  <c r="P37" i="12"/>
  <c r="P45" i="12"/>
  <c r="P53" i="12"/>
  <c r="P61" i="12"/>
  <c r="P69" i="12"/>
  <c r="P77" i="12"/>
  <c r="P85" i="12"/>
  <c r="P93" i="12"/>
  <c r="P101" i="12"/>
  <c r="P109" i="12"/>
  <c r="P117" i="12"/>
  <c r="P125" i="12"/>
  <c r="P133" i="12"/>
  <c r="P141" i="12"/>
  <c r="P149" i="12"/>
  <c r="P157" i="12"/>
  <c r="P165" i="12"/>
  <c r="P173" i="12"/>
  <c r="P181" i="12"/>
  <c r="P189" i="12"/>
  <c r="P197" i="12"/>
  <c r="P205" i="12"/>
  <c r="P213" i="12"/>
  <c r="P221" i="12"/>
  <c r="P229" i="12"/>
  <c r="P237" i="12"/>
  <c r="P245" i="12"/>
  <c r="P253" i="12"/>
  <c r="P261" i="12"/>
  <c r="P269" i="12"/>
  <c r="P277" i="12"/>
  <c r="P285" i="12"/>
  <c r="P293" i="12"/>
  <c r="P301" i="12"/>
  <c r="P309" i="12"/>
  <c r="P317" i="12"/>
  <c r="P325" i="12"/>
  <c r="P333" i="12"/>
  <c r="P341" i="12"/>
  <c r="P349" i="12"/>
  <c r="P357" i="12"/>
  <c r="P365" i="12"/>
  <c r="P373" i="12"/>
  <c r="P381" i="12"/>
  <c r="P389" i="12"/>
  <c r="P397" i="12"/>
  <c r="P405" i="12"/>
  <c r="P413" i="12"/>
  <c r="P421" i="12"/>
  <c r="P429" i="12"/>
  <c r="P437" i="12"/>
  <c r="P445" i="12"/>
  <c r="P453" i="12"/>
  <c r="P461" i="12"/>
  <c r="P469" i="12"/>
  <c r="P477" i="12"/>
  <c r="P485" i="12"/>
  <c r="P493" i="12"/>
  <c r="P501" i="12"/>
  <c r="P509" i="12"/>
  <c r="P517" i="12"/>
  <c r="P525" i="12"/>
  <c r="P533" i="12"/>
  <c r="P541" i="12"/>
  <c r="P549" i="12"/>
  <c r="P557" i="12"/>
  <c r="P565" i="12"/>
  <c r="P573" i="12"/>
  <c r="P581" i="12"/>
  <c r="P589" i="12"/>
  <c r="P597" i="12"/>
  <c r="P605" i="12"/>
  <c r="P613" i="12"/>
  <c r="P621" i="12"/>
  <c r="P629" i="12"/>
  <c r="P637" i="12"/>
  <c r="P645" i="12"/>
  <c r="P653" i="12"/>
  <c r="P661" i="12"/>
  <c r="P669" i="12"/>
  <c r="P677" i="12"/>
  <c r="P6" i="12"/>
  <c r="P14" i="12"/>
  <c r="P22" i="12"/>
  <c r="P30" i="12"/>
  <c r="P38" i="12"/>
  <c r="P46" i="12"/>
  <c r="P54" i="12"/>
  <c r="P62" i="12"/>
  <c r="P70" i="12"/>
  <c r="P78" i="12"/>
  <c r="P86" i="12"/>
  <c r="P94" i="12"/>
  <c r="P102" i="12"/>
  <c r="P110" i="12"/>
  <c r="P118" i="12"/>
  <c r="P126" i="12"/>
  <c r="P134" i="12"/>
  <c r="P142" i="12"/>
  <c r="P150" i="12"/>
  <c r="P158" i="12"/>
  <c r="P166" i="12"/>
  <c r="P174" i="12"/>
  <c r="P182" i="12"/>
  <c r="P190" i="12"/>
  <c r="P198" i="12"/>
  <c r="P206" i="12"/>
  <c r="P214" i="12"/>
  <c r="P222" i="12"/>
  <c r="P230" i="12"/>
  <c r="P238" i="12"/>
  <c r="P246" i="12"/>
  <c r="P254" i="12"/>
  <c r="P262" i="12"/>
  <c r="P270" i="12"/>
  <c r="P278" i="12"/>
  <c r="P286" i="12"/>
  <c r="P294" i="12"/>
  <c r="P302" i="12"/>
  <c r="P310" i="12"/>
  <c r="P318" i="12"/>
  <c r="P326" i="12"/>
  <c r="P334" i="12"/>
  <c r="P342" i="12"/>
  <c r="P350" i="12"/>
  <c r="P358" i="12"/>
  <c r="P366" i="12"/>
  <c r="P374" i="12"/>
  <c r="P382" i="12"/>
  <c r="P390" i="12"/>
  <c r="P398" i="12"/>
  <c r="P406" i="12"/>
  <c r="P414" i="12"/>
  <c r="P422" i="12"/>
  <c r="P430" i="12"/>
  <c r="P438" i="12"/>
  <c r="P446" i="12"/>
  <c r="P454" i="12"/>
  <c r="P462" i="12"/>
  <c r="P470" i="12"/>
  <c r="P478" i="12"/>
  <c r="P486" i="12"/>
  <c r="P494" i="12"/>
  <c r="P502" i="12"/>
  <c r="P510" i="12"/>
  <c r="P518" i="12"/>
  <c r="P526" i="12"/>
  <c r="P534" i="12"/>
  <c r="P542" i="12"/>
  <c r="P550" i="12"/>
  <c r="P558" i="12"/>
  <c r="P566" i="12"/>
  <c r="P574" i="12"/>
  <c r="P582" i="12"/>
  <c r="P590" i="12"/>
  <c r="P598" i="12"/>
  <c r="P606" i="12"/>
  <c r="P614" i="12"/>
  <c r="P622" i="12"/>
  <c r="P630" i="12"/>
  <c r="P638" i="12"/>
  <c r="P646" i="12"/>
  <c r="P654" i="12"/>
  <c r="P662" i="12"/>
  <c r="P670" i="12"/>
  <c r="P678" i="12"/>
  <c r="P7" i="12"/>
  <c r="P15" i="12"/>
  <c r="P23" i="12"/>
  <c r="P31" i="12"/>
  <c r="P39" i="12"/>
  <c r="P47" i="12"/>
  <c r="P55" i="12"/>
  <c r="P63" i="12"/>
  <c r="P71" i="12"/>
  <c r="P79" i="12"/>
  <c r="P87" i="12"/>
  <c r="P95" i="12"/>
  <c r="P103" i="12"/>
  <c r="P111" i="12"/>
  <c r="P119" i="12"/>
  <c r="P127" i="12"/>
  <c r="P135" i="12"/>
  <c r="P143" i="12"/>
  <c r="P151" i="12"/>
  <c r="P159" i="12"/>
  <c r="P167" i="12"/>
  <c r="P175" i="12"/>
  <c r="P183" i="12"/>
  <c r="P191" i="12"/>
  <c r="P199" i="12"/>
  <c r="P207" i="12"/>
  <c r="P215" i="12"/>
  <c r="P223" i="12"/>
  <c r="P231" i="12"/>
  <c r="P239" i="12"/>
  <c r="P247" i="12"/>
  <c r="P255" i="12"/>
  <c r="P263" i="12"/>
  <c r="P271" i="12"/>
  <c r="P279" i="12"/>
  <c r="P287" i="12"/>
  <c r="P295" i="12"/>
  <c r="P303" i="12"/>
  <c r="P311" i="12"/>
  <c r="P319" i="12"/>
  <c r="P327" i="12"/>
  <c r="P335" i="12"/>
  <c r="P343" i="12"/>
  <c r="P351" i="12"/>
  <c r="P359" i="12"/>
  <c r="P367" i="12"/>
  <c r="P375" i="12"/>
  <c r="P383" i="12"/>
  <c r="P391" i="12"/>
  <c r="P399" i="12"/>
  <c r="P407" i="12"/>
  <c r="P415" i="12"/>
  <c r="P423" i="12"/>
  <c r="P431" i="12"/>
  <c r="P439" i="12"/>
  <c r="P447" i="12"/>
  <c r="P455" i="12"/>
  <c r="P463" i="12"/>
  <c r="P471" i="12"/>
  <c r="P479" i="12"/>
  <c r="P487" i="12"/>
  <c r="P495" i="12"/>
  <c r="P503" i="12"/>
  <c r="P511" i="12"/>
  <c r="P519" i="12"/>
  <c r="P527" i="12"/>
  <c r="P535" i="12"/>
  <c r="P543" i="12"/>
  <c r="P551" i="12"/>
  <c r="P559" i="12"/>
  <c r="P567" i="12"/>
  <c r="P575" i="12"/>
  <c r="P583" i="12"/>
  <c r="P591" i="12"/>
  <c r="P599" i="12"/>
  <c r="P607" i="12"/>
  <c r="P615" i="12"/>
  <c r="P623" i="12"/>
  <c r="P631" i="12"/>
  <c r="P639" i="12"/>
  <c r="P647" i="12"/>
  <c r="P655" i="12"/>
  <c r="P663" i="12"/>
  <c r="P671" i="12"/>
  <c r="P679" i="12"/>
  <c r="P8" i="12"/>
  <c r="P16" i="12"/>
  <c r="P24" i="12"/>
  <c r="P32" i="12"/>
  <c r="P40" i="12"/>
  <c r="P48" i="12"/>
  <c r="P56" i="12"/>
  <c r="P64" i="12"/>
  <c r="P72" i="12"/>
  <c r="P80" i="12"/>
  <c r="P88" i="12"/>
  <c r="P96" i="12"/>
  <c r="P104" i="12"/>
  <c r="P112" i="12"/>
  <c r="P120" i="12"/>
  <c r="P128" i="12"/>
  <c r="P136" i="12"/>
  <c r="P144" i="12"/>
  <c r="P152" i="12"/>
  <c r="P160" i="12"/>
  <c r="P168" i="12"/>
  <c r="P176" i="12"/>
  <c r="P184" i="12"/>
  <c r="P192" i="12"/>
  <c r="P200" i="12"/>
  <c r="P208" i="12"/>
  <c r="P216" i="12"/>
  <c r="P224" i="12"/>
  <c r="P232" i="12"/>
  <c r="P240" i="12"/>
  <c r="P248" i="12"/>
  <c r="P256" i="12"/>
  <c r="P264" i="12"/>
  <c r="P272" i="12"/>
  <c r="P280" i="12"/>
  <c r="P288" i="12"/>
  <c r="P296" i="12"/>
  <c r="P304" i="12"/>
  <c r="P312" i="12"/>
  <c r="P320" i="12"/>
  <c r="P328" i="12"/>
  <c r="P336" i="12"/>
  <c r="P344" i="12"/>
  <c r="P352" i="12"/>
  <c r="P360" i="12"/>
  <c r="P368" i="12"/>
  <c r="P376" i="12"/>
  <c r="P384" i="12"/>
  <c r="P392" i="12"/>
  <c r="P400" i="12"/>
  <c r="P408" i="12"/>
  <c r="P416" i="12"/>
  <c r="P424" i="12"/>
  <c r="P432" i="12"/>
  <c r="P440" i="12"/>
  <c r="P448" i="12"/>
  <c r="P456" i="12"/>
  <c r="P464" i="12"/>
  <c r="P472" i="12"/>
  <c r="P480" i="12"/>
  <c r="P488" i="12"/>
  <c r="P496" i="12"/>
  <c r="P504" i="12"/>
  <c r="P512" i="12"/>
  <c r="P520" i="12"/>
  <c r="P528" i="12"/>
  <c r="P536" i="12"/>
  <c r="P544" i="12"/>
  <c r="P552" i="12"/>
  <c r="P560" i="12"/>
  <c r="P568" i="12"/>
  <c r="P576" i="12"/>
  <c r="P584" i="12"/>
  <c r="P592" i="12"/>
  <c r="P600" i="12"/>
  <c r="P608" i="12"/>
  <c r="P616" i="12"/>
  <c r="P624" i="12"/>
  <c r="P632" i="12"/>
  <c r="P640" i="12"/>
  <c r="P648" i="12"/>
  <c r="P656" i="12"/>
  <c r="P664" i="12"/>
  <c r="P672" i="12"/>
  <c r="P680" i="12"/>
  <c r="P10" i="12"/>
  <c r="P18" i="12"/>
  <c r="P26" i="12"/>
  <c r="P34" i="12"/>
  <c r="P42" i="12"/>
  <c r="P50" i="12"/>
  <c r="P58" i="12"/>
  <c r="P66" i="12"/>
  <c r="P74" i="12"/>
  <c r="P82" i="12"/>
  <c r="P90" i="12"/>
  <c r="P98" i="12"/>
  <c r="P106" i="12"/>
  <c r="P114" i="12"/>
  <c r="P122" i="12"/>
  <c r="P130" i="12"/>
  <c r="P138" i="12"/>
  <c r="P146" i="12"/>
  <c r="P154" i="12"/>
  <c r="P162" i="12"/>
  <c r="P170" i="12"/>
  <c r="P178" i="12"/>
  <c r="P186" i="12"/>
  <c r="P194" i="12"/>
  <c r="P202" i="12"/>
  <c r="P210" i="12"/>
  <c r="P218" i="12"/>
  <c r="P226" i="12"/>
  <c r="P234" i="12"/>
  <c r="P242" i="12"/>
  <c r="P250" i="12"/>
  <c r="P258" i="12"/>
  <c r="P266" i="12"/>
  <c r="P274" i="12"/>
  <c r="P282" i="12"/>
  <c r="P290" i="12"/>
  <c r="P298" i="12"/>
  <c r="P306" i="12"/>
  <c r="P314" i="12"/>
  <c r="P322" i="12"/>
  <c r="P330" i="12"/>
  <c r="P338" i="12"/>
  <c r="P346" i="12"/>
  <c r="P354" i="12"/>
  <c r="P362" i="12"/>
  <c r="P370" i="12"/>
  <c r="P378" i="12"/>
  <c r="P386" i="12"/>
  <c r="P394" i="12"/>
  <c r="P402" i="12"/>
  <c r="P410" i="12"/>
  <c r="P418" i="12"/>
  <c r="P426" i="12"/>
  <c r="P434" i="12"/>
  <c r="P442" i="12"/>
  <c r="P450" i="12"/>
  <c r="P458" i="12"/>
  <c r="P466" i="12"/>
  <c r="P474" i="12"/>
  <c r="P482" i="12"/>
  <c r="P490" i="12"/>
  <c r="P498" i="12"/>
  <c r="P506" i="12"/>
  <c r="P514" i="12"/>
  <c r="P522" i="12"/>
  <c r="P530" i="12"/>
  <c r="P538" i="12"/>
  <c r="P546" i="12"/>
  <c r="P554" i="12"/>
  <c r="P562" i="12"/>
  <c r="P570" i="12"/>
  <c r="P578" i="12"/>
  <c r="P586" i="12"/>
  <c r="P594" i="12"/>
  <c r="P602" i="12"/>
  <c r="P610" i="12"/>
  <c r="P618" i="12"/>
  <c r="P626" i="12"/>
  <c r="P634" i="12"/>
  <c r="P642" i="12"/>
  <c r="P650" i="12"/>
  <c r="P658" i="12"/>
  <c r="P666" i="12"/>
  <c r="P674" i="12"/>
  <c r="P682" i="12"/>
  <c r="P11" i="12"/>
  <c r="P19" i="12"/>
  <c r="P27" i="12"/>
  <c r="P35" i="12"/>
  <c r="P43" i="12"/>
  <c r="P51" i="12"/>
  <c r="P59" i="12"/>
  <c r="P67" i="12"/>
  <c r="P75" i="12"/>
  <c r="P83" i="12"/>
  <c r="P91" i="12"/>
  <c r="P99" i="12"/>
  <c r="P107" i="12"/>
  <c r="P115" i="12"/>
  <c r="P123" i="12"/>
  <c r="P131" i="12"/>
  <c r="P139" i="12"/>
  <c r="P147" i="12"/>
  <c r="P155" i="12"/>
  <c r="P163" i="12"/>
  <c r="P171" i="12"/>
  <c r="P179" i="12"/>
  <c r="P187" i="12"/>
  <c r="P195" i="12"/>
  <c r="P203" i="12"/>
  <c r="P211" i="12"/>
  <c r="P219" i="12"/>
  <c r="P227" i="12"/>
  <c r="P235" i="12"/>
  <c r="P243" i="12"/>
  <c r="P251" i="12"/>
  <c r="P259" i="12"/>
  <c r="P267" i="12"/>
  <c r="P275" i="12"/>
  <c r="P283" i="12"/>
  <c r="P291" i="12"/>
  <c r="P299" i="12"/>
  <c r="P307" i="12"/>
  <c r="P315" i="12"/>
  <c r="P323" i="12"/>
  <c r="P331" i="12"/>
  <c r="P339" i="12"/>
  <c r="P347" i="12"/>
  <c r="P355" i="12"/>
  <c r="P363" i="12"/>
  <c r="P371" i="12"/>
  <c r="P379" i="12"/>
  <c r="P387" i="12"/>
  <c r="P395" i="12"/>
  <c r="P403" i="12"/>
  <c r="P411" i="12"/>
  <c r="P419" i="12"/>
  <c r="P427" i="12"/>
  <c r="P435" i="12"/>
  <c r="P443" i="12"/>
  <c r="P451" i="12"/>
  <c r="P459" i="12"/>
  <c r="P467" i="12"/>
  <c r="P475" i="12"/>
  <c r="P483" i="12"/>
  <c r="P491" i="12"/>
  <c r="P499" i="12"/>
  <c r="P507" i="12"/>
  <c r="P515" i="12"/>
  <c r="P523" i="12"/>
  <c r="P531" i="12"/>
  <c r="P539" i="12"/>
  <c r="P547" i="12"/>
  <c r="P555" i="12"/>
  <c r="P563" i="12"/>
  <c r="P571" i="12"/>
  <c r="P579" i="12"/>
  <c r="P587" i="12"/>
  <c r="P595" i="12"/>
  <c r="P603" i="12"/>
  <c r="P611" i="12"/>
  <c r="P619" i="12"/>
  <c r="P627" i="12"/>
  <c r="P635" i="12"/>
  <c r="P643" i="12"/>
  <c r="P651" i="12"/>
  <c r="P659" i="12"/>
  <c r="P667" i="12"/>
  <c r="P675" i="12"/>
  <c r="P683" i="12"/>
  <c r="P997" i="12"/>
  <c r="P989" i="12"/>
  <c r="P981" i="12"/>
  <c r="P973" i="12"/>
  <c r="P965" i="12"/>
  <c r="P957" i="12"/>
  <c r="P949" i="12"/>
  <c r="P941" i="12"/>
  <c r="P933" i="12"/>
  <c r="P925" i="12"/>
  <c r="P917" i="12"/>
  <c r="P909" i="12"/>
  <c r="P901" i="12"/>
  <c r="P893" i="12"/>
  <c r="P885" i="12"/>
  <c r="P877" i="12"/>
  <c r="P869" i="12"/>
  <c r="P861" i="12"/>
  <c r="P853" i="12"/>
  <c r="P845" i="12"/>
  <c r="P837" i="12"/>
  <c r="P829" i="12"/>
  <c r="P821" i="12"/>
  <c r="P813" i="12"/>
  <c r="P805" i="12"/>
  <c r="P797" i="12"/>
  <c r="P789" i="12"/>
  <c r="P781" i="12"/>
  <c r="P773" i="12"/>
  <c r="P765" i="12"/>
  <c r="P757" i="12"/>
  <c r="P749" i="12"/>
  <c r="P741" i="12"/>
  <c r="P733" i="12"/>
  <c r="P725" i="12"/>
  <c r="P717" i="12"/>
  <c r="P709" i="12"/>
  <c r="P701" i="12"/>
  <c r="P693" i="12"/>
  <c r="P685" i="12"/>
  <c r="P657" i="12"/>
  <c r="P625" i="12"/>
  <c r="P593" i="12"/>
  <c r="P561" i="12"/>
  <c r="P529" i="12"/>
  <c r="P497" i="12"/>
  <c r="P465" i="12"/>
  <c r="P433" i="12"/>
  <c r="P401" i="12"/>
  <c r="P369" i="12"/>
  <c r="P337" i="12"/>
  <c r="P305" i="12"/>
  <c r="P273" i="12"/>
  <c r="P241" i="12"/>
  <c r="P209" i="12"/>
  <c r="P177" i="12"/>
  <c r="P145" i="12"/>
  <c r="P113" i="12"/>
  <c r="P81" i="12"/>
  <c r="P49" i="12"/>
  <c r="P17" i="12"/>
  <c r="P994" i="12"/>
  <c r="P970" i="12"/>
  <c r="P938" i="12"/>
  <c r="P906" i="12"/>
  <c r="P874" i="12"/>
  <c r="P842" i="12"/>
  <c r="P802" i="12"/>
  <c r="P778" i="12"/>
  <c r="P730" i="12"/>
  <c r="P714" i="12"/>
  <c r="P612" i="12"/>
  <c r="P516" i="12"/>
  <c r="P484" i="12"/>
  <c r="P388" i="12"/>
  <c r="P324" i="12"/>
  <c r="P260" i="12"/>
  <c r="P228" i="12"/>
  <c r="P164" i="12"/>
  <c r="P68" i="12"/>
  <c r="P985" i="12"/>
  <c r="P953" i="12"/>
  <c r="P929" i="12"/>
  <c r="P897" i="12"/>
  <c r="P849" i="12"/>
  <c r="P825" i="12"/>
  <c r="P777" i="12"/>
  <c r="P753" i="12"/>
  <c r="P737" i="12"/>
  <c r="P713" i="12"/>
  <c r="P689" i="12"/>
  <c r="P641" i="12"/>
  <c r="P577" i="12"/>
  <c r="P513" i="12"/>
  <c r="P449" i="12"/>
  <c r="P385" i="12"/>
  <c r="P321" i="12"/>
  <c r="P257" i="12"/>
  <c r="P193" i="12"/>
  <c r="P33" i="12"/>
  <c r="P996" i="12"/>
  <c r="P988" i="12"/>
  <c r="P980" i="12"/>
  <c r="P972" i="12"/>
  <c r="P964" i="12"/>
  <c r="P956" i="12"/>
  <c r="P948" i="12"/>
  <c r="P940" i="12"/>
  <c r="P932" i="12"/>
  <c r="P924" i="12"/>
  <c r="P916" i="12"/>
  <c r="P908" i="12"/>
  <c r="P900" i="12"/>
  <c r="P892" i="12"/>
  <c r="P884" i="12"/>
  <c r="P876" i="12"/>
  <c r="P868" i="12"/>
  <c r="P860" i="12"/>
  <c r="P852" i="12"/>
  <c r="P844" i="12"/>
  <c r="P836" i="12"/>
  <c r="P828" i="12"/>
  <c r="P820" i="12"/>
  <c r="P812" i="12"/>
  <c r="P804" i="12"/>
  <c r="P796" i="12"/>
  <c r="P788" i="12"/>
  <c r="P780" i="12"/>
  <c r="P772" i="12"/>
  <c r="P764" i="12"/>
  <c r="P756" i="12"/>
  <c r="P748" i="12"/>
  <c r="P740" i="12"/>
  <c r="P732" i="12"/>
  <c r="P724" i="12"/>
  <c r="P716" i="12"/>
  <c r="P708" i="12"/>
  <c r="P700" i="12"/>
  <c r="P692" i="12"/>
  <c r="P684" i="12"/>
  <c r="P652" i="12"/>
  <c r="P620" i="12"/>
  <c r="P588" i="12"/>
  <c r="P556" i="12"/>
  <c r="P524" i="12"/>
  <c r="P492" i="12"/>
  <c r="P460" i="12"/>
  <c r="P428" i="12"/>
  <c r="P396" i="12"/>
  <c r="P364" i="12"/>
  <c r="P332" i="12"/>
  <c r="P300" i="12"/>
  <c r="P268" i="12"/>
  <c r="P236" i="12"/>
  <c r="P204" i="12"/>
  <c r="P172" i="12"/>
  <c r="P140" i="12"/>
  <c r="P108" i="12"/>
  <c r="P76" i="12"/>
  <c r="P44" i="12"/>
  <c r="P12" i="12"/>
  <c r="P978" i="12"/>
  <c r="P946" i="12"/>
  <c r="P914" i="12"/>
  <c r="P890" i="12"/>
  <c r="P858" i="12"/>
  <c r="P826" i="12"/>
  <c r="P794" i="12"/>
  <c r="P762" i="12"/>
  <c r="P738" i="12"/>
  <c r="P698" i="12"/>
  <c r="P644" i="12"/>
  <c r="P548" i="12"/>
  <c r="P452" i="12"/>
  <c r="P100" i="12"/>
  <c r="P977" i="12"/>
  <c r="P937" i="12"/>
  <c r="P905" i="12"/>
  <c r="P873" i="12"/>
  <c r="P841" i="12"/>
  <c r="P809" i="12"/>
  <c r="P793" i="12"/>
  <c r="P761" i="12"/>
  <c r="P697" i="12"/>
  <c r="P129" i="12"/>
  <c r="P1003" i="12"/>
  <c r="P995" i="12"/>
  <c r="P987" i="12"/>
  <c r="P979" i="12"/>
  <c r="P971" i="12"/>
  <c r="P963" i="12"/>
  <c r="P955" i="12"/>
  <c r="P947" i="12"/>
  <c r="P939" i="12"/>
  <c r="P931" i="12"/>
  <c r="P923" i="12"/>
  <c r="P915" i="12"/>
  <c r="P907" i="12"/>
  <c r="P899" i="12"/>
  <c r="P891" i="12"/>
  <c r="P883" i="12"/>
  <c r="P875" i="12"/>
  <c r="P867" i="12"/>
  <c r="P859" i="12"/>
  <c r="P851" i="12"/>
  <c r="P843" i="12"/>
  <c r="P835" i="12"/>
  <c r="P827" i="12"/>
  <c r="P819" i="12"/>
  <c r="P811" i="12"/>
  <c r="P803" i="12"/>
  <c r="P795" i="12"/>
  <c r="P787" i="12"/>
  <c r="P779" i="12"/>
  <c r="P771" i="12"/>
  <c r="P763" i="12"/>
  <c r="P755" i="12"/>
  <c r="P747" i="12"/>
  <c r="P739" i="12"/>
  <c r="P731" i="12"/>
  <c r="P723" i="12"/>
  <c r="P715" i="12"/>
  <c r="P707" i="12"/>
  <c r="P699" i="12"/>
  <c r="P691" i="12"/>
  <c r="P681" i="12"/>
  <c r="P649" i="12"/>
  <c r="P617" i="12"/>
  <c r="P585" i="12"/>
  <c r="P553" i="12"/>
  <c r="P521" i="12"/>
  <c r="P489" i="12"/>
  <c r="P457" i="12"/>
  <c r="P425" i="12"/>
  <c r="P393" i="12"/>
  <c r="P361" i="12"/>
  <c r="P329" i="12"/>
  <c r="P297" i="12"/>
  <c r="P265" i="12"/>
  <c r="P233" i="12"/>
  <c r="P201" i="12"/>
  <c r="P169" i="12"/>
  <c r="P137" i="12"/>
  <c r="P105" i="12"/>
  <c r="P73" i="12"/>
  <c r="P41" i="12"/>
  <c r="P9" i="12"/>
  <c r="M4" i="12"/>
  <c r="O5" i="12"/>
  <c r="O13" i="12"/>
  <c r="O21" i="12"/>
  <c r="O29" i="12"/>
  <c r="O37" i="12"/>
  <c r="O45" i="12"/>
  <c r="O53" i="12"/>
  <c r="O61" i="12"/>
  <c r="O69" i="12"/>
  <c r="O77" i="12"/>
  <c r="O85" i="12"/>
  <c r="O93" i="12"/>
  <c r="O101" i="12"/>
  <c r="O109" i="12"/>
  <c r="O117" i="12"/>
  <c r="O125" i="12"/>
  <c r="O133" i="12"/>
  <c r="O141" i="12"/>
  <c r="O149" i="12"/>
  <c r="O157" i="12"/>
  <c r="O165" i="12"/>
  <c r="O173" i="12"/>
  <c r="O181" i="12"/>
  <c r="O189" i="12"/>
  <c r="O197" i="12"/>
  <c r="O205" i="12"/>
  <c r="O213" i="12"/>
  <c r="O221" i="12"/>
  <c r="O229" i="12"/>
  <c r="O237" i="12"/>
  <c r="O245" i="12"/>
  <c r="O253" i="12"/>
  <c r="O261" i="12"/>
  <c r="O269" i="12"/>
  <c r="O277" i="12"/>
  <c r="O285" i="12"/>
  <c r="O293" i="12"/>
  <c r="O301" i="12"/>
  <c r="O309" i="12"/>
  <c r="O317" i="12"/>
  <c r="O325" i="12"/>
  <c r="O333" i="12"/>
  <c r="O341" i="12"/>
  <c r="O349" i="12"/>
  <c r="O357" i="12"/>
  <c r="O365" i="12"/>
  <c r="O373" i="12"/>
  <c r="O381" i="12"/>
  <c r="O389" i="12"/>
  <c r="O397" i="12"/>
  <c r="O405" i="12"/>
  <c r="O413" i="12"/>
  <c r="O421" i="12"/>
  <c r="O429" i="12"/>
  <c r="O437" i="12"/>
  <c r="O445" i="12"/>
  <c r="O453" i="12"/>
  <c r="O461" i="12"/>
  <c r="O469" i="12"/>
  <c r="O477" i="12"/>
  <c r="O485" i="12"/>
  <c r="O493" i="12"/>
  <c r="O501" i="12"/>
  <c r="O509" i="12"/>
  <c r="O517" i="12"/>
  <c r="O525" i="12"/>
  <c r="O533" i="12"/>
  <c r="O541" i="12"/>
  <c r="O549" i="12"/>
  <c r="O557" i="12"/>
  <c r="O565" i="12"/>
  <c r="O573" i="12"/>
  <c r="O581" i="12"/>
  <c r="O589" i="12"/>
  <c r="O597" i="12"/>
  <c r="O605" i="12"/>
  <c r="O613" i="12"/>
  <c r="O621" i="12"/>
  <c r="O629" i="12"/>
  <c r="O637" i="12"/>
  <c r="O645" i="12"/>
  <c r="O653" i="12"/>
  <c r="O661" i="12"/>
  <c r="O669" i="12"/>
  <c r="O677" i="12"/>
  <c r="O6" i="12"/>
  <c r="O14" i="12"/>
  <c r="O22" i="12"/>
  <c r="O30" i="12"/>
  <c r="O38" i="12"/>
  <c r="O46" i="12"/>
  <c r="O54" i="12"/>
  <c r="O62" i="12"/>
  <c r="O70" i="12"/>
  <c r="O78" i="12"/>
  <c r="O86" i="12"/>
  <c r="O94" i="12"/>
  <c r="O102" i="12"/>
  <c r="O110" i="12"/>
  <c r="O118" i="12"/>
  <c r="O126" i="12"/>
  <c r="O134" i="12"/>
  <c r="O142" i="12"/>
  <c r="O150" i="12"/>
  <c r="O158" i="12"/>
  <c r="O166" i="12"/>
  <c r="O174" i="12"/>
  <c r="O182" i="12"/>
  <c r="O190" i="12"/>
  <c r="O198" i="12"/>
  <c r="O206" i="12"/>
  <c r="O214" i="12"/>
  <c r="O222" i="12"/>
  <c r="O230" i="12"/>
  <c r="O238" i="12"/>
  <c r="O246" i="12"/>
  <c r="O254" i="12"/>
  <c r="O262" i="12"/>
  <c r="O270" i="12"/>
  <c r="O278" i="12"/>
  <c r="O286" i="12"/>
  <c r="O294" i="12"/>
  <c r="O302" i="12"/>
  <c r="O310" i="12"/>
  <c r="O318" i="12"/>
  <c r="O326" i="12"/>
  <c r="O334" i="12"/>
  <c r="O342" i="12"/>
  <c r="O350" i="12"/>
  <c r="O358" i="12"/>
  <c r="O366" i="12"/>
  <c r="O374" i="12"/>
  <c r="O382" i="12"/>
  <c r="O390" i="12"/>
  <c r="O398" i="12"/>
  <c r="O406" i="12"/>
  <c r="O414" i="12"/>
  <c r="O422" i="12"/>
  <c r="O430" i="12"/>
  <c r="O438" i="12"/>
  <c r="O446" i="12"/>
  <c r="O454" i="12"/>
  <c r="O462" i="12"/>
  <c r="O470" i="12"/>
  <c r="O478" i="12"/>
  <c r="O486" i="12"/>
  <c r="O494" i="12"/>
  <c r="O502" i="12"/>
  <c r="O510" i="12"/>
  <c r="O518" i="12"/>
  <c r="O526" i="12"/>
  <c r="O534" i="12"/>
  <c r="O542" i="12"/>
  <c r="O550" i="12"/>
  <c r="O558" i="12"/>
  <c r="O566" i="12"/>
  <c r="O574" i="12"/>
  <c r="O582" i="12"/>
  <c r="O590" i="12"/>
  <c r="O598" i="12"/>
  <c r="O606" i="12"/>
  <c r="O614" i="12"/>
  <c r="O622" i="12"/>
  <c r="O630" i="12"/>
  <c r="O638" i="12"/>
  <c r="O646" i="12"/>
  <c r="O654" i="12"/>
  <c r="O662" i="12"/>
  <c r="O670" i="12"/>
  <c r="O678" i="12"/>
  <c r="O7" i="12"/>
  <c r="O15" i="12"/>
  <c r="O23" i="12"/>
  <c r="O31" i="12"/>
  <c r="O39" i="12"/>
  <c r="O47" i="12"/>
  <c r="O55" i="12"/>
  <c r="O63" i="12"/>
  <c r="O71" i="12"/>
  <c r="O79" i="12"/>
  <c r="O87" i="12"/>
  <c r="O95" i="12"/>
  <c r="O103" i="12"/>
  <c r="O111" i="12"/>
  <c r="O119" i="12"/>
  <c r="O127" i="12"/>
  <c r="O135" i="12"/>
  <c r="O143" i="12"/>
  <c r="O151" i="12"/>
  <c r="O159" i="12"/>
  <c r="O167" i="12"/>
  <c r="O175" i="12"/>
  <c r="O183" i="12"/>
  <c r="O191" i="12"/>
  <c r="O199" i="12"/>
  <c r="O207" i="12"/>
  <c r="O215" i="12"/>
  <c r="O223" i="12"/>
  <c r="O231" i="12"/>
  <c r="O239" i="12"/>
  <c r="O247" i="12"/>
  <c r="O255" i="12"/>
  <c r="O263" i="12"/>
  <c r="O271" i="12"/>
  <c r="O279" i="12"/>
  <c r="O287" i="12"/>
  <c r="O295" i="12"/>
  <c r="O303" i="12"/>
  <c r="O311" i="12"/>
  <c r="O319" i="12"/>
  <c r="O327" i="12"/>
  <c r="O335" i="12"/>
  <c r="O343" i="12"/>
  <c r="O351" i="12"/>
  <c r="O359" i="12"/>
  <c r="O367" i="12"/>
  <c r="O375" i="12"/>
  <c r="O383" i="12"/>
  <c r="O391" i="12"/>
  <c r="O399" i="12"/>
  <c r="O407" i="12"/>
  <c r="O415" i="12"/>
  <c r="O423" i="12"/>
  <c r="O431" i="12"/>
  <c r="O439" i="12"/>
  <c r="O447" i="12"/>
  <c r="O455" i="12"/>
  <c r="O463" i="12"/>
  <c r="O471" i="12"/>
  <c r="O479" i="12"/>
  <c r="O487" i="12"/>
  <c r="O495" i="12"/>
  <c r="O503" i="12"/>
  <c r="O511" i="12"/>
  <c r="O519" i="12"/>
  <c r="O527" i="12"/>
  <c r="O535" i="12"/>
  <c r="O543" i="12"/>
  <c r="O551" i="12"/>
  <c r="O559" i="12"/>
  <c r="O567" i="12"/>
  <c r="O575" i="12"/>
  <c r="O583" i="12"/>
  <c r="O591" i="12"/>
  <c r="O599" i="12"/>
  <c r="O607" i="12"/>
  <c r="O615" i="12"/>
  <c r="O623" i="12"/>
  <c r="O631" i="12"/>
  <c r="O639" i="12"/>
  <c r="O647" i="12"/>
  <c r="O655" i="12"/>
  <c r="O663" i="12"/>
  <c r="O671" i="12"/>
  <c r="O679" i="12"/>
  <c r="O8" i="12"/>
  <c r="O9" i="12"/>
  <c r="O17" i="12"/>
  <c r="O25" i="12"/>
  <c r="O33" i="12"/>
  <c r="O41" i="12"/>
  <c r="O49" i="12"/>
  <c r="O57" i="12"/>
  <c r="O65" i="12"/>
  <c r="O73" i="12"/>
  <c r="O81" i="12"/>
  <c r="O89" i="12"/>
  <c r="O97" i="12"/>
  <c r="O105" i="12"/>
  <c r="O113" i="12"/>
  <c r="O121" i="12"/>
  <c r="O129" i="12"/>
  <c r="O137" i="12"/>
  <c r="O145" i="12"/>
  <c r="O153" i="12"/>
  <c r="O161" i="12"/>
  <c r="O169" i="12"/>
  <c r="O177" i="12"/>
  <c r="O185" i="12"/>
  <c r="O193" i="12"/>
  <c r="O201" i="12"/>
  <c r="O209" i="12"/>
  <c r="O217" i="12"/>
  <c r="O225" i="12"/>
  <c r="O233" i="12"/>
  <c r="O241" i="12"/>
  <c r="O249" i="12"/>
  <c r="O257" i="12"/>
  <c r="O265" i="12"/>
  <c r="O273" i="12"/>
  <c r="O281" i="12"/>
  <c r="O289" i="12"/>
  <c r="O297" i="12"/>
  <c r="O305" i="12"/>
  <c r="O313" i="12"/>
  <c r="O321" i="12"/>
  <c r="O329" i="12"/>
  <c r="O337" i="12"/>
  <c r="O345" i="12"/>
  <c r="O353" i="12"/>
  <c r="O361" i="12"/>
  <c r="O369" i="12"/>
  <c r="O377" i="12"/>
  <c r="O385" i="12"/>
  <c r="O393" i="12"/>
  <c r="O401" i="12"/>
  <c r="O409" i="12"/>
  <c r="O417" i="12"/>
  <c r="O425" i="12"/>
  <c r="O433" i="12"/>
  <c r="O441" i="12"/>
  <c r="O449" i="12"/>
  <c r="O457" i="12"/>
  <c r="O465" i="12"/>
  <c r="O473" i="12"/>
  <c r="O481" i="12"/>
  <c r="O489" i="12"/>
  <c r="O497" i="12"/>
  <c r="O505" i="12"/>
  <c r="O513" i="12"/>
  <c r="O521" i="12"/>
  <c r="O529" i="12"/>
  <c r="O537" i="12"/>
  <c r="O545" i="12"/>
  <c r="O553" i="12"/>
  <c r="O561" i="12"/>
  <c r="O569" i="12"/>
  <c r="O577" i="12"/>
  <c r="O585" i="12"/>
  <c r="O593" i="12"/>
  <c r="O601" i="12"/>
  <c r="O609" i="12"/>
  <c r="O617" i="12"/>
  <c r="O625" i="12"/>
  <c r="O633" i="12"/>
  <c r="O641" i="12"/>
  <c r="O649" i="12"/>
  <c r="O657" i="12"/>
  <c r="O665" i="12"/>
  <c r="O673" i="12"/>
  <c r="O681" i="12"/>
  <c r="O10" i="12"/>
  <c r="O18" i="12"/>
  <c r="O26" i="12"/>
  <c r="O34" i="12"/>
  <c r="O42" i="12"/>
  <c r="O50" i="12"/>
  <c r="O58" i="12"/>
  <c r="O66" i="12"/>
  <c r="O74" i="12"/>
  <c r="O82" i="12"/>
  <c r="O90" i="12"/>
  <c r="O98" i="12"/>
  <c r="O106" i="12"/>
  <c r="O114" i="12"/>
  <c r="O122" i="12"/>
  <c r="O130" i="12"/>
  <c r="O138" i="12"/>
  <c r="O146" i="12"/>
  <c r="O154" i="12"/>
  <c r="O162" i="12"/>
  <c r="O170" i="12"/>
  <c r="O178" i="12"/>
  <c r="O186" i="12"/>
  <c r="O194" i="12"/>
  <c r="O202" i="12"/>
  <c r="O210" i="12"/>
  <c r="O218" i="12"/>
  <c r="O226" i="12"/>
  <c r="O234" i="12"/>
  <c r="O242" i="12"/>
  <c r="O250" i="12"/>
  <c r="O258" i="12"/>
  <c r="O266" i="12"/>
  <c r="O274" i="12"/>
  <c r="O282" i="12"/>
  <c r="O290" i="12"/>
  <c r="O298" i="12"/>
  <c r="O306" i="12"/>
  <c r="O314" i="12"/>
  <c r="O322" i="12"/>
  <c r="O330" i="12"/>
  <c r="O338" i="12"/>
  <c r="O346" i="12"/>
  <c r="O354" i="12"/>
  <c r="O362" i="12"/>
  <c r="O370" i="12"/>
  <c r="O378" i="12"/>
  <c r="O386" i="12"/>
  <c r="O394" i="12"/>
  <c r="O402" i="12"/>
  <c r="O410" i="12"/>
  <c r="O418" i="12"/>
  <c r="O426" i="12"/>
  <c r="O434" i="12"/>
  <c r="O442" i="12"/>
  <c r="O450" i="12"/>
  <c r="O458" i="12"/>
  <c r="O466" i="12"/>
  <c r="O474" i="12"/>
  <c r="O482" i="12"/>
  <c r="O490" i="12"/>
  <c r="O498" i="12"/>
  <c r="O506" i="12"/>
  <c r="O514" i="12"/>
  <c r="O522" i="12"/>
  <c r="O530" i="12"/>
  <c r="O538" i="12"/>
  <c r="O546" i="12"/>
  <c r="O554" i="12"/>
  <c r="O562" i="12"/>
  <c r="O570" i="12"/>
  <c r="O578" i="12"/>
  <c r="O586" i="12"/>
  <c r="O594" i="12"/>
  <c r="O602" i="12"/>
  <c r="O610" i="12"/>
  <c r="O618" i="12"/>
  <c r="O626" i="12"/>
  <c r="O634" i="12"/>
  <c r="O642" i="12"/>
  <c r="O650" i="12"/>
  <c r="O658" i="12"/>
  <c r="O666" i="12"/>
  <c r="O674" i="12"/>
  <c r="O682" i="12"/>
  <c r="O997" i="12"/>
  <c r="O989" i="12"/>
  <c r="O981" i="12"/>
  <c r="O973" i="12"/>
  <c r="O965" i="12"/>
  <c r="O957" i="12"/>
  <c r="O949" i="12"/>
  <c r="O941" i="12"/>
  <c r="O933" i="12"/>
  <c r="O925" i="12"/>
  <c r="O917" i="12"/>
  <c r="O909" i="12"/>
  <c r="O901" i="12"/>
  <c r="O893" i="12"/>
  <c r="O885" i="12"/>
  <c r="O877" i="12"/>
  <c r="O869" i="12"/>
  <c r="O861" i="12"/>
  <c r="O853" i="12"/>
  <c r="O845" i="12"/>
  <c r="O837" i="12"/>
  <c r="O829" i="12"/>
  <c r="O821" i="12"/>
  <c r="O813" i="12"/>
  <c r="O805" i="12"/>
  <c r="O797" i="12"/>
  <c r="O789" i="12"/>
  <c r="O781" i="12"/>
  <c r="O773" i="12"/>
  <c r="O765" i="12"/>
  <c r="O757" i="12"/>
  <c r="O749" i="12"/>
  <c r="O741" i="12"/>
  <c r="O733" i="12"/>
  <c r="O725" i="12"/>
  <c r="O717" i="12"/>
  <c r="O709" i="12"/>
  <c r="O701" i="12"/>
  <c r="O693" i="12"/>
  <c r="O685" i="12"/>
  <c r="O667" i="12"/>
  <c r="O644" i="12"/>
  <c r="O624" i="12"/>
  <c r="O603" i="12"/>
  <c r="O580" i="12"/>
  <c r="O560" i="12"/>
  <c r="O539" i="12"/>
  <c r="O516" i="12"/>
  <c r="O496" i="12"/>
  <c r="O475" i="12"/>
  <c r="O452" i="12"/>
  <c r="O432" i="12"/>
  <c r="O411" i="12"/>
  <c r="O388" i="12"/>
  <c r="O368" i="12"/>
  <c r="O347" i="12"/>
  <c r="O324" i="12"/>
  <c r="O304" i="12"/>
  <c r="O283" i="12"/>
  <c r="O260" i="12"/>
  <c r="O240" i="12"/>
  <c r="O219" i="12"/>
  <c r="O196" i="12"/>
  <c r="O176" i="12"/>
  <c r="O155" i="12"/>
  <c r="O132" i="12"/>
  <c r="O112" i="12"/>
  <c r="O91" i="12"/>
  <c r="O68" i="12"/>
  <c r="O48" i="12"/>
  <c r="O27" i="12"/>
  <c r="O998" i="12"/>
  <c r="O966" i="12"/>
  <c r="O926" i="12"/>
  <c r="O894" i="12"/>
  <c r="O854" i="12"/>
  <c r="O830" i="12"/>
  <c r="O798" i="12"/>
  <c r="O782" i="12"/>
  <c r="O742" i="12"/>
  <c r="O702" i="12"/>
  <c r="O668" i="12"/>
  <c r="O604" i="12"/>
  <c r="O520" i="12"/>
  <c r="O476" i="12"/>
  <c r="O392" i="12"/>
  <c r="O348" i="12"/>
  <c r="O284" i="12"/>
  <c r="O28" i="12"/>
  <c r="O996" i="12"/>
  <c r="O988" i="12"/>
  <c r="O980" i="12"/>
  <c r="O972" i="12"/>
  <c r="O964" i="12"/>
  <c r="O956" i="12"/>
  <c r="O948" i="12"/>
  <c r="O940" i="12"/>
  <c r="O932" i="12"/>
  <c r="O924" i="12"/>
  <c r="O916" i="12"/>
  <c r="O908" i="12"/>
  <c r="O900" i="12"/>
  <c r="O892" i="12"/>
  <c r="O884" i="12"/>
  <c r="O876" i="12"/>
  <c r="O868" i="12"/>
  <c r="O860" i="12"/>
  <c r="O852" i="12"/>
  <c r="O844" i="12"/>
  <c r="O836" i="12"/>
  <c r="O828" i="12"/>
  <c r="O820" i="12"/>
  <c r="O812" i="12"/>
  <c r="O804" i="12"/>
  <c r="O796" i="12"/>
  <c r="O788" i="12"/>
  <c r="O780" i="12"/>
  <c r="O772" i="12"/>
  <c r="O764" i="12"/>
  <c r="O756" i="12"/>
  <c r="O748" i="12"/>
  <c r="O740" i="12"/>
  <c r="O732" i="12"/>
  <c r="O724" i="12"/>
  <c r="O716" i="12"/>
  <c r="O708" i="12"/>
  <c r="O700" i="12"/>
  <c r="O692" i="12"/>
  <c r="O684" i="12"/>
  <c r="O664" i="12"/>
  <c r="O643" i="12"/>
  <c r="O620" i="12"/>
  <c r="O600" i="12"/>
  <c r="O579" i="12"/>
  <c r="O556" i="12"/>
  <c r="O536" i="12"/>
  <c r="O515" i="12"/>
  <c r="O492" i="12"/>
  <c r="O472" i="12"/>
  <c r="O451" i="12"/>
  <c r="O428" i="12"/>
  <c r="O408" i="12"/>
  <c r="O387" i="12"/>
  <c r="O364" i="12"/>
  <c r="O344" i="12"/>
  <c r="O323" i="12"/>
  <c r="O300" i="12"/>
  <c r="O280" i="12"/>
  <c r="O259" i="12"/>
  <c r="O236" i="12"/>
  <c r="O216" i="12"/>
  <c r="O195" i="12"/>
  <c r="O172" i="12"/>
  <c r="O152" i="12"/>
  <c r="O131" i="12"/>
  <c r="O108" i="12"/>
  <c r="O88" i="12"/>
  <c r="O67" i="12"/>
  <c r="O44" i="12"/>
  <c r="O24" i="12"/>
  <c r="O982" i="12"/>
  <c r="O950" i="12"/>
  <c r="O918" i="12"/>
  <c r="O886" i="12"/>
  <c r="O870" i="12"/>
  <c r="O846" i="12"/>
  <c r="O814" i="12"/>
  <c r="O790" i="12"/>
  <c r="O766" i="12"/>
  <c r="O758" i="12"/>
  <c r="O718" i="12"/>
  <c r="O694" i="12"/>
  <c r="O648" i="12"/>
  <c r="O563" i="12"/>
  <c r="O456" i="12"/>
  <c r="O412" i="12"/>
  <c r="O307" i="12"/>
  <c r="O264" i="12"/>
  <c r="O220" i="12"/>
  <c r="O179" i="12"/>
  <c r="O136" i="12"/>
  <c r="O51" i="12"/>
  <c r="O1003" i="12"/>
  <c r="O995" i="12"/>
  <c r="O987" i="12"/>
  <c r="O979" i="12"/>
  <c r="O971" i="12"/>
  <c r="O963" i="12"/>
  <c r="O955" i="12"/>
  <c r="O947" i="12"/>
  <c r="O939" i="12"/>
  <c r="O931" i="12"/>
  <c r="O923" i="12"/>
  <c r="O915" i="12"/>
  <c r="O907" i="12"/>
  <c r="O899" i="12"/>
  <c r="O891" i="12"/>
  <c r="O883" i="12"/>
  <c r="O875" i="12"/>
  <c r="O867" i="12"/>
  <c r="O859" i="12"/>
  <c r="O851" i="12"/>
  <c r="O843" i="12"/>
  <c r="O835" i="12"/>
  <c r="O827" i="12"/>
  <c r="O819" i="12"/>
  <c r="O811" i="12"/>
  <c r="O803" i="12"/>
  <c r="O795" i="12"/>
  <c r="O787" i="12"/>
  <c r="O779" i="12"/>
  <c r="O771" i="12"/>
  <c r="O763" i="12"/>
  <c r="O755" i="12"/>
  <c r="O747" i="12"/>
  <c r="O739" i="12"/>
  <c r="O731" i="12"/>
  <c r="O723" i="12"/>
  <c r="O715" i="12"/>
  <c r="O707" i="12"/>
  <c r="O699" i="12"/>
  <c r="O691" i="12"/>
  <c r="O683" i="12"/>
  <c r="O660" i="12"/>
  <c r="O640" i="12"/>
  <c r="O619" i="12"/>
  <c r="O596" i="12"/>
  <c r="O576" i="12"/>
  <c r="O555" i="12"/>
  <c r="O532" i="12"/>
  <c r="O512" i="12"/>
  <c r="O491" i="12"/>
  <c r="O468" i="12"/>
  <c r="O448" i="12"/>
  <c r="O427" i="12"/>
  <c r="O404" i="12"/>
  <c r="O384" i="12"/>
  <c r="O363" i="12"/>
  <c r="O340" i="12"/>
  <c r="O320" i="12"/>
  <c r="O299" i="12"/>
  <c r="O276" i="12"/>
  <c r="O256" i="12"/>
  <c r="O235" i="12"/>
  <c r="O212" i="12"/>
  <c r="O192" i="12"/>
  <c r="O171" i="12"/>
  <c r="O148" i="12"/>
  <c r="O128" i="12"/>
  <c r="O107" i="12"/>
  <c r="O84" i="12"/>
  <c r="O64" i="12"/>
  <c r="O43" i="12"/>
  <c r="O20" i="12"/>
  <c r="O1002" i="12"/>
  <c r="O994" i="12"/>
  <c r="O986" i="12"/>
  <c r="O978" i="12"/>
  <c r="O970" i="12"/>
  <c r="O962" i="12"/>
  <c r="O954" i="12"/>
  <c r="O946" i="12"/>
  <c r="O938" i="12"/>
  <c r="O930" i="12"/>
  <c r="O922" i="12"/>
  <c r="O914" i="12"/>
  <c r="O906" i="12"/>
  <c r="O898" i="12"/>
  <c r="O890" i="12"/>
  <c r="O882" i="12"/>
  <c r="O874" i="12"/>
  <c r="O866" i="12"/>
  <c r="O858" i="12"/>
  <c r="O850" i="12"/>
  <c r="O842" i="12"/>
  <c r="O834" i="12"/>
  <c r="O826" i="12"/>
  <c r="O818" i="12"/>
  <c r="O810" i="12"/>
  <c r="O802" i="12"/>
  <c r="O794" i="12"/>
  <c r="O786" i="12"/>
  <c r="O778" i="12"/>
  <c r="O770" i="12"/>
  <c r="O762" i="12"/>
  <c r="O754" i="12"/>
  <c r="O746" i="12"/>
  <c r="O738" i="12"/>
  <c r="O730" i="12"/>
  <c r="O722" i="12"/>
  <c r="O714" i="12"/>
  <c r="O706" i="12"/>
  <c r="O698" i="12"/>
  <c r="O690" i="12"/>
  <c r="O680" i="12"/>
  <c r="O659" i="12"/>
  <c r="O636" i="12"/>
  <c r="O616" i="12"/>
  <c r="O595" i="12"/>
  <c r="O572" i="12"/>
  <c r="O552" i="12"/>
  <c r="O531" i="12"/>
  <c r="O508" i="12"/>
  <c r="O488" i="12"/>
  <c r="O467" i="12"/>
  <c r="O444" i="12"/>
  <c r="O424" i="12"/>
  <c r="O403" i="12"/>
  <c r="O380" i="12"/>
  <c r="O360" i="12"/>
  <c r="O339" i="12"/>
  <c r="O316" i="12"/>
  <c r="O296" i="12"/>
  <c r="O275" i="12"/>
  <c r="O252" i="12"/>
  <c r="O232" i="12"/>
  <c r="O211" i="12"/>
  <c r="O188" i="12"/>
  <c r="O168" i="12"/>
  <c r="O147" i="12"/>
  <c r="O124" i="12"/>
  <c r="O104" i="12"/>
  <c r="O83" i="12"/>
  <c r="O60" i="12"/>
  <c r="O40" i="12"/>
  <c r="O19" i="12"/>
  <c r="O974" i="12"/>
  <c r="O942" i="12"/>
  <c r="O902" i="12"/>
  <c r="O862" i="12"/>
  <c r="O822" i="12"/>
  <c r="O734" i="12"/>
  <c r="O92" i="12"/>
  <c r="O1001" i="12"/>
  <c r="O993" i="12"/>
  <c r="O985" i="12"/>
  <c r="O977" i="12"/>
  <c r="O969" i="12"/>
  <c r="O961" i="12"/>
  <c r="O953" i="12"/>
  <c r="O945" i="12"/>
  <c r="O937" i="12"/>
  <c r="O929" i="12"/>
  <c r="O921" i="12"/>
  <c r="O913" i="12"/>
  <c r="O905" i="12"/>
  <c r="O897" i="12"/>
  <c r="O889" i="12"/>
  <c r="O881" i="12"/>
  <c r="O873" i="12"/>
  <c r="O865" i="12"/>
  <c r="O857" i="12"/>
  <c r="O849" i="12"/>
  <c r="O841" i="12"/>
  <c r="O833" i="12"/>
  <c r="O825" i="12"/>
  <c r="O817" i="12"/>
  <c r="O809" i="12"/>
  <c r="O801" i="12"/>
  <c r="O793" i="12"/>
  <c r="O785" i="12"/>
  <c r="O777" i="12"/>
  <c r="O769" i="12"/>
  <c r="O761" i="12"/>
  <c r="O753" i="12"/>
  <c r="O745" i="12"/>
  <c r="O737" i="12"/>
  <c r="O729" i="12"/>
  <c r="O721" i="12"/>
  <c r="O713" i="12"/>
  <c r="O705" i="12"/>
  <c r="O697" i="12"/>
  <c r="O689" i="12"/>
  <c r="O676" i="12"/>
  <c r="O656" i="12"/>
  <c r="O635" i="12"/>
  <c r="O612" i="12"/>
  <c r="O592" i="12"/>
  <c r="O571" i="12"/>
  <c r="O548" i="12"/>
  <c r="O528" i="12"/>
  <c r="O507" i="12"/>
  <c r="O484" i="12"/>
  <c r="O464" i="12"/>
  <c r="O443" i="12"/>
  <c r="O420" i="12"/>
  <c r="O400" i="12"/>
  <c r="O379" i="12"/>
  <c r="O356" i="12"/>
  <c r="O336" i="12"/>
  <c r="O315" i="12"/>
  <c r="O292" i="12"/>
  <c r="O272" i="12"/>
  <c r="O251" i="12"/>
  <c r="O228" i="12"/>
  <c r="O208" i="12"/>
  <c r="O187" i="12"/>
  <c r="O164" i="12"/>
  <c r="O144" i="12"/>
  <c r="O123" i="12"/>
  <c r="O100" i="12"/>
  <c r="O80" i="12"/>
  <c r="O59" i="12"/>
  <c r="O36" i="12"/>
  <c r="O16" i="12"/>
  <c r="O1000" i="12"/>
  <c r="O992" i="12"/>
  <c r="O984" i="12"/>
  <c r="O976" i="12"/>
  <c r="O968" i="12"/>
  <c r="O960" i="12"/>
  <c r="O952" i="12"/>
  <c r="O944" i="12"/>
  <c r="O936" i="12"/>
  <c r="O928" i="12"/>
  <c r="O920" i="12"/>
  <c r="O912" i="12"/>
  <c r="O904" i="12"/>
  <c r="O896" i="12"/>
  <c r="O888" i="12"/>
  <c r="O880" i="12"/>
  <c r="O872" i="12"/>
  <c r="O864" i="12"/>
  <c r="O856" i="12"/>
  <c r="O848" i="12"/>
  <c r="O840" i="12"/>
  <c r="O832" i="12"/>
  <c r="O824" i="12"/>
  <c r="O816" i="12"/>
  <c r="O808" i="12"/>
  <c r="O800" i="12"/>
  <c r="O792" i="12"/>
  <c r="O784" i="12"/>
  <c r="O776" i="12"/>
  <c r="O768" i="12"/>
  <c r="O760" i="12"/>
  <c r="O752" i="12"/>
  <c r="O744" i="12"/>
  <c r="O736" i="12"/>
  <c r="O728" i="12"/>
  <c r="O720" i="12"/>
  <c r="O712" i="12"/>
  <c r="O704" i="12"/>
  <c r="O696" i="12"/>
  <c r="O688" i="12"/>
  <c r="O675" i="12"/>
  <c r="O652" i="12"/>
  <c r="O632" i="12"/>
  <c r="O611" i="12"/>
  <c r="O588" i="12"/>
  <c r="O568" i="12"/>
  <c r="O547" i="12"/>
  <c r="O524" i="12"/>
  <c r="O504" i="12"/>
  <c r="O483" i="12"/>
  <c r="O460" i="12"/>
  <c r="O440" i="12"/>
  <c r="O419" i="12"/>
  <c r="O396" i="12"/>
  <c r="O376" i="12"/>
  <c r="O355" i="12"/>
  <c r="O332" i="12"/>
  <c r="O312" i="12"/>
  <c r="O291" i="12"/>
  <c r="O268" i="12"/>
  <c r="O248" i="12"/>
  <c r="O227" i="12"/>
  <c r="O204" i="12"/>
  <c r="O184" i="12"/>
  <c r="O163" i="12"/>
  <c r="O140" i="12"/>
  <c r="O120" i="12"/>
  <c r="O99" i="12"/>
  <c r="O76" i="12"/>
  <c r="O56" i="12"/>
  <c r="O35" i="12"/>
  <c r="O12" i="12"/>
  <c r="O990" i="12"/>
  <c r="O958" i="12"/>
  <c r="O934" i="12"/>
  <c r="O910" i="12"/>
  <c r="O878" i="12"/>
  <c r="O838" i="12"/>
  <c r="O806" i="12"/>
  <c r="O774" i="12"/>
  <c r="O750" i="12"/>
  <c r="O726" i="12"/>
  <c r="O710" i="12"/>
  <c r="O686" i="12"/>
  <c r="O627" i="12"/>
  <c r="O584" i="12"/>
  <c r="O540" i="12"/>
  <c r="O499" i="12"/>
  <c r="O435" i="12"/>
  <c r="O371" i="12"/>
  <c r="O328" i="12"/>
  <c r="O243" i="12"/>
  <c r="O200" i="12"/>
  <c r="O156" i="12"/>
  <c r="O115" i="12"/>
  <c r="O72" i="12"/>
  <c r="O999" i="12"/>
  <c r="O991" i="12"/>
  <c r="O983" i="12"/>
  <c r="O975" i="12"/>
  <c r="O967" i="12"/>
  <c r="O959" i="12"/>
  <c r="O951" i="12"/>
  <c r="O943" i="12"/>
  <c r="O935" i="12"/>
  <c r="O927" i="12"/>
  <c r="O919" i="12"/>
  <c r="O911" i="12"/>
  <c r="O903" i="12"/>
  <c r="O895" i="12"/>
  <c r="O887" i="12"/>
  <c r="O879" i="12"/>
  <c r="O871" i="12"/>
  <c r="O863" i="12"/>
  <c r="O855" i="12"/>
  <c r="O847" i="12"/>
  <c r="O839" i="12"/>
  <c r="O831" i="12"/>
  <c r="O823" i="12"/>
  <c r="O815" i="12"/>
  <c r="O807" i="12"/>
  <c r="O799" i="12"/>
  <c r="O791" i="12"/>
  <c r="O783" i="12"/>
  <c r="O775" i="12"/>
  <c r="O767" i="12"/>
  <c r="O759" i="12"/>
  <c r="O751" i="12"/>
  <c r="O743" i="12"/>
  <c r="O735" i="12"/>
  <c r="O727" i="12"/>
  <c r="O719" i="12"/>
  <c r="O711" i="12"/>
  <c r="O703" i="12"/>
  <c r="O695" i="12"/>
  <c r="O687" i="12"/>
  <c r="O672" i="12"/>
  <c r="O651" i="12"/>
  <c r="O628" i="12"/>
  <c r="O608" i="12"/>
  <c r="O587" i="12"/>
  <c r="O564" i="12"/>
  <c r="O544" i="12"/>
  <c r="O523" i="12"/>
  <c r="O500" i="12"/>
  <c r="O480" i="12"/>
  <c r="O459" i="12"/>
  <c r="O436" i="12"/>
  <c r="O416" i="12"/>
  <c r="O395" i="12"/>
  <c r="O372" i="12"/>
  <c r="O352" i="12"/>
  <c r="O331" i="12"/>
  <c r="O308" i="12"/>
  <c r="O288" i="12"/>
  <c r="O267" i="12"/>
  <c r="O244" i="12"/>
  <c r="O224" i="12"/>
  <c r="O203" i="12"/>
  <c r="O180" i="12"/>
  <c r="O160" i="12"/>
  <c r="O139" i="12"/>
  <c r="O116" i="12"/>
  <c r="O96" i="12"/>
  <c r="O75" i="12"/>
  <c r="O52" i="12"/>
  <c r="O32" i="12"/>
  <c r="O11" i="12"/>
  <c r="D24" i="16"/>
  <c r="P974" i="9"/>
  <c r="P636" i="9"/>
  <c r="P966" i="9"/>
  <c r="P902" i="9"/>
  <c r="P838" i="9"/>
  <c r="P774" i="9"/>
  <c r="P710" i="9"/>
  <c r="P622" i="9"/>
  <c r="P910" i="9"/>
  <c r="P846" i="9"/>
  <c r="P782" i="9"/>
  <c r="P718" i="9"/>
  <c r="P958" i="9"/>
  <c r="P894" i="9"/>
  <c r="P830" i="9"/>
  <c r="P766" i="9"/>
  <c r="P702" i="9"/>
  <c r="P610" i="9"/>
  <c r="P950" i="9"/>
  <c r="P886" i="9"/>
  <c r="P822" i="9"/>
  <c r="P758" i="9"/>
  <c r="P694" i="9"/>
  <c r="P597" i="9"/>
  <c r="P942" i="9"/>
  <c r="P878" i="9"/>
  <c r="P814" i="9"/>
  <c r="P750" i="9"/>
  <c r="P686" i="9"/>
  <c r="P584" i="9"/>
  <c r="P998" i="9"/>
  <c r="P934" i="9"/>
  <c r="P870" i="9"/>
  <c r="P806" i="9"/>
  <c r="P742" i="9"/>
  <c r="P674" i="9"/>
  <c r="P572" i="9"/>
  <c r="P990" i="9"/>
  <c r="P926" i="9"/>
  <c r="P862" i="9"/>
  <c r="P798" i="9"/>
  <c r="P734" i="9"/>
  <c r="P661" i="9"/>
  <c r="P110" i="9"/>
  <c r="P982" i="9"/>
  <c r="P918" i="9"/>
  <c r="P854" i="9"/>
  <c r="P790" i="9"/>
  <c r="P726" i="9"/>
  <c r="O52" i="9"/>
  <c r="P5" i="9"/>
  <c r="P13" i="9"/>
  <c r="P21" i="9"/>
  <c r="P29" i="9"/>
  <c r="P37" i="9"/>
  <c r="P45" i="9"/>
  <c r="P53" i="9"/>
  <c r="P61" i="9"/>
  <c r="P69" i="9"/>
  <c r="P77" i="9"/>
  <c r="P85" i="9"/>
  <c r="P93" i="9"/>
  <c r="P101" i="9"/>
  <c r="P109" i="9"/>
  <c r="P117" i="9"/>
  <c r="P125" i="9"/>
  <c r="P133" i="9"/>
  <c r="P141" i="9"/>
  <c r="P149" i="9"/>
  <c r="P157" i="9"/>
  <c r="P165" i="9"/>
  <c r="P173" i="9"/>
  <c r="P181" i="9"/>
  <c r="P189" i="9"/>
  <c r="P197" i="9"/>
  <c r="P205" i="9"/>
  <c r="P213" i="9"/>
  <c r="P221" i="9"/>
  <c r="P229" i="9"/>
  <c r="P237" i="9"/>
  <c r="P245" i="9"/>
  <c r="P253" i="9"/>
  <c r="P261" i="9"/>
  <c r="P269" i="9"/>
  <c r="P277" i="9"/>
  <c r="P285" i="9"/>
  <c r="P293" i="9"/>
  <c r="P301" i="9"/>
  <c r="P309" i="9"/>
  <c r="P317" i="9"/>
  <c r="P325" i="9"/>
  <c r="P333" i="9"/>
  <c r="P341" i="9"/>
  <c r="P349" i="9"/>
  <c r="P357" i="9"/>
  <c r="P365" i="9"/>
  <c r="P373" i="9"/>
  <c r="P381" i="9"/>
  <c r="P389" i="9"/>
  <c r="P397" i="9"/>
  <c r="P405" i="9"/>
  <c r="P413" i="9"/>
  <c r="P421" i="9"/>
  <c r="P429" i="9"/>
  <c r="P437" i="9"/>
  <c r="P445" i="9"/>
  <c r="P453" i="9"/>
  <c r="P461" i="9"/>
  <c r="P469" i="9"/>
  <c r="P477" i="9"/>
  <c r="P485" i="9"/>
  <c r="P493" i="9"/>
  <c r="P501" i="9"/>
  <c r="P509" i="9"/>
  <c r="P517" i="9"/>
  <c r="P525" i="9"/>
  <c r="P533" i="9"/>
  <c r="P541" i="9"/>
  <c r="P6" i="9"/>
  <c r="P14" i="9"/>
  <c r="P22" i="9"/>
  <c r="P30" i="9"/>
  <c r="P7" i="9"/>
  <c r="P15" i="9"/>
  <c r="P23" i="9"/>
  <c r="P31" i="9"/>
  <c r="P39" i="9"/>
  <c r="P47" i="9"/>
  <c r="P55" i="9"/>
  <c r="P63" i="9"/>
  <c r="P71" i="9"/>
  <c r="P79" i="9"/>
  <c r="P87" i="9"/>
  <c r="P95" i="9"/>
  <c r="P103" i="9"/>
  <c r="P111" i="9"/>
  <c r="P119" i="9"/>
  <c r="P127" i="9"/>
  <c r="P135" i="9"/>
  <c r="P143" i="9"/>
  <c r="P151" i="9"/>
  <c r="P159" i="9"/>
  <c r="P167" i="9"/>
  <c r="P175" i="9"/>
  <c r="P183" i="9"/>
  <c r="P191" i="9"/>
  <c r="P199" i="9"/>
  <c r="P207" i="9"/>
  <c r="P215" i="9"/>
  <c r="P223" i="9"/>
  <c r="P231" i="9"/>
  <c r="P239" i="9"/>
  <c r="P247" i="9"/>
  <c r="P255" i="9"/>
  <c r="P263" i="9"/>
  <c r="P271" i="9"/>
  <c r="P279" i="9"/>
  <c r="P287" i="9"/>
  <c r="P295" i="9"/>
  <c r="P303" i="9"/>
  <c r="P311" i="9"/>
  <c r="P319" i="9"/>
  <c r="P327" i="9"/>
  <c r="P335" i="9"/>
  <c r="P343" i="9"/>
  <c r="P351" i="9"/>
  <c r="P359" i="9"/>
  <c r="P367" i="9"/>
  <c r="P375" i="9"/>
  <c r="P383" i="9"/>
  <c r="P391" i="9"/>
  <c r="P399" i="9"/>
  <c r="P407" i="9"/>
  <c r="P415" i="9"/>
  <c r="P423" i="9"/>
  <c r="P431" i="9"/>
  <c r="P439" i="9"/>
  <c r="P447" i="9"/>
  <c r="P455" i="9"/>
  <c r="P463" i="9"/>
  <c r="P471" i="9"/>
  <c r="P479" i="9"/>
  <c r="P487" i="9"/>
  <c r="P495" i="9"/>
  <c r="P503" i="9"/>
  <c r="P511" i="9"/>
  <c r="P519" i="9"/>
  <c r="P527" i="9"/>
  <c r="P535" i="9"/>
  <c r="P543" i="9"/>
  <c r="P551" i="9"/>
  <c r="P559" i="9"/>
  <c r="P567" i="9"/>
  <c r="P575" i="9"/>
  <c r="P583" i="9"/>
  <c r="P591" i="9"/>
  <c r="P599" i="9"/>
  <c r="P607" i="9"/>
  <c r="P615" i="9"/>
  <c r="P623" i="9"/>
  <c r="P631" i="9"/>
  <c r="P639" i="9"/>
  <c r="P647" i="9"/>
  <c r="P655" i="9"/>
  <c r="P663" i="9"/>
  <c r="P671" i="9"/>
  <c r="P679" i="9"/>
  <c r="P8" i="9"/>
  <c r="P16" i="9"/>
  <c r="P24" i="9"/>
  <c r="P32" i="9"/>
  <c r="P40" i="9"/>
  <c r="P48" i="9"/>
  <c r="P56" i="9"/>
  <c r="P64" i="9"/>
  <c r="P72" i="9"/>
  <c r="P80" i="9"/>
  <c r="P88" i="9"/>
  <c r="P96" i="9"/>
  <c r="P104" i="9"/>
  <c r="P112" i="9"/>
  <c r="P120" i="9"/>
  <c r="P128" i="9"/>
  <c r="P136" i="9"/>
  <c r="P144" i="9"/>
  <c r="P152" i="9"/>
  <c r="P160" i="9"/>
  <c r="P168" i="9"/>
  <c r="P176" i="9"/>
  <c r="P184" i="9"/>
  <c r="P192" i="9"/>
  <c r="P200" i="9"/>
  <c r="P208" i="9"/>
  <c r="P216" i="9"/>
  <c r="P224" i="9"/>
  <c r="P232" i="9"/>
  <c r="P240" i="9"/>
  <c r="P248" i="9"/>
  <c r="P256" i="9"/>
  <c r="P264" i="9"/>
  <c r="P272" i="9"/>
  <c r="P280" i="9"/>
  <c r="P288" i="9"/>
  <c r="P296" i="9"/>
  <c r="P304" i="9"/>
  <c r="P312" i="9"/>
  <c r="P320" i="9"/>
  <c r="P328" i="9"/>
  <c r="P336" i="9"/>
  <c r="P344" i="9"/>
  <c r="P352" i="9"/>
  <c r="P360" i="9"/>
  <c r="P368" i="9"/>
  <c r="P376" i="9"/>
  <c r="P384" i="9"/>
  <c r="P392" i="9"/>
  <c r="P400" i="9"/>
  <c r="P408" i="9"/>
  <c r="P416" i="9"/>
  <c r="P424" i="9"/>
  <c r="P432" i="9"/>
  <c r="P440" i="9"/>
  <c r="P448" i="9"/>
  <c r="P456" i="9"/>
  <c r="P464" i="9"/>
  <c r="P472" i="9"/>
  <c r="P480" i="9"/>
  <c r="P488" i="9"/>
  <c r="P496" i="9"/>
  <c r="P504" i="9"/>
  <c r="P512" i="9"/>
  <c r="P520" i="9"/>
  <c r="P528" i="9"/>
  <c r="P536" i="9"/>
  <c r="P544" i="9"/>
  <c r="P552" i="9"/>
  <c r="P560" i="9"/>
  <c r="P568" i="9"/>
  <c r="P9" i="9"/>
  <c r="P17" i="9"/>
  <c r="P25" i="9"/>
  <c r="P33" i="9"/>
  <c r="P41" i="9"/>
  <c r="P49" i="9"/>
  <c r="P57" i="9"/>
  <c r="P65" i="9"/>
  <c r="P73" i="9"/>
  <c r="P81" i="9"/>
  <c r="P89" i="9"/>
  <c r="P97" i="9"/>
  <c r="P105" i="9"/>
  <c r="P113" i="9"/>
  <c r="P121" i="9"/>
  <c r="P129" i="9"/>
  <c r="P137" i="9"/>
  <c r="P145" i="9"/>
  <c r="P153" i="9"/>
  <c r="P161" i="9"/>
  <c r="P169" i="9"/>
  <c r="P177" i="9"/>
  <c r="P185" i="9"/>
  <c r="P193" i="9"/>
  <c r="P201" i="9"/>
  <c r="P209" i="9"/>
  <c r="P217" i="9"/>
  <c r="P225" i="9"/>
  <c r="P233" i="9"/>
  <c r="P241" i="9"/>
  <c r="P249" i="9"/>
  <c r="P257" i="9"/>
  <c r="P265" i="9"/>
  <c r="P273" i="9"/>
  <c r="P281" i="9"/>
  <c r="P289" i="9"/>
  <c r="P297" i="9"/>
  <c r="P305" i="9"/>
  <c r="P313" i="9"/>
  <c r="P321" i="9"/>
  <c r="P329" i="9"/>
  <c r="P337" i="9"/>
  <c r="P345" i="9"/>
  <c r="P353" i="9"/>
  <c r="P361" i="9"/>
  <c r="P369" i="9"/>
  <c r="P377" i="9"/>
  <c r="P385" i="9"/>
  <c r="P393" i="9"/>
  <c r="P401" i="9"/>
  <c r="P409" i="9"/>
  <c r="P417" i="9"/>
  <c r="P425" i="9"/>
  <c r="P433" i="9"/>
  <c r="P441" i="9"/>
  <c r="P449" i="9"/>
  <c r="P457" i="9"/>
  <c r="P465" i="9"/>
  <c r="P473" i="9"/>
  <c r="P481" i="9"/>
  <c r="P489" i="9"/>
  <c r="P497" i="9"/>
  <c r="P505" i="9"/>
  <c r="P513" i="9"/>
  <c r="P521" i="9"/>
  <c r="P529" i="9"/>
  <c r="P537" i="9"/>
  <c r="P545" i="9"/>
  <c r="P553" i="9"/>
  <c r="P561" i="9"/>
  <c r="P569" i="9"/>
  <c r="P577" i="9"/>
  <c r="P585" i="9"/>
  <c r="P593" i="9"/>
  <c r="P601" i="9"/>
  <c r="P609" i="9"/>
  <c r="P617" i="9"/>
  <c r="P625" i="9"/>
  <c r="P633" i="9"/>
  <c r="P641" i="9"/>
  <c r="P649" i="9"/>
  <c r="P657" i="9"/>
  <c r="P665" i="9"/>
  <c r="P673" i="9"/>
  <c r="P681" i="9"/>
  <c r="P10" i="9"/>
  <c r="P18" i="9"/>
  <c r="P26" i="9"/>
  <c r="P34" i="9"/>
  <c r="P11" i="9"/>
  <c r="P19" i="9"/>
  <c r="P27" i="9"/>
  <c r="P35" i="9"/>
  <c r="P43" i="9"/>
  <c r="P51" i="9"/>
  <c r="P59" i="9"/>
  <c r="P67" i="9"/>
  <c r="P75" i="9"/>
  <c r="P83" i="9"/>
  <c r="P91" i="9"/>
  <c r="P99" i="9"/>
  <c r="P107" i="9"/>
  <c r="P115" i="9"/>
  <c r="P123" i="9"/>
  <c r="P131" i="9"/>
  <c r="P139" i="9"/>
  <c r="P147" i="9"/>
  <c r="P155" i="9"/>
  <c r="P163" i="9"/>
  <c r="P171" i="9"/>
  <c r="P179" i="9"/>
  <c r="P187" i="9"/>
  <c r="P195" i="9"/>
  <c r="P203" i="9"/>
  <c r="P211" i="9"/>
  <c r="P219" i="9"/>
  <c r="P227" i="9"/>
  <c r="P235" i="9"/>
  <c r="P243" i="9"/>
  <c r="P251" i="9"/>
  <c r="P259" i="9"/>
  <c r="P267" i="9"/>
  <c r="P275" i="9"/>
  <c r="P283" i="9"/>
  <c r="P291" i="9"/>
  <c r="P299" i="9"/>
  <c r="P307" i="9"/>
  <c r="P315" i="9"/>
  <c r="P323" i="9"/>
  <c r="P331" i="9"/>
  <c r="P339" i="9"/>
  <c r="P347" i="9"/>
  <c r="P355" i="9"/>
  <c r="P363" i="9"/>
  <c r="P371" i="9"/>
  <c r="P379" i="9"/>
  <c r="P387" i="9"/>
  <c r="P395" i="9"/>
  <c r="P403" i="9"/>
  <c r="P411" i="9"/>
  <c r="P419" i="9"/>
  <c r="P427" i="9"/>
  <c r="P435" i="9"/>
  <c r="P443" i="9"/>
  <c r="P451" i="9"/>
  <c r="P459" i="9"/>
  <c r="P467" i="9"/>
  <c r="P475" i="9"/>
  <c r="P483" i="9"/>
  <c r="P491" i="9"/>
  <c r="P499" i="9"/>
  <c r="P507" i="9"/>
  <c r="P515" i="9"/>
  <c r="P523" i="9"/>
  <c r="P531" i="9"/>
  <c r="P539" i="9"/>
  <c r="P547" i="9"/>
  <c r="P555" i="9"/>
  <c r="P563" i="9"/>
  <c r="P571" i="9"/>
  <c r="P579" i="9"/>
  <c r="P587" i="9"/>
  <c r="P595" i="9"/>
  <c r="P603" i="9"/>
  <c r="P611" i="9"/>
  <c r="P619" i="9"/>
  <c r="P627" i="9"/>
  <c r="P635" i="9"/>
  <c r="P643" i="9"/>
  <c r="P651" i="9"/>
  <c r="P659" i="9"/>
  <c r="P667" i="9"/>
  <c r="P675" i="9"/>
  <c r="P683" i="9"/>
  <c r="P997" i="9"/>
  <c r="P989" i="9"/>
  <c r="P981" i="9"/>
  <c r="P973" i="9"/>
  <c r="P965" i="9"/>
  <c r="P957" i="9"/>
  <c r="P949" i="9"/>
  <c r="P941" i="9"/>
  <c r="P933" i="9"/>
  <c r="P925" i="9"/>
  <c r="P917" i="9"/>
  <c r="P909" i="9"/>
  <c r="P901" i="9"/>
  <c r="P893" i="9"/>
  <c r="P885" i="9"/>
  <c r="P877" i="9"/>
  <c r="P869" i="9"/>
  <c r="P861" i="9"/>
  <c r="P853" i="9"/>
  <c r="P845" i="9"/>
  <c r="P837" i="9"/>
  <c r="P829" i="9"/>
  <c r="P821" i="9"/>
  <c r="P813" i="9"/>
  <c r="P805" i="9"/>
  <c r="P797" i="9"/>
  <c r="P789" i="9"/>
  <c r="P781" i="9"/>
  <c r="P773" i="9"/>
  <c r="P765" i="9"/>
  <c r="P757" i="9"/>
  <c r="P749" i="9"/>
  <c r="P741" i="9"/>
  <c r="P733" i="9"/>
  <c r="P725" i="9"/>
  <c r="P717" i="9"/>
  <c r="P709" i="9"/>
  <c r="P701" i="9"/>
  <c r="P693" i="9"/>
  <c r="P685" i="9"/>
  <c r="P672" i="9"/>
  <c r="P660" i="9"/>
  <c r="P646" i="9"/>
  <c r="P634" i="9"/>
  <c r="P621" i="9"/>
  <c r="P608" i="9"/>
  <c r="P596" i="9"/>
  <c r="P582" i="9"/>
  <c r="P570" i="9"/>
  <c r="P554" i="9"/>
  <c r="P534" i="9"/>
  <c r="P514" i="9"/>
  <c r="P492" i="9"/>
  <c r="P470" i="9"/>
  <c r="P450" i="9"/>
  <c r="P428" i="9"/>
  <c r="P406" i="9"/>
  <c r="P386" i="9"/>
  <c r="P364" i="9"/>
  <c r="P342" i="9"/>
  <c r="P322" i="9"/>
  <c r="P300" i="9"/>
  <c r="P278" i="9"/>
  <c r="P258" i="9"/>
  <c r="P236" i="9"/>
  <c r="P214" i="9"/>
  <c r="P194" i="9"/>
  <c r="P172" i="9"/>
  <c r="P150" i="9"/>
  <c r="P130" i="9"/>
  <c r="P108" i="9"/>
  <c r="P86" i="9"/>
  <c r="P66" i="9"/>
  <c r="P44" i="9"/>
  <c r="P556" i="9"/>
  <c r="P516" i="9"/>
  <c r="P452" i="9"/>
  <c r="P410" i="9"/>
  <c r="P366" i="9"/>
  <c r="P324" i="9"/>
  <c r="P282" i="9"/>
  <c r="P238" i="9"/>
  <c r="P196" i="9"/>
  <c r="P154" i="9"/>
  <c r="P68" i="9"/>
  <c r="P996" i="9"/>
  <c r="P988" i="9"/>
  <c r="P980" i="9"/>
  <c r="P972" i="9"/>
  <c r="P964" i="9"/>
  <c r="P956" i="9"/>
  <c r="P948" i="9"/>
  <c r="P940" i="9"/>
  <c r="P932" i="9"/>
  <c r="P924" i="9"/>
  <c r="P916" i="9"/>
  <c r="P908" i="9"/>
  <c r="P900" i="9"/>
  <c r="P892" i="9"/>
  <c r="P884" i="9"/>
  <c r="P876" i="9"/>
  <c r="P868" i="9"/>
  <c r="P860" i="9"/>
  <c r="P852" i="9"/>
  <c r="P844" i="9"/>
  <c r="P836" i="9"/>
  <c r="P828" i="9"/>
  <c r="P820" i="9"/>
  <c r="P812" i="9"/>
  <c r="P804" i="9"/>
  <c r="P796" i="9"/>
  <c r="P788" i="9"/>
  <c r="P780" i="9"/>
  <c r="P772" i="9"/>
  <c r="P764" i="9"/>
  <c r="P756" i="9"/>
  <c r="P748" i="9"/>
  <c r="P740" i="9"/>
  <c r="P732" i="9"/>
  <c r="P724" i="9"/>
  <c r="P716" i="9"/>
  <c r="P708" i="9"/>
  <c r="P700" i="9"/>
  <c r="P692" i="9"/>
  <c r="P684" i="9"/>
  <c r="P670" i="9"/>
  <c r="P658" i="9"/>
  <c r="P645" i="9"/>
  <c r="P632" i="9"/>
  <c r="P620" i="9"/>
  <c r="P606" i="9"/>
  <c r="P594" i="9"/>
  <c r="P581" i="9"/>
  <c r="P566" i="9"/>
  <c r="P550" i="9"/>
  <c r="P532" i="9"/>
  <c r="P510" i="9"/>
  <c r="P490" i="9"/>
  <c r="P468" i="9"/>
  <c r="P446" i="9"/>
  <c r="P426" i="9"/>
  <c r="P404" i="9"/>
  <c r="P382" i="9"/>
  <c r="P362" i="9"/>
  <c r="P340" i="9"/>
  <c r="P318" i="9"/>
  <c r="P298" i="9"/>
  <c r="P276" i="9"/>
  <c r="P254" i="9"/>
  <c r="P234" i="9"/>
  <c r="P212" i="9"/>
  <c r="P190" i="9"/>
  <c r="P170" i="9"/>
  <c r="P148" i="9"/>
  <c r="P126" i="9"/>
  <c r="P106" i="9"/>
  <c r="P84" i="9"/>
  <c r="P62" i="9"/>
  <c r="P42" i="9"/>
  <c r="P1003" i="9"/>
  <c r="P995" i="9"/>
  <c r="P987" i="9"/>
  <c r="P979" i="9"/>
  <c r="P971" i="9"/>
  <c r="P963" i="9"/>
  <c r="P955" i="9"/>
  <c r="P947" i="9"/>
  <c r="P939" i="9"/>
  <c r="P931" i="9"/>
  <c r="P923" i="9"/>
  <c r="P915" i="9"/>
  <c r="P907" i="9"/>
  <c r="P899" i="9"/>
  <c r="P891" i="9"/>
  <c r="P883" i="9"/>
  <c r="P875" i="9"/>
  <c r="P867" i="9"/>
  <c r="P859" i="9"/>
  <c r="P851" i="9"/>
  <c r="P843" i="9"/>
  <c r="P835" i="9"/>
  <c r="P827" i="9"/>
  <c r="P819" i="9"/>
  <c r="P811" i="9"/>
  <c r="P803" i="9"/>
  <c r="P795" i="9"/>
  <c r="P787" i="9"/>
  <c r="P779" i="9"/>
  <c r="P771" i="9"/>
  <c r="P763" i="9"/>
  <c r="P755" i="9"/>
  <c r="P747" i="9"/>
  <c r="P739" i="9"/>
  <c r="P731" i="9"/>
  <c r="P723" i="9"/>
  <c r="P715" i="9"/>
  <c r="P707" i="9"/>
  <c r="P699" i="9"/>
  <c r="P691" i="9"/>
  <c r="P682" i="9"/>
  <c r="P669" i="9"/>
  <c r="P656" i="9"/>
  <c r="P644" i="9"/>
  <c r="P630" i="9"/>
  <c r="P618" i="9"/>
  <c r="P605" i="9"/>
  <c r="P592" i="9"/>
  <c r="P580" i="9"/>
  <c r="P565" i="9"/>
  <c r="P549" i="9"/>
  <c r="P530" i="9"/>
  <c r="P508" i="9"/>
  <c r="P486" i="9"/>
  <c r="P466" i="9"/>
  <c r="P444" i="9"/>
  <c r="P422" i="9"/>
  <c r="P402" i="9"/>
  <c r="P380" i="9"/>
  <c r="P358" i="9"/>
  <c r="P338" i="9"/>
  <c r="P316" i="9"/>
  <c r="P294" i="9"/>
  <c r="P274" i="9"/>
  <c r="P252" i="9"/>
  <c r="P230" i="9"/>
  <c r="P210" i="9"/>
  <c r="P188" i="9"/>
  <c r="P166" i="9"/>
  <c r="P146" i="9"/>
  <c r="P124" i="9"/>
  <c r="P102" i="9"/>
  <c r="P82" i="9"/>
  <c r="P60" i="9"/>
  <c r="P38" i="9"/>
  <c r="P494" i="9"/>
  <c r="P90" i="9"/>
  <c r="P1002" i="9"/>
  <c r="P994" i="9"/>
  <c r="P986" i="9"/>
  <c r="P978" i="9"/>
  <c r="P970" i="9"/>
  <c r="P962" i="9"/>
  <c r="P954" i="9"/>
  <c r="P946" i="9"/>
  <c r="P938" i="9"/>
  <c r="P930" i="9"/>
  <c r="P922" i="9"/>
  <c r="P914" i="9"/>
  <c r="P906" i="9"/>
  <c r="P898" i="9"/>
  <c r="P890" i="9"/>
  <c r="P882" i="9"/>
  <c r="P874" i="9"/>
  <c r="P866" i="9"/>
  <c r="P858" i="9"/>
  <c r="P850" i="9"/>
  <c r="P842" i="9"/>
  <c r="P834" i="9"/>
  <c r="P826" i="9"/>
  <c r="P818" i="9"/>
  <c r="P810" i="9"/>
  <c r="P802" i="9"/>
  <c r="P794" i="9"/>
  <c r="P786" i="9"/>
  <c r="P778" i="9"/>
  <c r="P770" i="9"/>
  <c r="P762" i="9"/>
  <c r="P754" i="9"/>
  <c r="P746" i="9"/>
  <c r="P738" i="9"/>
  <c r="P730" i="9"/>
  <c r="P722" i="9"/>
  <c r="P714" i="9"/>
  <c r="P706" i="9"/>
  <c r="P698" i="9"/>
  <c r="P690" i="9"/>
  <c r="P680" i="9"/>
  <c r="P668" i="9"/>
  <c r="P654" i="9"/>
  <c r="P642" i="9"/>
  <c r="P629" i="9"/>
  <c r="P616" i="9"/>
  <c r="P604" i="9"/>
  <c r="P590" i="9"/>
  <c r="P578" i="9"/>
  <c r="P564" i="9"/>
  <c r="P548" i="9"/>
  <c r="P526" i="9"/>
  <c r="P506" i="9"/>
  <c r="P484" i="9"/>
  <c r="P462" i="9"/>
  <c r="P442" i="9"/>
  <c r="P420" i="9"/>
  <c r="P398" i="9"/>
  <c r="P378" i="9"/>
  <c r="P356" i="9"/>
  <c r="P334" i="9"/>
  <c r="P314" i="9"/>
  <c r="P292" i="9"/>
  <c r="P270" i="9"/>
  <c r="P250" i="9"/>
  <c r="P228" i="9"/>
  <c r="P206" i="9"/>
  <c r="P186" i="9"/>
  <c r="P164" i="9"/>
  <c r="P142" i="9"/>
  <c r="P122" i="9"/>
  <c r="P100" i="9"/>
  <c r="P78" i="9"/>
  <c r="P58" i="9"/>
  <c r="P36" i="9"/>
  <c r="P1001" i="9"/>
  <c r="P993" i="9"/>
  <c r="P985" i="9"/>
  <c r="P977" i="9"/>
  <c r="P969" i="9"/>
  <c r="P961" i="9"/>
  <c r="P953" i="9"/>
  <c r="P945" i="9"/>
  <c r="P937" i="9"/>
  <c r="P929" i="9"/>
  <c r="P921" i="9"/>
  <c r="P913" i="9"/>
  <c r="P905" i="9"/>
  <c r="P897" i="9"/>
  <c r="P889" i="9"/>
  <c r="P881" i="9"/>
  <c r="P873" i="9"/>
  <c r="P865" i="9"/>
  <c r="P857" i="9"/>
  <c r="P849" i="9"/>
  <c r="P841" i="9"/>
  <c r="P833" i="9"/>
  <c r="P825" i="9"/>
  <c r="P817" i="9"/>
  <c r="P809" i="9"/>
  <c r="P801" i="9"/>
  <c r="P793" i="9"/>
  <c r="P785" i="9"/>
  <c r="P777" i="9"/>
  <c r="P769" i="9"/>
  <c r="P761" i="9"/>
  <c r="P753" i="9"/>
  <c r="P745" i="9"/>
  <c r="P737" i="9"/>
  <c r="P729" i="9"/>
  <c r="P721" i="9"/>
  <c r="P713" i="9"/>
  <c r="P705" i="9"/>
  <c r="P697" i="9"/>
  <c r="P689" i="9"/>
  <c r="P678" i="9"/>
  <c r="P666" i="9"/>
  <c r="P653" i="9"/>
  <c r="P640" i="9"/>
  <c r="P628" i="9"/>
  <c r="P614" i="9"/>
  <c r="P602" i="9"/>
  <c r="P589" i="9"/>
  <c r="P576" i="9"/>
  <c r="P562" i="9"/>
  <c r="P546" i="9"/>
  <c r="P524" i="9"/>
  <c r="P502" i="9"/>
  <c r="P482" i="9"/>
  <c r="P460" i="9"/>
  <c r="P438" i="9"/>
  <c r="P418" i="9"/>
  <c r="P396" i="9"/>
  <c r="P374" i="9"/>
  <c r="P354" i="9"/>
  <c r="P332" i="9"/>
  <c r="P310" i="9"/>
  <c r="P290" i="9"/>
  <c r="P268" i="9"/>
  <c r="P246" i="9"/>
  <c r="P226" i="9"/>
  <c r="P204" i="9"/>
  <c r="P182" i="9"/>
  <c r="P162" i="9"/>
  <c r="P140" i="9"/>
  <c r="P118" i="9"/>
  <c r="P98" i="9"/>
  <c r="P76" i="9"/>
  <c r="P54" i="9"/>
  <c r="P28" i="9"/>
  <c r="P538" i="9"/>
  <c r="P474" i="9"/>
  <c r="P430" i="9"/>
  <c r="P388" i="9"/>
  <c r="P346" i="9"/>
  <c r="P302" i="9"/>
  <c r="P260" i="9"/>
  <c r="P218" i="9"/>
  <c r="P174" i="9"/>
  <c r="P46" i="9"/>
  <c r="P1000" i="9"/>
  <c r="P992" i="9"/>
  <c r="P984" i="9"/>
  <c r="P976" i="9"/>
  <c r="P968" i="9"/>
  <c r="P960" i="9"/>
  <c r="P952" i="9"/>
  <c r="P944" i="9"/>
  <c r="P936" i="9"/>
  <c r="P928" i="9"/>
  <c r="P920" i="9"/>
  <c r="P912" i="9"/>
  <c r="P904" i="9"/>
  <c r="P896" i="9"/>
  <c r="P888" i="9"/>
  <c r="P880" i="9"/>
  <c r="P872" i="9"/>
  <c r="P864" i="9"/>
  <c r="P856" i="9"/>
  <c r="P848" i="9"/>
  <c r="P840" i="9"/>
  <c r="P832" i="9"/>
  <c r="P824" i="9"/>
  <c r="P816" i="9"/>
  <c r="P808" i="9"/>
  <c r="P800" i="9"/>
  <c r="P792" i="9"/>
  <c r="P784" i="9"/>
  <c r="P776" i="9"/>
  <c r="P768" i="9"/>
  <c r="P760" i="9"/>
  <c r="P752" i="9"/>
  <c r="P744" i="9"/>
  <c r="P736" i="9"/>
  <c r="P728" i="9"/>
  <c r="P720" i="9"/>
  <c r="P712" i="9"/>
  <c r="P704" i="9"/>
  <c r="P696" i="9"/>
  <c r="P688" i="9"/>
  <c r="P677" i="9"/>
  <c r="P664" i="9"/>
  <c r="P652" i="9"/>
  <c r="P638" i="9"/>
  <c r="P626" i="9"/>
  <c r="P613" i="9"/>
  <c r="P600" i="9"/>
  <c r="P588" i="9"/>
  <c r="P574" i="9"/>
  <c r="P558" i="9"/>
  <c r="P542" i="9"/>
  <c r="P522" i="9"/>
  <c r="P500" i="9"/>
  <c r="P478" i="9"/>
  <c r="P458" i="9"/>
  <c r="P436" i="9"/>
  <c r="P414" i="9"/>
  <c r="P394" i="9"/>
  <c r="P372" i="9"/>
  <c r="P350" i="9"/>
  <c r="P330" i="9"/>
  <c r="P308" i="9"/>
  <c r="P286" i="9"/>
  <c r="P266" i="9"/>
  <c r="P244" i="9"/>
  <c r="P222" i="9"/>
  <c r="P202" i="9"/>
  <c r="P180" i="9"/>
  <c r="P158" i="9"/>
  <c r="P138" i="9"/>
  <c r="P116" i="9"/>
  <c r="P94" i="9"/>
  <c r="P74" i="9"/>
  <c r="P52" i="9"/>
  <c r="P20" i="9"/>
  <c r="P132" i="9"/>
  <c r="P999" i="9"/>
  <c r="P991" i="9"/>
  <c r="P983" i="9"/>
  <c r="P975" i="9"/>
  <c r="P967" i="9"/>
  <c r="P959" i="9"/>
  <c r="P951" i="9"/>
  <c r="P943" i="9"/>
  <c r="P935" i="9"/>
  <c r="P927" i="9"/>
  <c r="P919" i="9"/>
  <c r="P911" i="9"/>
  <c r="P903" i="9"/>
  <c r="P895" i="9"/>
  <c r="P887" i="9"/>
  <c r="P879" i="9"/>
  <c r="P871" i="9"/>
  <c r="P863" i="9"/>
  <c r="P855" i="9"/>
  <c r="P847" i="9"/>
  <c r="P839" i="9"/>
  <c r="P831" i="9"/>
  <c r="P823" i="9"/>
  <c r="P815" i="9"/>
  <c r="P807" i="9"/>
  <c r="P799" i="9"/>
  <c r="P791" i="9"/>
  <c r="P783" i="9"/>
  <c r="P775" i="9"/>
  <c r="P767" i="9"/>
  <c r="P759" i="9"/>
  <c r="P751" i="9"/>
  <c r="P743" i="9"/>
  <c r="P735" i="9"/>
  <c r="P727" i="9"/>
  <c r="P719" i="9"/>
  <c r="P711" i="9"/>
  <c r="P703" i="9"/>
  <c r="P695" i="9"/>
  <c r="P687" i="9"/>
  <c r="P676" i="9"/>
  <c r="P662" i="9"/>
  <c r="P650" i="9"/>
  <c r="P637" i="9"/>
  <c r="P624" i="9"/>
  <c r="P612" i="9"/>
  <c r="P598" i="9"/>
  <c r="P586" i="9"/>
  <c r="P573" i="9"/>
  <c r="P557" i="9"/>
  <c r="P540" i="9"/>
  <c r="P518" i="9"/>
  <c r="P498" i="9"/>
  <c r="P476" i="9"/>
  <c r="P454" i="9"/>
  <c r="P434" i="9"/>
  <c r="P412" i="9"/>
  <c r="P390" i="9"/>
  <c r="P370" i="9"/>
  <c r="P348" i="9"/>
  <c r="P326" i="9"/>
  <c r="P306" i="9"/>
  <c r="P284" i="9"/>
  <c r="P262" i="9"/>
  <c r="P242" i="9"/>
  <c r="P220" i="9"/>
  <c r="P198" i="9"/>
  <c r="P178" i="9"/>
  <c r="P156" i="9"/>
  <c r="P134" i="9"/>
  <c r="P114" i="9"/>
  <c r="P92" i="9"/>
  <c r="P70" i="9"/>
  <c r="P50" i="9"/>
  <c r="P12" i="9"/>
  <c r="O973" i="9"/>
  <c r="O949" i="9"/>
  <c r="O941" i="9"/>
  <c r="O933" i="9"/>
  <c r="O925" i="9"/>
  <c r="O917" i="9"/>
  <c r="O893" i="9"/>
  <c r="O885" i="9"/>
  <c r="O877" i="9"/>
  <c r="O869" i="9"/>
  <c r="O861" i="9"/>
  <c r="O853" i="9"/>
  <c r="O845" i="9"/>
  <c r="O837" i="9"/>
  <c r="O829" i="9"/>
  <c r="O821" i="9"/>
  <c r="O813" i="9"/>
  <c r="O805" i="9"/>
  <c r="O797" i="9"/>
  <c r="O789" i="9"/>
  <c r="O781" i="9"/>
  <c r="O773" i="9"/>
  <c r="O765" i="9"/>
  <c r="O757" i="9"/>
  <c r="O749" i="9"/>
  <c r="O741" i="9"/>
  <c r="O733" i="9"/>
  <c r="O725" i="9"/>
  <c r="O717" i="9"/>
  <c r="O709" i="9"/>
  <c r="O701" i="9"/>
  <c r="O693" i="9"/>
  <c r="O685" i="9"/>
  <c r="O665" i="9"/>
  <c r="O644" i="9"/>
  <c r="O621" i="9"/>
  <c r="O601" i="9"/>
  <c r="O580" i="9"/>
  <c r="O557" i="9"/>
  <c r="O537" i="9"/>
  <c r="O516" i="9"/>
  <c r="O493" i="9"/>
  <c r="O473" i="9"/>
  <c r="O452" i="9"/>
  <c r="O429" i="9"/>
  <c r="O409" i="9"/>
  <c r="O388" i="9"/>
  <c r="O365" i="9"/>
  <c r="O345" i="9"/>
  <c r="O301" i="9"/>
  <c r="O68" i="9"/>
  <c r="O996" i="9"/>
  <c r="O988" i="9"/>
  <c r="O980" i="9"/>
  <c r="O972" i="9"/>
  <c r="O964" i="9"/>
  <c r="O956" i="9"/>
  <c r="O948" i="9"/>
  <c r="O940" i="9"/>
  <c r="O932" i="9"/>
  <c r="O924" i="9"/>
  <c r="O916" i="9"/>
  <c r="O908" i="9"/>
  <c r="O900" i="9"/>
  <c r="O892" i="9"/>
  <c r="O884" i="9"/>
  <c r="O876" i="9"/>
  <c r="O868" i="9"/>
  <c r="O860" i="9"/>
  <c r="O852" i="9"/>
  <c r="O844" i="9"/>
  <c r="O836" i="9"/>
  <c r="O828" i="9"/>
  <c r="O820" i="9"/>
  <c r="O812" i="9"/>
  <c r="O804" i="9"/>
  <c r="O796" i="9"/>
  <c r="O788" i="9"/>
  <c r="O780" i="9"/>
  <c r="O772" i="9"/>
  <c r="O764" i="9"/>
  <c r="O756" i="9"/>
  <c r="O748" i="9"/>
  <c r="O740" i="9"/>
  <c r="O732" i="9"/>
  <c r="O724" i="9"/>
  <c r="O716" i="9"/>
  <c r="O708" i="9"/>
  <c r="O700" i="9"/>
  <c r="O692" i="9"/>
  <c r="O684" i="9"/>
  <c r="O661" i="9"/>
  <c r="O641" i="9"/>
  <c r="O620" i="9"/>
  <c r="O597" i="9"/>
  <c r="O577" i="9"/>
  <c r="O556" i="9"/>
  <c r="O533" i="9"/>
  <c r="O513" i="9"/>
  <c r="O492" i="9"/>
  <c r="O469" i="9"/>
  <c r="O449" i="9"/>
  <c r="O428" i="9"/>
  <c r="O405" i="9"/>
  <c r="O385" i="9"/>
  <c r="O364" i="9"/>
  <c r="O341" i="9"/>
  <c r="O321" i="9"/>
  <c r="O300" i="9"/>
  <c r="O277" i="9"/>
  <c r="O252" i="9"/>
  <c r="O188" i="9"/>
  <c r="O124" i="9"/>
  <c r="O60" i="9"/>
  <c r="O1003" i="9"/>
  <c r="O995" i="9"/>
  <c r="O987" i="9"/>
  <c r="O979" i="9"/>
  <c r="O971" i="9"/>
  <c r="O963" i="9"/>
  <c r="O955" i="9"/>
  <c r="O947" i="9"/>
  <c r="O939" i="9"/>
  <c r="O931" i="9"/>
  <c r="O923" i="9"/>
  <c r="O915" i="9"/>
  <c r="O907" i="9"/>
  <c r="O899" i="9"/>
  <c r="O891" i="9"/>
  <c r="O883" i="9"/>
  <c r="O875" i="9"/>
  <c r="O867" i="9"/>
  <c r="O859" i="9"/>
  <c r="O851" i="9"/>
  <c r="O843" i="9"/>
  <c r="O835" i="9"/>
  <c r="O827" i="9"/>
  <c r="O819" i="9"/>
  <c r="O811" i="9"/>
  <c r="O803" i="9"/>
  <c r="O795" i="9"/>
  <c r="O787" i="9"/>
  <c r="O779" i="9"/>
  <c r="O771" i="9"/>
  <c r="O763" i="9"/>
  <c r="O755" i="9"/>
  <c r="O747" i="9"/>
  <c r="O739" i="9"/>
  <c r="O731" i="9"/>
  <c r="O723" i="9"/>
  <c r="O715" i="9"/>
  <c r="O707" i="9"/>
  <c r="O699" i="9"/>
  <c r="O691" i="9"/>
  <c r="O681" i="9"/>
  <c r="O660" i="9"/>
  <c r="O637" i="9"/>
  <c r="O617" i="9"/>
  <c r="O596" i="9"/>
  <c r="O573" i="9"/>
  <c r="O553" i="9"/>
  <c r="O532" i="9"/>
  <c r="O509" i="9"/>
  <c r="O489" i="9"/>
  <c r="O468" i="9"/>
  <c r="O445" i="9"/>
  <c r="O425" i="9"/>
  <c r="O404" i="9"/>
  <c r="O381" i="9"/>
  <c r="O361" i="9"/>
  <c r="O340" i="9"/>
  <c r="O317" i="9"/>
  <c r="O297" i="9"/>
  <c r="O276" i="9"/>
  <c r="O244" i="9"/>
  <c r="O180" i="9"/>
  <c r="O116" i="9"/>
  <c r="M4" i="9"/>
  <c r="O5" i="9"/>
  <c r="O13" i="9"/>
  <c r="O21" i="9"/>
  <c r="O29" i="9"/>
  <c r="O37" i="9"/>
  <c r="O45" i="9"/>
  <c r="O53" i="9"/>
  <c r="O61" i="9"/>
  <c r="O69" i="9"/>
  <c r="O77" i="9"/>
  <c r="O85" i="9"/>
  <c r="O93" i="9"/>
  <c r="O101" i="9"/>
  <c r="O109" i="9"/>
  <c r="O117" i="9"/>
  <c r="O125" i="9"/>
  <c r="O133" i="9"/>
  <c r="O141" i="9"/>
  <c r="O149" i="9"/>
  <c r="O157" i="9"/>
  <c r="O165" i="9"/>
  <c r="O173" i="9"/>
  <c r="O181" i="9"/>
  <c r="O189" i="9"/>
  <c r="O197" i="9"/>
  <c r="O205" i="9"/>
  <c r="O213" i="9"/>
  <c r="O221" i="9"/>
  <c r="O229" i="9"/>
  <c r="O237" i="9"/>
  <c r="O245" i="9"/>
  <c r="O253" i="9"/>
  <c r="O6" i="9"/>
  <c r="O14" i="9"/>
  <c r="O22" i="9"/>
  <c r="O30" i="9"/>
  <c r="O38" i="9"/>
  <c r="O46" i="9"/>
  <c r="O54" i="9"/>
  <c r="O62" i="9"/>
  <c r="O70" i="9"/>
  <c r="O78" i="9"/>
  <c r="O86" i="9"/>
  <c r="O94" i="9"/>
  <c r="O102" i="9"/>
  <c r="O110" i="9"/>
  <c r="O118" i="9"/>
  <c r="O126" i="9"/>
  <c r="O134" i="9"/>
  <c r="O142" i="9"/>
  <c r="O150" i="9"/>
  <c r="O158" i="9"/>
  <c r="O166" i="9"/>
  <c r="O174" i="9"/>
  <c r="O182" i="9"/>
  <c r="O190" i="9"/>
  <c r="O198" i="9"/>
  <c r="O206" i="9"/>
  <c r="O214" i="9"/>
  <c r="O222" i="9"/>
  <c r="O230" i="9"/>
  <c r="O238" i="9"/>
  <c r="O246" i="9"/>
  <c r="O254" i="9"/>
  <c r="O262" i="9"/>
  <c r="O270" i="9"/>
  <c r="O278" i="9"/>
  <c r="O286" i="9"/>
  <c r="O294" i="9"/>
  <c r="O302" i="9"/>
  <c r="O310" i="9"/>
  <c r="O318" i="9"/>
  <c r="O326" i="9"/>
  <c r="O334" i="9"/>
  <c r="O342" i="9"/>
  <c r="O350" i="9"/>
  <c r="O358" i="9"/>
  <c r="O366" i="9"/>
  <c r="O374" i="9"/>
  <c r="O382" i="9"/>
  <c r="O390" i="9"/>
  <c r="O398" i="9"/>
  <c r="O406" i="9"/>
  <c r="O414" i="9"/>
  <c r="O422" i="9"/>
  <c r="O430" i="9"/>
  <c r="O438" i="9"/>
  <c r="O446" i="9"/>
  <c r="O454" i="9"/>
  <c r="O462" i="9"/>
  <c r="O470" i="9"/>
  <c r="O478" i="9"/>
  <c r="O486" i="9"/>
  <c r="O494" i="9"/>
  <c r="O502" i="9"/>
  <c r="O510" i="9"/>
  <c r="O518" i="9"/>
  <c r="O526" i="9"/>
  <c r="O534" i="9"/>
  <c r="O542" i="9"/>
  <c r="O550" i="9"/>
  <c r="O558" i="9"/>
  <c r="O566" i="9"/>
  <c r="O574" i="9"/>
  <c r="O582" i="9"/>
  <c r="O590" i="9"/>
  <c r="O598" i="9"/>
  <c r="O606" i="9"/>
  <c r="O614" i="9"/>
  <c r="O622" i="9"/>
  <c r="O630" i="9"/>
  <c r="O638" i="9"/>
  <c r="O646" i="9"/>
  <c r="O654" i="9"/>
  <c r="O662" i="9"/>
  <c r="O670" i="9"/>
  <c r="O678" i="9"/>
  <c r="O7" i="9"/>
  <c r="O15" i="9"/>
  <c r="O23" i="9"/>
  <c r="O31" i="9"/>
  <c r="O39" i="9"/>
  <c r="O47" i="9"/>
  <c r="O55" i="9"/>
  <c r="O63" i="9"/>
  <c r="O71" i="9"/>
  <c r="O79" i="9"/>
  <c r="O87" i="9"/>
  <c r="O95" i="9"/>
  <c r="O103" i="9"/>
  <c r="O111" i="9"/>
  <c r="O119" i="9"/>
  <c r="O127" i="9"/>
  <c r="O135" i="9"/>
  <c r="O143" i="9"/>
  <c r="O151" i="9"/>
  <c r="O159" i="9"/>
  <c r="O167" i="9"/>
  <c r="O175" i="9"/>
  <c r="O183" i="9"/>
  <c r="O191" i="9"/>
  <c r="O199" i="9"/>
  <c r="O207" i="9"/>
  <c r="O215" i="9"/>
  <c r="O223" i="9"/>
  <c r="O231" i="9"/>
  <c r="O239" i="9"/>
  <c r="O247" i="9"/>
  <c r="O255" i="9"/>
  <c r="O263" i="9"/>
  <c r="O271" i="9"/>
  <c r="O279" i="9"/>
  <c r="O287" i="9"/>
  <c r="O295" i="9"/>
  <c r="O303" i="9"/>
  <c r="O311" i="9"/>
  <c r="O319" i="9"/>
  <c r="O327" i="9"/>
  <c r="O335" i="9"/>
  <c r="O343" i="9"/>
  <c r="O351" i="9"/>
  <c r="O359" i="9"/>
  <c r="O367" i="9"/>
  <c r="O375" i="9"/>
  <c r="O383" i="9"/>
  <c r="O391" i="9"/>
  <c r="O399" i="9"/>
  <c r="O407" i="9"/>
  <c r="O415" i="9"/>
  <c r="O423" i="9"/>
  <c r="O431" i="9"/>
  <c r="O439" i="9"/>
  <c r="O447" i="9"/>
  <c r="O455" i="9"/>
  <c r="O463" i="9"/>
  <c r="O471" i="9"/>
  <c r="O479" i="9"/>
  <c r="O487" i="9"/>
  <c r="O495" i="9"/>
  <c r="O503" i="9"/>
  <c r="O511" i="9"/>
  <c r="O519" i="9"/>
  <c r="O527" i="9"/>
  <c r="O535" i="9"/>
  <c r="O543" i="9"/>
  <c r="O551" i="9"/>
  <c r="O559" i="9"/>
  <c r="O567" i="9"/>
  <c r="O575" i="9"/>
  <c r="O583" i="9"/>
  <c r="O591" i="9"/>
  <c r="O599" i="9"/>
  <c r="O607" i="9"/>
  <c r="O615" i="9"/>
  <c r="O623" i="9"/>
  <c r="O631" i="9"/>
  <c r="O639" i="9"/>
  <c r="O647" i="9"/>
  <c r="O655" i="9"/>
  <c r="O663" i="9"/>
  <c r="O671" i="9"/>
  <c r="O679" i="9"/>
  <c r="O8" i="9"/>
  <c r="O16" i="9"/>
  <c r="O24" i="9"/>
  <c r="O32" i="9"/>
  <c r="O40" i="9"/>
  <c r="O48" i="9"/>
  <c r="O56" i="9"/>
  <c r="O64" i="9"/>
  <c r="O72" i="9"/>
  <c r="O80" i="9"/>
  <c r="O88" i="9"/>
  <c r="O96" i="9"/>
  <c r="O104" i="9"/>
  <c r="O112" i="9"/>
  <c r="O120" i="9"/>
  <c r="O128" i="9"/>
  <c r="O136" i="9"/>
  <c r="O144" i="9"/>
  <c r="O152" i="9"/>
  <c r="O160" i="9"/>
  <c r="O168" i="9"/>
  <c r="O176" i="9"/>
  <c r="O184" i="9"/>
  <c r="O192" i="9"/>
  <c r="O200" i="9"/>
  <c r="O208" i="9"/>
  <c r="O216" i="9"/>
  <c r="O224" i="9"/>
  <c r="O232" i="9"/>
  <c r="O240" i="9"/>
  <c r="O248" i="9"/>
  <c r="O256" i="9"/>
  <c r="O264" i="9"/>
  <c r="O272" i="9"/>
  <c r="O280" i="9"/>
  <c r="O288" i="9"/>
  <c r="O296" i="9"/>
  <c r="O304" i="9"/>
  <c r="O312" i="9"/>
  <c r="O320" i="9"/>
  <c r="O328" i="9"/>
  <c r="O336" i="9"/>
  <c r="O344" i="9"/>
  <c r="O352" i="9"/>
  <c r="O360" i="9"/>
  <c r="O368" i="9"/>
  <c r="O376" i="9"/>
  <c r="O384" i="9"/>
  <c r="O392" i="9"/>
  <c r="O400" i="9"/>
  <c r="O408" i="9"/>
  <c r="O416" i="9"/>
  <c r="O424" i="9"/>
  <c r="O432" i="9"/>
  <c r="O440" i="9"/>
  <c r="O448" i="9"/>
  <c r="O456" i="9"/>
  <c r="O464" i="9"/>
  <c r="O472" i="9"/>
  <c r="O480" i="9"/>
  <c r="O488" i="9"/>
  <c r="O496" i="9"/>
  <c r="O504" i="9"/>
  <c r="O512" i="9"/>
  <c r="O520" i="9"/>
  <c r="O528" i="9"/>
  <c r="O536" i="9"/>
  <c r="O544" i="9"/>
  <c r="O552" i="9"/>
  <c r="O560" i="9"/>
  <c r="O568" i="9"/>
  <c r="O576" i="9"/>
  <c r="O584" i="9"/>
  <c r="O592" i="9"/>
  <c r="O600" i="9"/>
  <c r="O608" i="9"/>
  <c r="O616" i="9"/>
  <c r="O624" i="9"/>
  <c r="O632" i="9"/>
  <c r="O640" i="9"/>
  <c r="O648" i="9"/>
  <c r="O656" i="9"/>
  <c r="O664" i="9"/>
  <c r="O672" i="9"/>
  <c r="O680" i="9"/>
  <c r="O9" i="9"/>
  <c r="O17" i="9"/>
  <c r="O25" i="9"/>
  <c r="O33" i="9"/>
  <c r="O41" i="9"/>
  <c r="O49" i="9"/>
  <c r="O57" i="9"/>
  <c r="O65" i="9"/>
  <c r="O73" i="9"/>
  <c r="O81" i="9"/>
  <c r="O89" i="9"/>
  <c r="O97" i="9"/>
  <c r="O105" i="9"/>
  <c r="O113" i="9"/>
  <c r="O121" i="9"/>
  <c r="O129" i="9"/>
  <c r="O137" i="9"/>
  <c r="O145" i="9"/>
  <c r="O153" i="9"/>
  <c r="O161" i="9"/>
  <c r="O169" i="9"/>
  <c r="O177" i="9"/>
  <c r="O185" i="9"/>
  <c r="O193" i="9"/>
  <c r="O201" i="9"/>
  <c r="O209" i="9"/>
  <c r="O217" i="9"/>
  <c r="O225" i="9"/>
  <c r="O233" i="9"/>
  <c r="O241" i="9"/>
  <c r="O249" i="9"/>
  <c r="O257" i="9"/>
  <c r="O10" i="9"/>
  <c r="O18" i="9"/>
  <c r="O26" i="9"/>
  <c r="O34" i="9"/>
  <c r="O42" i="9"/>
  <c r="O50" i="9"/>
  <c r="O58" i="9"/>
  <c r="O66" i="9"/>
  <c r="O74" i="9"/>
  <c r="O82" i="9"/>
  <c r="O90" i="9"/>
  <c r="O98" i="9"/>
  <c r="O106" i="9"/>
  <c r="O114" i="9"/>
  <c r="O122" i="9"/>
  <c r="O130" i="9"/>
  <c r="O138" i="9"/>
  <c r="O146" i="9"/>
  <c r="O154" i="9"/>
  <c r="O162" i="9"/>
  <c r="O170" i="9"/>
  <c r="O178" i="9"/>
  <c r="O186" i="9"/>
  <c r="O194" i="9"/>
  <c r="O202" i="9"/>
  <c r="O210" i="9"/>
  <c r="O218" i="9"/>
  <c r="O226" i="9"/>
  <c r="O234" i="9"/>
  <c r="O242" i="9"/>
  <c r="O250" i="9"/>
  <c r="O258" i="9"/>
  <c r="O266" i="9"/>
  <c r="O274" i="9"/>
  <c r="O282" i="9"/>
  <c r="O290" i="9"/>
  <c r="O298" i="9"/>
  <c r="O306" i="9"/>
  <c r="O314" i="9"/>
  <c r="O322" i="9"/>
  <c r="O330" i="9"/>
  <c r="O338" i="9"/>
  <c r="O346" i="9"/>
  <c r="O354" i="9"/>
  <c r="O362" i="9"/>
  <c r="O370" i="9"/>
  <c r="O378" i="9"/>
  <c r="O386" i="9"/>
  <c r="O394" i="9"/>
  <c r="O402" i="9"/>
  <c r="O410" i="9"/>
  <c r="O418" i="9"/>
  <c r="O426" i="9"/>
  <c r="O434" i="9"/>
  <c r="O442" i="9"/>
  <c r="O450" i="9"/>
  <c r="O458" i="9"/>
  <c r="O466" i="9"/>
  <c r="O474" i="9"/>
  <c r="O482" i="9"/>
  <c r="O490" i="9"/>
  <c r="O498" i="9"/>
  <c r="O506" i="9"/>
  <c r="O514" i="9"/>
  <c r="O522" i="9"/>
  <c r="O530" i="9"/>
  <c r="O538" i="9"/>
  <c r="O546" i="9"/>
  <c r="O554" i="9"/>
  <c r="O562" i="9"/>
  <c r="O570" i="9"/>
  <c r="O578" i="9"/>
  <c r="O586" i="9"/>
  <c r="O594" i="9"/>
  <c r="O602" i="9"/>
  <c r="O610" i="9"/>
  <c r="O618" i="9"/>
  <c r="O626" i="9"/>
  <c r="O634" i="9"/>
  <c r="O642" i="9"/>
  <c r="O650" i="9"/>
  <c r="O658" i="9"/>
  <c r="O666" i="9"/>
  <c r="O674" i="9"/>
  <c r="O682" i="9"/>
  <c r="O11" i="9"/>
  <c r="O19" i="9"/>
  <c r="O27" i="9"/>
  <c r="O35" i="9"/>
  <c r="O43" i="9"/>
  <c r="O51" i="9"/>
  <c r="O59" i="9"/>
  <c r="O67" i="9"/>
  <c r="O75" i="9"/>
  <c r="O83" i="9"/>
  <c r="O91" i="9"/>
  <c r="O99" i="9"/>
  <c r="O107" i="9"/>
  <c r="O115" i="9"/>
  <c r="O123" i="9"/>
  <c r="O131" i="9"/>
  <c r="O139" i="9"/>
  <c r="O147" i="9"/>
  <c r="O155" i="9"/>
  <c r="O163" i="9"/>
  <c r="O171" i="9"/>
  <c r="O179" i="9"/>
  <c r="O187" i="9"/>
  <c r="O195" i="9"/>
  <c r="O203" i="9"/>
  <c r="O211" i="9"/>
  <c r="O219" i="9"/>
  <c r="O227" i="9"/>
  <c r="O235" i="9"/>
  <c r="O243" i="9"/>
  <c r="O251" i="9"/>
  <c r="O259" i="9"/>
  <c r="O267" i="9"/>
  <c r="O275" i="9"/>
  <c r="O283" i="9"/>
  <c r="O291" i="9"/>
  <c r="O299" i="9"/>
  <c r="O307" i="9"/>
  <c r="O315" i="9"/>
  <c r="O323" i="9"/>
  <c r="O331" i="9"/>
  <c r="O339" i="9"/>
  <c r="O347" i="9"/>
  <c r="O355" i="9"/>
  <c r="O363" i="9"/>
  <c r="O371" i="9"/>
  <c r="O379" i="9"/>
  <c r="O387" i="9"/>
  <c r="O395" i="9"/>
  <c r="O403" i="9"/>
  <c r="O411" i="9"/>
  <c r="O419" i="9"/>
  <c r="O427" i="9"/>
  <c r="O435" i="9"/>
  <c r="O443" i="9"/>
  <c r="O451" i="9"/>
  <c r="O459" i="9"/>
  <c r="O467" i="9"/>
  <c r="O475" i="9"/>
  <c r="O483" i="9"/>
  <c r="O491" i="9"/>
  <c r="O499" i="9"/>
  <c r="O507" i="9"/>
  <c r="O515" i="9"/>
  <c r="O523" i="9"/>
  <c r="O531" i="9"/>
  <c r="O539" i="9"/>
  <c r="O547" i="9"/>
  <c r="O555" i="9"/>
  <c r="O563" i="9"/>
  <c r="O571" i="9"/>
  <c r="O579" i="9"/>
  <c r="O587" i="9"/>
  <c r="O595" i="9"/>
  <c r="O603" i="9"/>
  <c r="O611" i="9"/>
  <c r="O619" i="9"/>
  <c r="O627" i="9"/>
  <c r="O635" i="9"/>
  <c r="O643" i="9"/>
  <c r="O651" i="9"/>
  <c r="O659" i="9"/>
  <c r="O667" i="9"/>
  <c r="O675" i="9"/>
  <c r="O683" i="9"/>
  <c r="O997" i="9"/>
  <c r="O957" i="9"/>
  <c r="O901" i="9"/>
  <c r="O260" i="9"/>
  <c r="O1002" i="9"/>
  <c r="O994" i="9"/>
  <c r="O986" i="9"/>
  <c r="O978" i="9"/>
  <c r="O970" i="9"/>
  <c r="O962" i="9"/>
  <c r="O954" i="9"/>
  <c r="O946" i="9"/>
  <c r="O938" i="9"/>
  <c r="O930" i="9"/>
  <c r="O922" i="9"/>
  <c r="O914" i="9"/>
  <c r="O906" i="9"/>
  <c r="O898" i="9"/>
  <c r="O890" i="9"/>
  <c r="O882" i="9"/>
  <c r="O874" i="9"/>
  <c r="O866" i="9"/>
  <c r="O858" i="9"/>
  <c r="O850" i="9"/>
  <c r="O842" i="9"/>
  <c r="O834" i="9"/>
  <c r="O826" i="9"/>
  <c r="O818" i="9"/>
  <c r="O810" i="9"/>
  <c r="O802" i="9"/>
  <c r="O794" i="9"/>
  <c r="O786" i="9"/>
  <c r="O778" i="9"/>
  <c r="O770" i="9"/>
  <c r="O762" i="9"/>
  <c r="O754" i="9"/>
  <c r="O746" i="9"/>
  <c r="O738" i="9"/>
  <c r="O730" i="9"/>
  <c r="O722" i="9"/>
  <c r="O714" i="9"/>
  <c r="O706" i="9"/>
  <c r="O698" i="9"/>
  <c r="O690" i="9"/>
  <c r="O677" i="9"/>
  <c r="O657" i="9"/>
  <c r="O636" i="9"/>
  <c r="O613" i="9"/>
  <c r="O593" i="9"/>
  <c r="O572" i="9"/>
  <c r="O549" i="9"/>
  <c r="O529" i="9"/>
  <c r="O508" i="9"/>
  <c r="O485" i="9"/>
  <c r="O465" i="9"/>
  <c r="O444" i="9"/>
  <c r="O421" i="9"/>
  <c r="O401" i="9"/>
  <c r="O380" i="9"/>
  <c r="O357" i="9"/>
  <c r="O337" i="9"/>
  <c r="O316" i="9"/>
  <c r="O293" i="9"/>
  <c r="O273" i="9"/>
  <c r="O236" i="9"/>
  <c r="O172" i="9"/>
  <c r="O108" i="9"/>
  <c r="O44" i="9"/>
  <c r="O324" i="9"/>
  <c r="O1001" i="9"/>
  <c r="O993" i="9"/>
  <c r="O985" i="9"/>
  <c r="O977" i="9"/>
  <c r="O969" i="9"/>
  <c r="O961" i="9"/>
  <c r="O953" i="9"/>
  <c r="O945" i="9"/>
  <c r="O937" i="9"/>
  <c r="O929" i="9"/>
  <c r="O921" i="9"/>
  <c r="O913" i="9"/>
  <c r="O905" i="9"/>
  <c r="O897" i="9"/>
  <c r="O889" i="9"/>
  <c r="O881" i="9"/>
  <c r="O873" i="9"/>
  <c r="O865" i="9"/>
  <c r="O857" i="9"/>
  <c r="O849" i="9"/>
  <c r="O841" i="9"/>
  <c r="O833" i="9"/>
  <c r="O825" i="9"/>
  <c r="O817" i="9"/>
  <c r="O809" i="9"/>
  <c r="O801" i="9"/>
  <c r="O793" i="9"/>
  <c r="O785" i="9"/>
  <c r="O777" i="9"/>
  <c r="O769" i="9"/>
  <c r="O761" i="9"/>
  <c r="O753" i="9"/>
  <c r="O745" i="9"/>
  <c r="O737" i="9"/>
  <c r="O729" i="9"/>
  <c r="O721" i="9"/>
  <c r="O713" i="9"/>
  <c r="O705" i="9"/>
  <c r="O697" i="9"/>
  <c r="O689" i="9"/>
  <c r="O676" i="9"/>
  <c r="O653" i="9"/>
  <c r="O633" i="9"/>
  <c r="O612" i="9"/>
  <c r="O589" i="9"/>
  <c r="O569" i="9"/>
  <c r="O548" i="9"/>
  <c r="O525" i="9"/>
  <c r="O505" i="9"/>
  <c r="O484" i="9"/>
  <c r="O461" i="9"/>
  <c r="O441" i="9"/>
  <c r="O420" i="9"/>
  <c r="O397" i="9"/>
  <c r="O377" i="9"/>
  <c r="O356" i="9"/>
  <c r="O333" i="9"/>
  <c r="O313" i="9"/>
  <c r="O292" i="9"/>
  <c r="O269" i="9"/>
  <c r="O228" i="9"/>
  <c r="O164" i="9"/>
  <c r="O100" i="9"/>
  <c r="O36" i="9"/>
  <c r="O981" i="9"/>
  <c r="O281" i="9"/>
  <c r="O1000" i="9"/>
  <c r="O992" i="9"/>
  <c r="O984" i="9"/>
  <c r="O976" i="9"/>
  <c r="O968" i="9"/>
  <c r="O960" i="9"/>
  <c r="O952" i="9"/>
  <c r="O944" i="9"/>
  <c r="O936" i="9"/>
  <c r="O928" i="9"/>
  <c r="O920" i="9"/>
  <c r="O912" i="9"/>
  <c r="O904" i="9"/>
  <c r="O896" i="9"/>
  <c r="O888" i="9"/>
  <c r="O880" i="9"/>
  <c r="O872" i="9"/>
  <c r="O864" i="9"/>
  <c r="O856" i="9"/>
  <c r="O848" i="9"/>
  <c r="O840" i="9"/>
  <c r="O832" i="9"/>
  <c r="O824" i="9"/>
  <c r="O816" i="9"/>
  <c r="O808" i="9"/>
  <c r="O800" i="9"/>
  <c r="O792" i="9"/>
  <c r="O784" i="9"/>
  <c r="O776" i="9"/>
  <c r="O768" i="9"/>
  <c r="O760" i="9"/>
  <c r="O752" i="9"/>
  <c r="O744" i="9"/>
  <c r="O736" i="9"/>
  <c r="O728" i="9"/>
  <c r="O720" i="9"/>
  <c r="O712" i="9"/>
  <c r="O704" i="9"/>
  <c r="O696" i="9"/>
  <c r="O688" i="9"/>
  <c r="O673" i="9"/>
  <c r="O652" i="9"/>
  <c r="O629" i="9"/>
  <c r="O609" i="9"/>
  <c r="O588" i="9"/>
  <c r="O565" i="9"/>
  <c r="O545" i="9"/>
  <c r="O524" i="9"/>
  <c r="O501" i="9"/>
  <c r="O481" i="9"/>
  <c r="O460" i="9"/>
  <c r="O437" i="9"/>
  <c r="O417" i="9"/>
  <c r="O396" i="9"/>
  <c r="O373" i="9"/>
  <c r="O353" i="9"/>
  <c r="O332" i="9"/>
  <c r="O309" i="9"/>
  <c r="O289" i="9"/>
  <c r="O268" i="9"/>
  <c r="O220" i="9"/>
  <c r="O156" i="9"/>
  <c r="O92" i="9"/>
  <c r="O28" i="9"/>
  <c r="O989" i="9"/>
  <c r="O132" i="9"/>
  <c r="O999" i="9"/>
  <c r="O991" i="9"/>
  <c r="O983" i="9"/>
  <c r="O975" i="9"/>
  <c r="O967" i="9"/>
  <c r="O959" i="9"/>
  <c r="O951" i="9"/>
  <c r="O943" i="9"/>
  <c r="O935" i="9"/>
  <c r="O927" i="9"/>
  <c r="O919" i="9"/>
  <c r="O911" i="9"/>
  <c r="O903" i="9"/>
  <c r="O895" i="9"/>
  <c r="O887" i="9"/>
  <c r="O879" i="9"/>
  <c r="O871" i="9"/>
  <c r="O863" i="9"/>
  <c r="O855" i="9"/>
  <c r="O847" i="9"/>
  <c r="O839" i="9"/>
  <c r="O831" i="9"/>
  <c r="O823" i="9"/>
  <c r="O815" i="9"/>
  <c r="O807" i="9"/>
  <c r="O799" i="9"/>
  <c r="O791" i="9"/>
  <c r="O783" i="9"/>
  <c r="O775" i="9"/>
  <c r="O767" i="9"/>
  <c r="O759" i="9"/>
  <c r="O751" i="9"/>
  <c r="O743" i="9"/>
  <c r="O735" i="9"/>
  <c r="O727" i="9"/>
  <c r="O719" i="9"/>
  <c r="O711" i="9"/>
  <c r="O703" i="9"/>
  <c r="O695" i="9"/>
  <c r="O687" i="9"/>
  <c r="O669" i="9"/>
  <c r="O649" i="9"/>
  <c r="O628" i="9"/>
  <c r="O605" i="9"/>
  <c r="O585" i="9"/>
  <c r="O564" i="9"/>
  <c r="O541" i="9"/>
  <c r="O521" i="9"/>
  <c r="O500" i="9"/>
  <c r="O477" i="9"/>
  <c r="O457" i="9"/>
  <c r="O436" i="9"/>
  <c r="O413" i="9"/>
  <c r="O393" i="9"/>
  <c r="O372" i="9"/>
  <c r="O349" i="9"/>
  <c r="O329" i="9"/>
  <c r="O308" i="9"/>
  <c r="O285" i="9"/>
  <c r="O265" i="9"/>
  <c r="O212" i="9"/>
  <c r="O148" i="9"/>
  <c r="O84" i="9"/>
  <c r="O20" i="9"/>
  <c r="O965" i="9"/>
  <c r="O909" i="9"/>
  <c r="O196" i="9"/>
  <c r="O998" i="9"/>
  <c r="O990" i="9"/>
  <c r="O982" i="9"/>
  <c r="O974" i="9"/>
  <c r="O966" i="9"/>
  <c r="O958" i="9"/>
  <c r="O950" i="9"/>
  <c r="O942" i="9"/>
  <c r="O934" i="9"/>
  <c r="O926" i="9"/>
  <c r="O918" i="9"/>
  <c r="O910" i="9"/>
  <c r="O902" i="9"/>
  <c r="O894" i="9"/>
  <c r="O886" i="9"/>
  <c r="O878" i="9"/>
  <c r="O870" i="9"/>
  <c r="O862" i="9"/>
  <c r="O854" i="9"/>
  <c r="O846" i="9"/>
  <c r="O838" i="9"/>
  <c r="O830" i="9"/>
  <c r="O822" i="9"/>
  <c r="O814" i="9"/>
  <c r="O806" i="9"/>
  <c r="O798" i="9"/>
  <c r="O790" i="9"/>
  <c r="O782" i="9"/>
  <c r="O774" i="9"/>
  <c r="O766" i="9"/>
  <c r="O758" i="9"/>
  <c r="O750" i="9"/>
  <c r="O742" i="9"/>
  <c r="O734" i="9"/>
  <c r="O726" i="9"/>
  <c r="O718" i="9"/>
  <c r="O710" i="9"/>
  <c r="O702" i="9"/>
  <c r="O694" i="9"/>
  <c r="O686" i="9"/>
  <c r="O668" i="9"/>
  <c r="O645" i="9"/>
  <c r="O625" i="9"/>
  <c r="O604" i="9"/>
  <c r="O581" i="9"/>
  <c r="O561" i="9"/>
  <c r="O540" i="9"/>
  <c r="O517" i="9"/>
  <c r="O497" i="9"/>
  <c r="O476" i="9"/>
  <c r="O453" i="9"/>
  <c r="O433" i="9"/>
  <c r="O412" i="9"/>
  <c r="O389" i="9"/>
  <c r="O369" i="9"/>
  <c r="O348" i="9"/>
  <c r="O325" i="9"/>
  <c r="O305" i="9"/>
  <c r="O284" i="9"/>
  <c r="O261" i="9"/>
  <c r="O204" i="9"/>
  <c r="O140" i="9"/>
  <c r="O76" i="9"/>
  <c r="O12" i="9"/>
  <c r="AB8" i="16" a="1"/>
  <c r="AB8" i="16" s="1"/>
  <c r="AB9" i="16" s="1" a="1"/>
  <c r="AB9" i="16" s="1"/>
  <c r="AB10" i="16" s="1" a="1"/>
  <c r="AB10" i="16" s="1"/>
  <c r="AB11" i="16" s="1" a="1"/>
  <c r="AB11" i="16" s="1"/>
  <c r="AB12" i="16" s="1" a="1"/>
  <c r="AB12" i="16" s="1"/>
  <c r="AB13" i="16" s="1" a="1"/>
  <c r="AB13" i="16" s="1"/>
  <c r="AB14" i="16" s="1" a="1"/>
  <c r="AB14" i="16" s="1"/>
  <c r="AB15" i="16" s="1" a="1"/>
  <c r="AB15" i="16" s="1"/>
  <c r="AB16" i="16" s="1" a="1"/>
  <c r="AB16" i="16" s="1"/>
  <c r="AB17" i="16" s="1" a="1"/>
  <c r="AB17" i="16" s="1"/>
  <c r="AB18" i="16" s="1" a="1"/>
  <c r="AB18" i="16" s="1"/>
  <c r="AB19" i="16" s="1" a="1"/>
  <c r="AB19" i="16" s="1"/>
  <c r="O19" i="7"/>
  <c r="P5" i="7"/>
  <c r="P13" i="7"/>
  <c r="P21" i="7"/>
  <c r="P29" i="7"/>
  <c r="P37" i="7"/>
  <c r="P45" i="7"/>
  <c r="P53" i="7"/>
  <c r="P61" i="7"/>
  <c r="P69" i="7"/>
  <c r="P77" i="7"/>
  <c r="P85" i="7"/>
  <c r="P93" i="7"/>
  <c r="P101" i="7"/>
  <c r="P109" i="7"/>
  <c r="P117" i="7"/>
  <c r="P125" i="7"/>
  <c r="P133" i="7"/>
  <c r="P141" i="7"/>
  <c r="P149" i="7"/>
  <c r="P157" i="7"/>
  <c r="P165" i="7"/>
  <c r="P173" i="7"/>
  <c r="P181" i="7"/>
  <c r="P189" i="7"/>
  <c r="P197" i="7"/>
  <c r="P205" i="7"/>
  <c r="P213" i="7"/>
  <c r="P221" i="7"/>
  <c r="P229" i="7"/>
  <c r="P237" i="7"/>
  <c r="P245" i="7"/>
  <c r="P253" i="7"/>
  <c r="P261" i="7"/>
  <c r="P269" i="7"/>
  <c r="P277" i="7"/>
  <c r="P285" i="7"/>
  <c r="P293" i="7"/>
  <c r="P301" i="7"/>
  <c r="P309" i="7"/>
  <c r="P317" i="7"/>
  <c r="P325" i="7"/>
  <c r="P333" i="7"/>
  <c r="P341" i="7"/>
  <c r="P349" i="7"/>
  <c r="P357" i="7"/>
  <c r="P365" i="7"/>
  <c r="P373" i="7"/>
  <c r="P381" i="7"/>
  <c r="P389" i="7"/>
  <c r="P397" i="7"/>
  <c r="P405" i="7"/>
  <c r="P413" i="7"/>
  <c r="P421" i="7"/>
  <c r="P429" i="7"/>
  <c r="P437" i="7"/>
  <c r="P445" i="7"/>
  <c r="P453" i="7"/>
  <c r="P461" i="7"/>
  <c r="P469" i="7"/>
  <c r="P477" i="7"/>
  <c r="P485" i="7"/>
  <c r="P493" i="7"/>
  <c r="P501" i="7"/>
  <c r="P509" i="7"/>
  <c r="P517" i="7"/>
  <c r="P525" i="7"/>
  <c r="P533" i="7"/>
  <c r="P541" i="7"/>
  <c r="P549" i="7"/>
  <c r="P557" i="7"/>
  <c r="P565" i="7"/>
  <c r="P573" i="7"/>
  <c r="P581" i="7"/>
  <c r="P589" i="7"/>
  <c r="P597" i="7"/>
  <c r="P605" i="7"/>
  <c r="P613" i="7"/>
  <c r="P621" i="7"/>
  <c r="P629" i="7"/>
  <c r="P637" i="7"/>
  <c r="P645" i="7"/>
  <c r="P653" i="7"/>
  <c r="P661" i="7"/>
  <c r="P669" i="7"/>
  <c r="P677" i="7"/>
  <c r="P6" i="7"/>
  <c r="P14" i="7"/>
  <c r="P22" i="7"/>
  <c r="P30" i="7"/>
  <c r="P38" i="7"/>
  <c r="P46" i="7"/>
  <c r="P54" i="7"/>
  <c r="P62" i="7"/>
  <c r="P70" i="7"/>
  <c r="P78" i="7"/>
  <c r="P86" i="7"/>
  <c r="P94" i="7"/>
  <c r="P102" i="7"/>
  <c r="P110" i="7"/>
  <c r="P118" i="7"/>
  <c r="P126" i="7"/>
  <c r="P134" i="7"/>
  <c r="P142" i="7"/>
  <c r="P150" i="7"/>
  <c r="P158" i="7"/>
  <c r="P166" i="7"/>
  <c r="P174" i="7"/>
  <c r="P182" i="7"/>
  <c r="P190" i="7"/>
  <c r="P198" i="7"/>
  <c r="P7" i="7"/>
  <c r="P15" i="7"/>
  <c r="P23" i="7"/>
  <c r="P31" i="7"/>
  <c r="P39" i="7"/>
  <c r="P47" i="7"/>
  <c r="P55" i="7"/>
  <c r="P63" i="7"/>
  <c r="P71" i="7"/>
  <c r="P79" i="7"/>
  <c r="P87" i="7"/>
  <c r="P95" i="7"/>
  <c r="P103" i="7"/>
  <c r="P111" i="7"/>
  <c r="P119" i="7"/>
  <c r="P127" i="7"/>
  <c r="P135" i="7"/>
  <c r="P143" i="7"/>
  <c r="P151" i="7"/>
  <c r="P159" i="7"/>
  <c r="P167" i="7"/>
  <c r="P175" i="7"/>
  <c r="P183" i="7"/>
  <c r="P191" i="7"/>
  <c r="P199" i="7"/>
  <c r="P207" i="7"/>
  <c r="P215" i="7"/>
  <c r="P223" i="7"/>
  <c r="P231" i="7"/>
  <c r="P239" i="7"/>
  <c r="P247" i="7"/>
  <c r="P255" i="7"/>
  <c r="P263" i="7"/>
  <c r="P271" i="7"/>
  <c r="P279" i="7"/>
  <c r="P287" i="7"/>
  <c r="P295" i="7"/>
  <c r="P303" i="7"/>
  <c r="P311" i="7"/>
  <c r="P319" i="7"/>
  <c r="P327" i="7"/>
  <c r="P335" i="7"/>
  <c r="P343" i="7"/>
  <c r="P351" i="7"/>
  <c r="P359" i="7"/>
  <c r="P367" i="7"/>
  <c r="P375" i="7"/>
  <c r="P383" i="7"/>
  <c r="P391" i="7"/>
  <c r="P399" i="7"/>
  <c r="P407" i="7"/>
  <c r="P415" i="7"/>
  <c r="P423" i="7"/>
  <c r="P431" i="7"/>
  <c r="P439" i="7"/>
  <c r="P447" i="7"/>
  <c r="P455" i="7"/>
  <c r="P463" i="7"/>
  <c r="P471" i="7"/>
  <c r="P479" i="7"/>
  <c r="P487" i="7"/>
  <c r="P495" i="7"/>
  <c r="P503" i="7"/>
  <c r="P511" i="7"/>
  <c r="P519" i="7"/>
  <c r="P527" i="7"/>
  <c r="P535" i="7"/>
  <c r="P543" i="7"/>
  <c r="P551" i="7"/>
  <c r="P559" i="7"/>
  <c r="P567" i="7"/>
  <c r="P575" i="7"/>
  <c r="P583" i="7"/>
  <c r="P591" i="7"/>
  <c r="P599" i="7"/>
  <c r="P607" i="7"/>
  <c r="P615" i="7"/>
  <c r="P623" i="7"/>
  <c r="P631" i="7"/>
  <c r="P639" i="7"/>
  <c r="P647" i="7"/>
  <c r="P655" i="7"/>
  <c r="P663" i="7"/>
  <c r="P671" i="7"/>
  <c r="P679" i="7"/>
  <c r="P8" i="7"/>
  <c r="P16" i="7"/>
  <c r="P24" i="7"/>
  <c r="P32" i="7"/>
  <c r="P40" i="7"/>
  <c r="P48" i="7"/>
  <c r="P56" i="7"/>
  <c r="P64" i="7"/>
  <c r="P72" i="7"/>
  <c r="P80" i="7"/>
  <c r="P88" i="7"/>
  <c r="P96" i="7"/>
  <c r="P104" i="7"/>
  <c r="P112" i="7"/>
  <c r="P120" i="7"/>
  <c r="P128" i="7"/>
  <c r="P136" i="7"/>
  <c r="P144" i="7"/>
  <c r="P152" i="7"/>
  <c r="P160" i="7"/>
  <c r="P168" i="7"/>
  <c r="P176" i="7"/>
  <c r="P184" i="7"/>
  <c r="P192" i="7"/>
  <c r="P200" i="7"/>
  <c r="P208" i="7"/>
  <c r="P216" i="7"/>
  <c r="P224" i="7"/>
  <c r="P232" i="7"/>
  <c r="P240" i="7"/>
  <c r="P248" i="7"/>
  <c r="P256" i="7"/>
  <c r="P264" i="7"/>
  <c r="P272" i="7"/>
  <c r="P280" i="7"/>
  <c r="P288" i="7"/>
  <c r="P296" i="7"/>
  <c r="P304" i="7"/>
  <c r="P312" i="7"/>
  <c r="P320" i="7"/>
  <c r="P328" i="7"/>
  <c r="P336" i="7"/>
  <c r="P344" i="7"/>
  <c r="P352" i="7"/>
  <c r="P360" i="7"/>
  <c r="P368" i="7"/>
  <c r="P376" i="7"/>
  <c r="P384" i="7"/>
  <c r="P392" i="7"/>
  <c r="P400" i="7"/>
  <c r="P408" i="7"/>
  <c r="P416" i="7"/>
  <c r="P424" i="7"/>
  <c r="P432" i="7"/>
  <c r="P440" i="7"/>
  <c r="P448" i="7"/>
  <c r="P456" i="7"/>
  <c r="P464" i="7"/>
  <c r="P472" i="7"/>
  <c r="P480" i="7"/>
  <c r="P488" i="7"/>
  <c r="P496" i="7"/>
  <c r="P504" i="7"/>
  <c r="P512" i="7"/>
  <c r="P520" i="7"/>
  <c r="P528" i="7"/>
  <c r="P536" i="7"/>
  <c r="P544" i="7"/>
  <c r="P552" i="7"/>
  <c r="P560" i="7"/>
  <c r="P568" i="7"/>
  <c r="P576" i="7"/>
  <c r="P584" i="7"/>
  <c r="P592" i="7"/>
  <c r="P600" i="7"/>
  <c r="P608" i="7"/>
  <c r="P616" i="7"/>
  <c r="P624" i="7"/>
  <c r="P632" i="7"/>
  <c r="P640" i="7"/>
  <c r="P648" i="7"/>
  <c r="P656" i="7"/>
  <c r="P664" i="7"/>
  <c r="P672" i="7"/>
  <c r="P680" i="7"/>
  <c r="P9" i="7"/>
  <c r="P17" i="7"/>
  <c r="P25" i="7"/>
  <c r="P33" i="7"/>
  <c r="P41" i="7"/>
  <c r="P49" i="7"/>
  <c r="P57" i="7"/>
  <c r="P65" i="7"/>
  <c r="P73" i="7"/>
  <c r="P81" i="7"/>
  <c r="P89" i="7"/>
  <c r="P97" i="7"/>
  <c r="P105" i="7"/>
  <c r="P113" i="7"/>
  <c r="P121" i="7"/>
  <c r="P129" i="7"/>
  <c r="P137" i="7"/>
  <c r="P145" i="7"/>
  <c r="P153" i="7"/>
  <c r="P161" i="7"/>
  <c r="P169" i="7"/>
  <c r="P177" i="7"/>
  <c r="P185" i="7"/>
  <c r="P193" i="7"/>
  <c r="P201" i="7"/>
  <c r="P209" i="7"/>
  <c r="P217" i="7"/>
  <c r="P225" i="7"/>
  <c r="P233" i="7"/>
  <c r="P241" i="7"/>
  <c r="P249" i="7"/>
  <c r="P257" i="7"/>
  <c r="P265" i="7"/>
  <c r="P273" i="7"/>
  <c r="P281" i="7"/>
  <c r="P289" i="7"/>
  <c r="P297" i="7"/>
  <c r="P305" i="7"/>
  <c r="P313" i="7"/>
  <c r="P321" i="7"/>
  <c r="P329" i="7"/>
  <c r="P337" i="7"/>
  <c r="P345" i="7"/>
  <c r="P353" i="7"/>
  <c r="P361" i="7"/>
  <c r="P369" i="7"/>
  <c r="P377" i="7"/>
  <c r="P385" i="7"/>
  <c r="P393" i="7"/>
  <c r="P401" i="7"/>
  <c r="P409" i="7"/>
  <c r="P417" i="7"/>
  <c r="P425" i="7"/>
  <c r="P433" i="7"/>
  <c r="P441" i="7"/>
  <c r="P449" i="7"/>
  <c r="P457" i="7"/>
  <c r="P465" i="7"/>
  <c r="P473" i="7"/>
  <c r="P481" i="7"/>
  <c r="P489" i="7"/>
  <c r="P497" i="7"/>
  <c r="P505" i="7"/>
  <c r="P513" i="7"/>
  <c r="P521" i="7"/>
  <c r="P529" i="7"/>
  <c r="P537" i="7"/>
  <c r="P545" i="7"/>
  <c r="P553" i="7"/>
  <c r="P561" i="7"/>
  <c r="P569" i="7"/>
  <c r="P577" i="7"/>
  <c r="P585" i="7"/>
  <c r="P593" i="7"/>
  <c r="P601" i="7"/>
  <c r="P609" i="7"/>
  <c r="P617" i="7"/>
  <c r="P625" i="7"/>
  <c r="P633" i="7"/>
  <c r="P641" i="7"/>
  <c r="P649" i="7"/>
  <c r="P657" i="7"/>
  <c r="P665" i="7"/>
  <c r="P673" i="7"/>
  <c r="P681" i="7"/>
  <c r="P10" i="7"/>
  <c r="P18" i="7"/>
  <c r="P26" i="7"/>
  <c r="P34" i="7"/>
  <c r="P42" i="7"/>
  <c r="P50" i="7"/>
  <c r="P58" i="7"/>
  <c r="P66" i="7"/>
  <c r="P74" i="7"/>
  <c r="P82" i="7"/>
  <c r="P90" i="7"/>
  <c r="P98" i="7"/>
  <c r="P106" i="7"/>
  <c r="P114" i="7"/>
  <c r="P122" i="7"/>
  <c r="P130" i="7"/>
  <c r="P138" i="7"/>
  <c r="P146" i="7"/>
  <c r="P154" i="7"/>
  <c r="P162" i="7"/>
  <c r="P170" i="7"/>
  <c r="P178" i="7"/>
  <c r="P186" i="7"/>
  <c r="P194" i="7"/>
  <c r="P11" i="7"/>
  <c r="P19" i="7"/>
  <c r="P27" i="7"/>
  <c r="P35" i="7"/>
  <c r="P43" i="7"/>
  <c r="P51" i="7"/>
  <c r="P59" i="7"/>
  <c r="P67" i="7"/>
  <c r="P75" i="7"/>
  <c r="P83" i="7"/>
  <c r="P91" i="7"/>
  <c r="P99" i="7"/>
  <c r="P107" i="7"/>
  <c r="P115" i="7"/>
  <c r="P123" i="7"/>
  <c r="P131" i="7"/>
  <c r="P139" i="7"/>
  <c r="P147" i="7"/>
  <c r="P155" i="7"/>
  <c r="P163" i="7"/>
  <c r="P171" i="7"/>
  <c r="P179" i="7"/>
  <c r="P187" i="7"/>
  <c r="P195" i="7"/>
  <c r="P203" i="7"/>
  <c r="P211" i="7"/>
  <c r="P219" i="7"/>
  <c r="P227" i="7"/>
  <c r="P235" i="7"/>
  <c r="P243" i="7"/>
  <c r="P251" i="7"/>
  <c r="P259" i="7"/>
  <c r="P267" i="7"/>
  <c r="P275" i="7"/>
  <c r="P283" i="7"/>
  <c r="P291" i="7"/>
  <c r="P299" i="7"/>
  <c r="P307" i="7"/>
  <c r="P315" i="7"/>
  <c r="P323" i="7"/>
  <c r="P331" i="7"/>
  <c r="P339" i="7"/>
  <c r="P347" i="7"/>
  <c r="P355" i="7"/>
  <c r="P363" i="7"/>
  <c r="P371" i="7"/>
  <c r="P379" i="7"/>
  <c r="P387" i="7"/>
  <c r="P395" i="7"/>
  <c r="P403" i="7"/>
  <c r="P411" i="7"/>
  <c r="P419" i="7"/>
  <c r="P427" i="7"/>
  <c r="P435" i="7"/>
  <c r="P443" i="7"/>
  <c r="P451" i="7"/>
  <c r="P459" i="7"/>
  <c r="P467" i="7"/>
  <c r="P475" i="7"/>
  <c r="P483" i="7"/>
  <c r="P491" i="7"/>
  <c r="P499" i="7"/>
  <c r="P507" i="7"/>
  <c r="P515" i="7"/>
  <c r="P523" i="7"/>
  <c r="P531" i="7"/>
  <c r="P539" i="7"/>
  <c r="P547" i="7"/>
  <c r="P555" i="7"/>
  <c r="P563" i="7"/>
  <c r="P571" i="7"/>
  <c r="P579" i="7"/>
  <c r="P587" i="7"/>
  <c r="P595" i="7"/>
  <c r="P603" i="7"/>
  <c r="P611" i="7"/>
  <c r="P619" i="7"/>
  <c r="P627" i="7"/>
  <c r="P635" i="7"/>
  <c r="P643" i="7"/>
  <c r="P651" i="7"/>
  <c r="P659" i="7"/>
  <c r="P667" i="7"/>
  <c r="P675" i="7"/>
  <c r="P683" i="7"/>
  <c r="P12" i="7"/>
  <c r="P76" i="7"/>
  <c r="P140" i="7"/>
  <c r="P202" i="7"/>
  <c r="P222" i="7"/>
  <c r="P244" i="7"/>
  <c r="P266" i="7"/>
  <c r="P286" i="7"/>
  <c r="P308" i="7"/>
  <c r="P330" i="7"/>
  <c r="P350" i="7"/>
  <c r="P372" i="7"/>
  <c r="P394" i="7"/>
  <c r="P414" i="7"/>
  <c r="P436" i="7"/>
  <c r="P458" i="7"/>
  <c r="P478" i="7"/>
  <c r="P500" i="7"/>
  <c r="P522" i="7"/>
  <c r="P542" i="7"/>
  <c r="P564" i="7"/>
  <c r="P586" i="7"/>
  <c r="P606" i="7"/>
  <c r="P628" i="7"/>
  <c r="P650" i="7"/>
  <c r="P670" i="7"/>
  <c r="P687" i="7"/>
  <c r="P695" i="7"/>
  <c r="P703" i="7"/>
  <c r="P711" i="7"/>
  <c r="P719" i="7"/>
  <c r="P727" i="7"/>
  <c r="P735" i="7"/>
  <c r="P743" i="7"/>
  <c r="P751" i="7"/>
  <c r="P759" i="7"/>
  <c r="P767" i="7"/>
  <c r="P775" i="7"/>
  <c r="P783" i="7"/>
  <c r="P791" i="7"/>
  <c r="P799" i="7"/>
  <c r="P807" i="7"/>
  <c r="P815" i="7"/>
  <c r="P823" i="7"/>
  <c r="P831" i="7"/>
  <c r="P839" i="7"/>
  <c r="P847" i="7"/>
  <c r="P855" i="7"/>
  <c r="P863" i="7"/>
  <c r="P871" i="7"/>
  <c r="P879" i="7"/>
  <c r="P887" i="7"/>
  <c r="P895" i="7"/>
  <c r="P903" i="7"/>
  <c r="P911" i="7"/>
  <c r="P919" i="7"/>
  <c r="P927" i="7"/>
  <c r="P935" i="7"/>
  <c r="P943" i="7"/>
  <c r="P951" i="7"/>
  <c r="P959" i="7"/>
  <c r="P967" i="7"/>
  <c r="P975" i="7"/>
  <c r="P983" i="7"/>
  <c r="P991" i="7"/>
  <c r="P999" i="7"/>
  <c r="P20" i="7"/>
  <c r="P84" i="7"/>
  <c r="P148" i="7"/>
  <c r="P204" i="7"/>
  <c r="P226" i="7"/>
  <c r="P246" i="7"/>
  <c r="P268" i="7"/>
  <c r="P290" i="7"/>
  <c r="P310" i="7"/>
  <c r="P332" i="7"/>
  <c r="P354" i="7"/>
  <c r="P374" i="7"/>
  <c r="P396" i="7"/>
  <c r="P418" i="7"/>
  <c r="P438" i="7"/>
  <c r="P460" i="7"/>
  <c r="P482" i="7"/>
  <c r="P502" i="7"/>
  <c r="P524" i="7"/>
  <c r="P546" i="7"/>
  <c r="P566" i="7"/>
  <c r="P588" i="7"/>
  <c r="P610" i="7"/>
  <c r="P630" i="7"/>
  <c r="P652" i="7"/>
  <c r="P674" i="7"/>
  <c r="P28" i="7"/>
  <c r="P92" i="7"/>
  <c r="P156" i="7"/>
  <c r="P206" i="7"/>
  <c r="P228" i="7"/>
  <c r="P250" i="7"/>
  <c r="P270" i="7"/>
  <c r="P292" i="7"/>
  <c r="P314" i="7"/>
  <c r="P334" i="7"/>
  <c r="P356" i="7"/>
  <c r="P378" i="7"/>
  <c r="P398" i="7"/>
  <c r="P420" i="7"/>
  <c r="P442" i="7"/>
  <c r="P462" i="7"/>
  <c r="P484" i="7"/>
  <c r="P506" i="7"/>
  <c r="P526" i="7"/>
  <c r="P548" i="7"/>
  <c r="P570" i="7"/>
  <c r="P590" i="7"/>
  <c r="P612" i="7"/>
  <c r="P634" i="7"/>
  <c r="P654" i="7"/>
  <c r="P676" i="7"/>
  <c r="P689" i="7"/>
  <c r="P697" i="7"/>
  <c r="P705" i="7"/>
  <c r="P713" i="7"/>
  <c r="P721" i="7"/>
  <c r="P729" i="7"/>
  <c r="P737" i="7"/>
  <c r="P745" i="7"/>
  <c r="P753" i="7"/>
  <c r="P761" i="7"/>
  <c r="P769" i="7"/>
  <c r="P777" i="7"/>
  <c r="P785" i="7"/>
  <c r="P793" i="7"/>
  <c r="P801" i="7"/>
  <c r="P809" i="7"/>
  <c r="P817" i="7"/>
  <c r="P825" i="7"/>
  <c r="P833" i="7"/>
  <c r="P841" i="7"/>
  <c r="P849" i="7"/>
  <c r="P857" i="7"/>
  <c r="P865" i="7"/>
  <c r="P873" i="7"/>
  <c r="P881" i="7"/>
  <c r="P889" i="7"/>
  <c r="P897" i="7"/>
  <c r="P905" i="7"/>
  <c r="P913" i="7"/>
  <c r="P921" i="7"/>
  <c r="P929" i="7"/>
  <c r="P937" i="7"/>
  <c r="P945" i="7"/>
  <c r="P953" i="7"/>
  <c r="P961" i="7"/>
  <c r="P969" i="7"/>
  <c r="P977" i="7"/>
  <c r="P985" i="7"/>
  <c r="P993" i="7"/>
  <c r="P1001" i="7"/>
  <c r="P220" i="7"/>
  <c r="P36" i="7"/>
  <c r="P100" i="7"/>
  <c r="P164" i="7"/>
  <c r="P210" i="7"/>
  <c r="P230" i="7"/>
  <c r="P252" i="7"/>
  <c r="P274" i="7"/>
  <c r="P294" i="7"/>
  <c r="P316" i="7"/>
  <c r="P338" i="7"/>
  <c r="P358" i="7"/>
  <c r="P380" i="7"/>
  <c r="P402" i="7"/>
  <c r="P422" i="7"/>
  <c r="P444" i="7"/>
  <c r="P466" i="7"/>
  <c r="P486" i="7"/>
  <c r="P508" i="7"/>
  <c r="P530" i="7"/>
  <c r="P550" i="7"/>
  <c r="P572" i="7"/>
  <c r="P594" i="7"/>
  <c r="P614" i="7"/>
  <c r="P636" i="7"/>
  <c r="P658" i="7"/>
  <c r="P678" i="7"/>
  <c r="P690" i="7"/>
  <c r="P698" i="7"/>
  <c r="P706" i="7"/>
  <c r="P714" i="7"/>
  <c r="P722" i="7"/>
  <c r="P730" i="7"/>
  <c r="P738" i="7"/>
  <c r="P746" i="7"/>
  <c r="P754" i="7"/>
  <c r="P762" i="7"/>
  <c r="P770" i="7"/>
  <c r="P778" i="7"/>
  <c r="P786" i="7"/>
  <c r="P794" i="7"/>
  <c r="P802" i="7"/>
  <c r="P810" i="7"/>
  <c r="P818" i="7"/>
  <c r="P826" i="7"/>
  <c r="P834" i="7"/>
  <c r="P842" i="7"/>
  <c r="P850" i="7"/>
  <c r="P858" i="7"/>
  <c r="P866" i="7"/>
  <c r="P874" i="7"/>
  <c r="P882" i="7"/>
  <c r="P890" i="7"/>
  <c r="P898" i="7"/>
  <c r="P906" i="7"/>
  <c r="P914" i="7"/>
  <c r="P922" i="7"/>
  <c r="P930" i="7"/>
  <c r="P938" i="7"/>
  <c r="P946" i="7"/>
  <c r="P954" i="7"/>
  <c r="P962" i="7"/>
  <c r="P970" i="7"/>
  <c r="P978" i="7"/>
  <c r="P986" i="7"/>
  <c r="P994" i="7"/>
  <c r="P1002" i="7"/>
  <c r="P44" i="7"/>
  <c r="P108" i="7"/>
  <c r="P172" i="7"/>
  <c r="P212" i="7"/>
  <c r="P234" i="7"/>
  <c r="P254" i="7"/>
  <c r="P276" i="7"/>
  <c r="P298" i="7"/>
  <c r="P318" i="7"/>
  <c r="P340" i="7"/>
  <c r="P362" i="7"/>
  <c r="P382" i="7"/>
  <c r="P404" i="7"/>
  <c r="P426" i="7"/>
  <c r="P446" i="7"/>
  <c r="P468" i="7"/>
  <c r="P490" i="7"/>
  <c r="P510" i="7"/>
  <c r="P532" i="7"/>
  <c r="P554" i="7"/>
  <c r="P574" i="7"/>
  <c r="P596" i="7"/>
  <c r="P618" i="7"/>
  <c r="P638" i="7"/>
  <c r="P660" i="7"/>
  <c r="P682" i="7"/>
  <c r="P691" i="7"/>
  <c r="P699" i="7"/>
  <c r="P707" i="7"/>
  <c r="P715" i="7"/>
  <c r="P723" i="7"/>
  <c r="P731" i="7"/>
  <c r="P739" i="7"/>
  <c r="P747" i="7"/>
  <c r="P755" i="7"/>
  <c r="P763" i="7"/>
  <c r="P771" i="7"/>
  <c r="P779" i="7"/>
  <c r="P787" i="7"/>
  <c r="P795" i="7"/>
  <c r="P803" i="7"/>
  <c r="P811" i="7"/>
  <c r="P819" i="7"/>
  <c r="P827" i="7"/>
  <c r="P835" i="7"/>
  <c r="P843" i="7"/>
  <c r="P851" i="7"/>
  <c r="P859" i="7"/>
  <c r="P867" i="7"/>
  <c r="P875" i="7"/>
  <c r="P883" i="7"/>
  <c r="P891" i="7"/>
  <c r="P899" i="7"/>
  <c r="P907" i="7"/>
  <c r="P915" i="7"/>
  <c r="P923" i="7"/>
  <c r="P931" i="7"/>
  <c r="P939" i="7"/>
  <c r="P947" i="7"/>
  <c r="P955" i="7"/>
  <c r="P963" i="7"/>
  <c r="P971" i="7"/>
  <c r="P979" i="7"/>
  <c r="P987" i="7"/>
  <c r="P995" i="7"/>
  <c r="P1003" i="7"/>
  <c r="P52" i="7"/>
  <c r="P116" i="7"/>
  <c r="P180" i="7"/>
  <c r="P214" i="7"/>
  <c r="P236" i="7"/>
  <c r="P258" i="7"/>
  <c r="P278" i="7"/>
  <c r="P300" i="7"/>
  <c r="P322" i="7"/>
  <c r="P342" i="7"/>
  <c r="P364" i="7"/>
  <c r="P386" i="7"/>
  <c r="P406" i="7"/>
  <c r="P428" i="7"/>
  <c r="P450" i="7"/>
  <c r="P470" i="7"/>
  <c r="P492" i="7"/>
  <c r="P514" i="7"/>
  <c r="P534" i="7"/>
  <c r="P556" i="7"/>
  <c r="P578" i="7"/>
  <c r="P598" i="7"/>
  <c r="P620" i="7"/>
  <c r="P642" i="7"/>
  <c r="P662" i="7"/>
  <c r="P684" i="7"/>
  <c r="P692" i="7"/>
  <c r="P700" i="7"/>
  <c r="P708" i="7"/>
  <c r="P716" i="7"/>
  <c r="P724" i="7"/>
  <c r="P732" i="7"/>
  <c r="P740" i="7"/>
  <c r="P748" i="7"/>
  <c r="P756" i="7"/>
  <c r="P764" i="7"/>
  <c r="P772" i="7"/>
  <c r="P780" i="7"/>
  <c r="P788" i="7"/>
  <c r="P796" i="7"/>
  <c r="P804" i="7"/>
  <c r="P812" i="7"/>
  <c r="P820" i="7"/>
  <c r="P828" i="7"/>
  <c r="P836" i="7"/>
  <c r="P844" i="7"/>
  <c r="P852" i="7"/>
  <c r="P860" i="7"/>
  <c r="P868" i="7"/>
  <c r="P876" i="7"/>
  <c r="P884" i="7"/>
  <c r="P892" i="7"/>
  <c r="P900" i="7"/>
  <c r="P908" i="7"/>
  <c r="P916" i="7"/>
  <c r="P924" i="7"/>
  <c r="P932" i="7"/>
  <c r="P940" i="7"/>
  <c r="P948" i="7"/>
  <c r="P956" i="7"/>
  <c r="P964" i="7"/>
  <c r="P972" i="7"/>
  <c r="P980" i="7"/>
  <c r="P988" i="7"/>
  <c r="P996" i="7"/>
  <c r="P132" i="7"/>
  <c r="P326" i="7"/>
  <c r="P370" i="7"/>
  <c r="P412" i="7"/>
  <c r="P434" i="7"/>
  <c r="P476" i="7"/>
  <c r="P518" i="7"/>
  <c r="P562" i="7"/>
  <c r="P604" i="7"/>
  <c r="P626" i="7"/>
  <c r="P668" i="7"/>
  <c r="P694" i="7"/>
  <c r="P710" i="7"/>
  <c r="P726" i="7"/>
  <c r="P742" i="7"/>
  <c r="P750" i="7"/>
  <c r="P766" i="7"/>
  <c r="P782" i="7"/>
  <c r="P806" i="7"/>
  <c r="P822" i="7"/>
  <c r="P60" i="7"/>
  <c r="P124" i="7"/>
  <c r="P188" i="7"/>
  <c r="P218" i="7"/>
  <c r="P238" i="7"/>
  <c r="P260" i="7"/>
  <c r="P282" i="7"/>
  <c r="P302" i="7"/>
  <c r="P324" i="7"/>
  <c r="P346" i="7"/>
  <c r="P366" i="7"/>
  <c r="P388" i="7"/>
  <c r="P410" i="7"/>
  <c r="P430" i="7"/>
  <c r="P452" i="7"/>
  <c r="P474" i="7"/>
  <c r="P494" i="7"/>
  <c r="P516" i="7"/>
  <c r="P538" i="7"/>
  <c r="P558" i="7"/>
  <c r="P580" i="7"/>
  <c r="P602" i="7"/>
  <c r="P622" i="7"/>
  <c r="P644" i="7"/>
  <c r="P666" i="7"/>
  <c r="P685" i="7"/>
  <c r="P693" i="7"/>
  <c r="P701" i="7"/>
  <c r="P709" i="7"/>
  <c r="P717" i="7"/>
  <c r="P725" i="7"/>
  <c r="P733" i="7"/>
  <c r="P741" i="7"/>
  <c r="P749" i="7"/>
  <c r="P757" i="7"/>
  <c r="P765" i="7"/>
  <c r="P773" i="7"/>
  <c r="P781" i="7"/>
  <c r="P789" i="7"/>
  <c r="P797" i="7"/>
  <c r="P805" i="7"/>
  <c r="P813" i="7"/>
  <c r="P821" i="7"/>
  <c r="P829" i="7"/>
  <c r="P837" i="7"/>
  <c r="P845" i="7"/>
  <c r="P853" i="7"/>
  <c r="P861" i="7"/>
  <c r="P869" i="7"/>
  <c r="P877" i="7"/>
  <c r="P885" i="7"/>
  <c r="P893" i="7"/>
  <c r="P901" i="7"/>
  <c r="P909" i="7"/>
  <c r="P917" i="7"/>
  <c r="P925" i="7"/>
  <c r="P933" i="7"/>
  <c r="P941" i="7"/>
  <c r="P949" i="7"/>
  <c r="P957" i="7"/>
  <c r="P965" i="7"/>
  <c r="P973" i="7"/>
  <c r="P981" i="7"/>
  <c r="P989" i="7"/>
  <c r="P997" i="7"/>
  <c r="P68" i="7"/>
  <c r="P242" i="7"/>
  <c r="P262" i="7"/>
  <c r="P284" i="7"/>
  <c r="P306" i="7"/>
  <c r="P348" i="7"/>
  <c r="P390" i="7"/>
  <c r="P454" i="7"/>
  <c r="P498" i="7"/>
  <c r="P540" i="7"/>
  <c r="P582" i="7"/>
  <c r="P646" i="7"/>
  <c r="P686" i="7"/>
  <c r="P702" i="7"/>
  <c r="P718" i="7"/>
  <c r="P734" i="7"/>
  <c r="P758" i="7"/>
  <c r="P774" i="7"/>
  <c r="P790" i="7"/>
  <c r="P798" i="7"/>
  <c r="P814" i="7"/>
  <c r="P830" i="7"/>
  <c r="P854" i="7"/>
  <c r="P982" i="7"/>
  <c r="P950" i="7"/>
  <c r="P918" i="7"/>
  <c r="P886" i="7"/>
  <c r="P848" i="7"/>
  <c r="P800" i="7"/>
  <c r="P736" i="7"/>
  <c r="P1000" i="7"/>
  <c r="P968" i="7"/>
  <c r="P936" i="7"/>
  <c r="P904" i="7"/>
  <c r="P872" i="7"/>
  <c r="P838" i="7"/>
  <c r="P776" i="7"/>
  <c r="P712" i="7"/>
  <c r="P792" i="7"/>
  <c r="P974" i="7"/>
  <c r="P910" i="7"/>
  <c r="P784" i="7"/>
  <c r="P998" i="7"/>
  <c r="P966" i="7"/>
  <c r="P934" i="7"/>
  <c r="P902" i="7"/>
  <c r="P870" i="7"/>
  <c r="P832" i="7"/>
  <c r="P768" i="7"/>
  <c r="P704" i="7"/>
  <c r="P976" i="7"/>
  <c r="P944" i="7"/>
  <c r="P912" i="7"/>
  <c r="P880" i="7"/>
  <c r="P846" i="7"/>
  <c r="P728" i="7"/>
  <c r="P942" i="7"/>
  <c r="P878" i="7"/>
  <c r="P840" i="7"/>
  <c r="P720" i="7"/>
  <c r="P992" i="7"/>
  <c r="P960" i="7"/>
  <c r="P928" i="7"/>
  <c r="P896" i="7"/>
  <c r="P864" i="7"/>
  <c r="P824" i="7"/>
  <c r="P760" i="7"/>
  <c r="P696" i="7"/>
  <c r="P990" i="7"/>
  <c r="P958" i="7"/>
  <c r="P926" i="7"/>
  <c r="P894" i="7"/>
  <c r="P862" i="7"/>
  <c r="P816" i="7"/>
  <c r="P752" i="7"/>
  <c r="P688" i="7"/>
  <c r="P984" i="7"/>
  <c r="P952" i="7"/>
  <c r="P920" i="7"/>
  <c r="P888" i="7"/>
  <c r="P856" i="7"/>
  <c r="P808" i="7"/>
  <c r="P744" i="7"/>
  <c r="P196" i="7"/>
  <c r="O971" i="7"/>
  <c r="O843" i="7"/>
  <c r="O227" i="7"/>
  <c r="O1002" i="7"/>
  <c r="O970" i="7"/>
  <c r="O938" i="7"/>
  <c r="O906" i="7"/>
  <c r="O874" i="7"/>
  <c r="O842" i="7"/>
  <c r="O810" i="7"/>
  <c r="O778" i="7"/>
  <c r="O746" i="7"/>
  <c r="O714" i="7"/>
  <c r="O682" i="7"/>
  <c r="O587" i="7"/>
  <c r="O475" i="7"/>
  <c r="O363" i="7"/>
  <c r="O195" i="7"/>
  <c r="O1003" i="7"/>
  <c r="O939" i="7"/>
  <c r="O875" i="7"/>
  <c r="O779" i="7"/>
  <c r="O747" i="7"/>
  <c r="O683" i="7"/>
  <c r="O379" i="7"/>
  <c r="O995" i="7"/>
  <c r="O963" i="7"/>
  <c r="O931" i="7"/>
  <c r="O899" i="7"/>
  <c r="O867" i="7"/>
  <c r="O835" i="7"/>
  <c r="O803" i="7"/>
  <c r="O771" i="7"/>
  <c r="O739" i="7"/>
  <c r="O707" i="7"/>
  <c r="O667" i="7"/>
  <c r="O571" i="7"/>
  <c r="O474" i="7"/>
  <c r="O347" i="7"/>
  <c r="O163" i="7"/>
  <c r="O907" i="7"/>
  <c r="O811" i="7"/>
  <c r="O490" i="7"/>
  <c r="O994" i="7"/>
  <c r="O962" i="7"/>
  <c r="O930" i="7"/>
  <c r="O898" i="7"/>
  <c r="O866" i="7"/>
  <c r="O834" i="7"/>
  <c r="O802" i="7"/>
  <c r="O770" i="7"/>
  <c r="O738" i="7"/>
  <c r="O706" i="7"/>
  <c r="O666" i="7"/>
  <c r="O555" i="7"/>
  <c r="O459" i="7"/>
  <c r="O331" i="7"/>
  <c r="O131" i="7"/>
  <c r="O603" i="7"/>
  <c r="O987" i="7"/>
  <c r="O955" i="7"/>
  <c r="O923" i="7"/>
  <c r="O891" i="7"/>
  <c r="O859" i="7"/>
  <c r="O827" i="7"/>
  <c r="O795" i="7"/>
  <c r="O763" i="7"/>
  <c r="O731" i="7"/>
  <c r="O699" i="7"/>
  <c r="O651" i="7"/>
  <c r="O539" i="7"/>
  <c r="O443" i="7"/>
  <c r="O315" i="7"/>
  <c r="O99" i="7"/>
  <c r="O986" i="7"/>
  <c r="O954" i="7"/>
  <c r="O922" i="7"/>
  <c r="O890" i="7"/>
  <c r="O858" i="7"/>
  <c r="O826" i="7"/>
  <c r="O794" i="7"/>
  <c r="O762" i="7"/>
  <c r="O730" i="7"/>
  <c r="O698" i="7"/>
  <c r="O635" i="7"/>
  <c r="O523" i="7"/>
  <c r="O427" i="7"/>
  <c r="O299" i="7"/>
  <c r="O67" i="7"/>
  <c r="O715" i="7"/>
  <c r="O979" i="7"/>
  <c r="O947" i="7"/>
  <c r="O915" i="7"/>
  <c r="O883" i="7"/>
  <c r="O851" i="7"/>
  <c r="O819" i="7"/>
  <c r="O787" i="7"/>
  <c r="O755" i="7"/>
  <c r="O723" i="7"/>
  <c r="O691" i="7"/>
  <c r="O634" i="7"/>
  <c r="O507" i="7"/>
  <c r="O411" i="7"/>
  <c r="O282" i="7"/>
  <c r="O35" i="7"/>
  <c r="O978" i="7"/>
  <c r="O946" i="7"/>
  <c r="O914" i="7"/>
  <c r="O882" i="7"/>
  <c r="O850" i="7"/>
  <c r="O818" i="7"/>
  <c r="O786" i="7"/>
  <c r="O754" i="7"/>
  <c r="O722" i="7"/>
  <c r="O690" i="7"/>
  <c r="O619" i="7"/>
  <c r="O491" i="7"/>
  <c r="O395" i="7"/>
  <c r="O259" i="7"/>
  <c r="O650" i="7"/>
  <c r="O602" i="7"/>
  <c r="O570" i="7"/>
  <c r="O522" i="7"/>
  <c r="O442" i="7"/>
  <c r="O410" i="7"/>
  <c r="O378" i="7"/>
  <c r="O330" i="7"/>
  <c r="O298" i="7"/>
  <c r="O258" i="7"/>
  <c r="O226" i="7"/>
  <c r="O130" i="7"/>
  <c r="O34" i="7"/>
  <c r="O1001" i="7"/>
  <c r="O993" i="7"/>
  <c r="O985" i="7"/>
  <c r="O977" i="7"/>
  <c r="O969" i="7"/>
  <c r="O961" i="7"/>
  <c r="O953" i="7"/>
  <c r="O945" i="7"/>
  <c r="O937" i="7"/>
  <c r="O929" i="7"/>
  <c r="O921" i="7"/>
  <c r="O913" i="7"/>
  <c r="O905" i="7"/>
  <c r="O897" i="7"/>
  <c r="O889" i="7"/>
  <c r="O881" i="7"/>
  <c r="O873" i="7"/>
  <c r="O865" i="7"/>
  <c r="O857" i="7"/>
  <c r="O849" i="7"/>
  <c r="O841" i="7"/>
  <c r="O833" i="7"/>
  <c r="O825" i="7"/>
  <c r="O817" i="7"/>
  <c r="O809" i="7"/>
  <c r="O801" i="7"/>
  <c r="O793" i="7"/>
  <c r="O785" i="7"/>
  <c r="O777" i="7"/>
  <c r="O769" i="7"/>
  <c r="O761" i="7"/>
  <c r="O753" i="7"/>
  <c r="O745" i="7"/>
  <c r="O737" i="7"/>
  <c r="O729" i="7"/>
  <c r="O721" i="7"/>
  <c r="O713" i="7"/>
  <c r="O705" i="7"/>
  <c r="O697" i="7"/>
  <c r="O689" i="7"/>
  <c r="O680" i="7"/>
  <c r="O664" i="7"/>
  <c r="O648" i="7"/>
  <c r="O632" i="7"/>
  <c r="O616" i="7"/>
  <c r="O600" i="7"/>
  <c r="O584" i="7"/>
  <c r="O568" i="7"/>
  <c r="O552" i="7"/>
  <c r="O536" i="7"/>
  <c r="O520" i="7"/>
  <c r="O504" i="7"/>
  <c r="O488" i="7"/>
  <c r="O472" i="7"/>
  <c r="O456" i="7"/>
  <c r="O440" i="7"/>
  <c r="O424" i="7"/>
  <c r="O408" i="7"/>
  <c r="O392" i="7"/>
  <c r="O376" i="7"/>
  <c r="O360" i="7"/>
  <c r="O344" i="7"/>
  <c r="O328" i="7"/>
  <c r="O312" i="7"/>
  <c r="O296" i="7"/>
  <c r="O275" i="7"/>
  <c r="O251" i="7"/>
  <c r="O219" i="7"/>
  <c r="O187" i="7"/>
  <c r="O155" i="7"/>
  <c r="O123" i="7"/>
  <c r="O91" i="7"/>
  <c r="O59" i="7"/>
  <c r="O27" i="7"/>
  <c r="O586" i="7"/>
  <c r="O538" i="7"/>
  <c r="O506" i="7"/>
  <c r="O426" i="7"/>
  <c r="O394" i="7"/>
  <c r="O346" i="7"/>
  <c r="O314" i="7"/>
  <c r="O276" i="7"/>
  <c r="O194" i="7"/>
  <c r="O162" i="7"/>
  <c r="O66" i="7"/>
  <c r="O1000" i="7"/>
  <c r="O992" i="7"/>
  <c r="O984" i="7"/>
  <c r="O976" i="7"/>
  <c r="O968" i="7"/>
  <c r="O960" i="7"/>
  <c r="O952" i="7"/>
  <c r="O944" i="7"/>
  <c r="O936" i="7"/>
  <c r="O928" i="7"/>
  <c r="O920" i="7"/>
  <c r="O912" i="7"/>
  <c r="O904" i="7"/>
  <c r="O896" i="7"/>
  <c r="O888" i="7"/>
  <c r="O880" i="7"/>
  <c r="O872" i="7"/>
  <c r="O864" i="7"/>
  <c r="O856" i="7"/>
  <c r="O848" i="7"/>
  <c r="O840" i="7"/>
  <c r="O832" i="7"/>
  <c r="O824" i="7"/>
  <c r="O816" i="7"/>
  <c r="O808" i="7"/>
  <c r="O800" i="7"/>
  <c r="O792" i="7"/>
  <c r="O784" i="7"/>
  <c r="O776" i="7"/>
  <c r="O768" i="7"/>
  <c r="O760" i="7"/>
  <c r="O752" i="7"/>
  <c r="O744" i="7"/>
  <c r="O736" i="7"/>
  <c r="O728" i="7"/>
  <c r="O720" i="7"/>
  <c r="O712" i="7"/>
  <c r="O704" i="7"/>
  <c r="O696" i="7"/>
  <c r="O688" i="7"/>
  <c r="O676" i="7"/>
  <c r="O660" i="7"/>
  <c r="O644" i="7"/>
  <c r="O628" i="7"/>
  <c r="O612" i="7"/>
  <c r="O596" i="7"/>
  <c r="O580" i="7"/>
  <c r="O564" i="7"/>
  <c r="O548" i="7"/>
  <c r="O532" i="7"/>
  <c r="O516" i="7"/>
  <c r="O500" i="7"/>
  <c r="O484" i="7"/>
  <c r="O468" i="7"/>
  <c r="O452" i="7"/>
  <c r="O436" i="7"/>
  <c r="O420" i="7"/>
  <c r="O404" i="7"/>
  <c r="O388" i="7"/>
  <c r="O372" i="7"/>
  <c r="O356" i="7"/>
  <c r="O340" i="7"/>
  <c r="O324" i="7"/>
  <c r="O308" i="7"/>
  <c r="O292" i="7"/>
  <c r="O274" i="7"/>
  <c r="O250" i="7"/>
  <c r="O218" i="7"/>
  <c r="O186" i="7"/>
  <c r="O154" i="7"/>
  <c r="O122" i="7"/>
  <c r="O90" i="7"/>
  <c r="O58" i="7"/>
  <c r="O26" i="7"/>
  <c r="O618" i="7"/>
  <c r="O554" i="7"/>
  <c r="O458" i="7"/>
  <c r="O362" i="7"/>
  <c r="O98" i="7"/>
  <c r="O999" i="7"/>
  <c r="O991" i="7"/>
  <c r="O983" i="7"/>
  <c r="O975" i="7"/>
  <c r="O967" i="7"/>
  <c r="O959" i="7"/>
  <c r="O951" i="7"/>
  <c r="O943" i="7"/>
  <c r="O935" i="7"/>
  <c r="O927" i="7"/>
  <c r="O919" i="7"/>
  <c r="O911" i="7"/>
  <c r="O903" i="7"/>
  <c r="O895" i="7"/>
  <c r="O887" i="7"/>
  <c r="O879" i="7"/>
  <c r="O871" i="7"/>
  <c r="O863" i="7"/>
  <c r="O855" i="7"/>
  <c r="O847" i="7"/>
  <c r="O839" i="7"/>
  <c r="O831" i="7"/>
  <c r="O823" i="7"/>
  <c r="O815" i="7"/>
  <c r="O807" i="7"/>
  <c r="O799" i="7"/>
  <c r="O791" i="7"/>
  <c r="O783" i="7"/>
  <c r="O775" i="7"/>
  <c r="O767" i="7"/>
  <c r="O759" i="7"/>
  <c r="O751" i="7"/>
  <c r="O743" i="7"/>
  <c r="O735" i="7"/>
  <c r="O727" i="7"/>
  <c r="O719" i="7"/>
  <c r="O711" i="7"/>
  <c r="O703" i="7"/>
  <c r="O695" i="7"/>
  <c r="O687" i="7"/>
  <c r="O675" i="7"/>
  <c r="O659" i="7"/>
  <c r="O643" i="7"/>
  <c r="O627" i="7"/>
  <c r="O611" i="7"/>
  <c r="O595" i="7"/>
  <c r="O579" i="7"/>
  <c r="O563" i="7"/>
  <c r="O547" i="7"/>
  <c r="O531" i="7"/>
  <c r="O515" i="7"/>
  <c r="O499" i="7"/>
  <c r="O483" i="7"/>
  <c r="O467" i="7"/>
  <c r="O451" i="7"/>
  <c r="O435" i="7"/>
  <c r="O419" i="7"/>
  <c r="O403" i="7"/>
  <c r="O387" i="7"/>
  <c r="O371" i="7"/>
  <c r="O355" i="7"/>
  <c r="O339" i="7"/>
  <c r="O323" i="7"/>
  <c r="O307" i="7"/>
  <c r="O291" i="7"/>
  <c r="O268" i="7"/>
  <c r="O243" i="7"/>
  <c r="O211" i="7"/>
  <c r="O179" i="7"/>
  <c r="O147" i="7"/>
  <c r="O115" i="7"/>
  <c r="O83" i="7"/>
  <c r="O51" i="7"/>
  <c r="M4" i="7"/>
  <c r="P4" i="7" s="1"/>
  <c r="O12" i="7"/>
  <c r="O20" i="7"/>
  <c r="O28" i="7"/>
  <c r="O36" i="7"/>
  <c r="O44" i="7"/>
  <c r="O52" i="7"/>
  <c r="O60" i="7"/>
  <c r="O68" i="7"/>
  <c r="O76" i="7"/>
  <c r="O84" i="7"/>
  <c r="O92" i="7"/>
  <c r="O100" i="7"/>
  <c r="O108" i="7"/>
  <c r="O116" i="7"/>
  <c r="O124" i="7"/>
  <c r="O132" i="7"/>
  <c r="O140" i="7"/>
  <c r="O148" i="7"/>
  <c r="O156" i="7"/>
  <c r="O164" i="7"/>
  <c r="O172" i="7"/>
  <c r="O180" i="7"/>
  <c r="O188" i="7"/>
  <c r="O196" i="7"/>
  <c r="O204" i="7"/>
  <c r="O212" i="7"/>
  <c r="O220" i="7"/>
  <c r="O228" i="7"/>
  <c r="O236" i="7"/>
  <c r="O244" i="7"/>
  <c r="O252" i="7"/>
  <c r="O5" i="7"/>
  <c r="O13" i="7"/>
  <c r="O21" i="7"/>
  <c r="O29" i="7"/>
  <c r="O37" i="7"/>
  <c r="O45" i="7"/>
  <c r="O53" i="7"/>
  <c r="O61" i="7"/>
  <c r="O69" i="7"/>
  <c r="O77" i="7"/>
  <c r="O85" i="7"/>
  <c r="O93" i="7"/>
  <c r="O101" i="7"/>
  <c r="O109" i="7"/>
  <c r="O117" i="7"/>
  <c r="O125" i="7"/>
  <c r="O133" i="7"/>
  <c r="O141" i="7"/>
  <c r="O149" i="7"/>
  <c r="O157" i="7"/>
  <c r="O165" i="7"/>
  <c r="O173" i="7"/>
  <c r="O181" i="7"/>
  <c r="O189" i="7"/>
  <c r="O197" i="7"/>
  <c r="O205" i="7"/>
  <c r="O213" i="7"/>
  <c r="O221" i="7"/>
  <c r="O229" i="7"/>
  <c r="O237" i="7"/>
  <c r="O245" i="7"/>
  <c r="O253" i="7"/>
  <c r="O261" i="7"/>
  <c r="O269" i="7"/>
  <c r="O277" i="7"/>
  <c r="O285" i="7"/>
  <c r="O293" i="7"/>
  <c r="O301" i="7"/>
  <c r="O309" i="7"/>
  <c r="O317" i="7"/>
  <c r="O325" i="7"/>
  <c r="O333" i="7"/>
  <c r="O341" i="7"/>
  <c r="O349" i="7"/>
  <c r="O357" i="7"/>
  <c r="O365" i="7"/>
  <c r="O373" i="7"/>
  <c r="O381" i="7"/>
  <c r="O389" i="7"/>
  <c r="O397" i="7"/>
  <c r="O405" i="7"/>
  <c r="O413" i="7"/>
  <c r="O421" i="7"/>
  <c r="O429" i="7"/>
  <c r="O437" i="7"/>
  <c r="O445" i="7"/>
  <c r="O453" i="7"/>
  <c r="O461" i="7"/>
  <c r="O469" i="7"/>
  <c r="O477" i="7"/>
  <c r="O485" i="7"/>
  <c r="O493" i="7"/>
  <c r="O501" i="7"/>
  <c r="O509" i="7"/>
  <c r="O517" i="7"/>
  <c r="O525" i="7"/>
  <c r="O533" i="7"/>
  <c r="O541" i="7"/>
  <c r="O549" i="7"/>
  <c r="O557" i="7"/>
  <c r="O565" i="7"/>
  <c r="O573" i="7"/>
  <c r="O581" i="7"/>
  <c r="O589" i="7"/>
  <c r="O597" i="7"/>
  <c r="O605" i="7"/>
  <c r="O613" i="7"/>
  <c r="O621" i="7"/>
  <c r="O629" i="7"/>
  <c r="O637" i="7"/>
  <c r="O645" i="7"/>
  <c r="O653" i="7"/>
  <c r="O661" i="7"/>
  <c r="O669" i="7"/>
  <c r="O677" i="7"/>
  <c r="O6" i="7"/>
  <c r="O14" i="7"/>
  <c r="O22" i="7"/>
  <c r="O30" i="7"/>
  <c r="O38" i="7"/>
  <c r="O46" i="7"/>
  <c r="O54" i="7"/>
  <c r="O62" i="7"/>
  <c r="O70" i="7"/>
  <c r="O78" i="7"/>
  <c r="O86" i="7"/>
  <c r="O94" i="7"/>
  <c r="O102" i="7"/>
  <c r="O110" i="7"/>
  <c r="O118" i="7"/>
  <c r="O126" i="7"/>
  <c r="O134" i="7"/>
  <c r="O142" i="7"/>
  <c r="O150" i="7"/>
  <c r="O158" i="7"/>
  <c r="O166" i="7"/>
  <c r="O174" i="7"/>
  <c r="O182" i="7"/>
  <c r="O190" i="7"/>
  <c r="O198" i="7"/>
  <c r="O206" i="7"/>
  <c r="O214" i="7"/>
  <c r="O222" i="7"/>
  <c r="O230" i="7"/>
  <c r="O238" i="7"/>
  <c r="O246" i="7"/>
  <c r="O254" i="7"/>
  <c r="O262" i="7"/>
  <c r="O270" i="7"/>
  <c r="O278" i="7"/>
  <c r="O286" i="7"/>
  <c r="O294" i="7"/>
  <c r="O302" i="7"/>
  <c r="O310" i="7"/>
  <c r="O318" i="7"/>
  <c r="O326" i="7"/>
  <c r="O334" i="7"/>
  <c r="O342" i="7"/>
  <c r="O350" i="7"/>
  <c r="O358" i="7"/>
  <c r="O366" i="7"/>
  <c r="O374" i="7"/>
  <c r="O382" i="7"/>
  <c r="O390" i="7"/>
  <c r="O398" i="7"/>
  <c r="O406" i="7"/>
  <c r="O414" i="7"/>
  <c r="O422" i="7"/>
  <c r="O430" i="7"/>
  <c r="O438" i="7"/>
  <c r="O446" i="7"/>
  <c r="O454" i="7"/>
  <c r="O462" i="7"/>
  <c r="O470" i="7"/>
  <c r="O478" i="7"/>
  <c r="O486" i="7"/>
  <c r="O494" i="7"/>
  <c r="O502" i="7"/>
  <c r="O510" i="7"/>
  <c r="O518" i="7"/>
  <c r="O526" i="7"/>
  <c r="O534" i="7"/>
  <c r="O542" i="7"/>
  <c r="O550" i="7"/>
  <c r="O558" i="7"/>
  <c r="O566" i="7"/>
  <c r="O574" i="7"/>
  <c r="O582" i="7"/>
  <c r="O590" i="7"/>
  <c r="O598" i="7"/>
  <c r="O606" i="7"/>
  <c r="O614" i="7"/>
  <c r="O622" i="7"/>
  <c r="O630" i="7"/>
  <c r="O638" i="7"/>
  <c r="O646" i="7"/>
  <c r="O654" i="7"/>
  <c r="O662" i="7"/>
  <c r="O670" i="7"/>
  <c r="O678" i="7"/>
  <c r="O7" i="7"/>
  <c r="O15" i="7"/>
  <c r="O23" i="7"/>
  <c r="O31" i="7"/>
  <c r="O39" i="7"/>
  <c r="O47" i="7"/>
  <c r="O55" i="7"/>
  <c r="O63" i="7"/>
  <c r="O71" i="7"/>
  <c r="O79" i="7"/>
  <c r="O87" i="7"/>
  <c r="O95" i="7"/>
  <c r="O103" i="7"/>
  <c r="O111" i="7"/>
  <c r="O119" i="7"/>
  <c r="O127" i="7"/>
  <c r="O135" i="7"/>
  <c r="O143" i="7"/>
  <c r="O151" i="7"/>
  <c r="O159" i="7"/>
  <c r="O167" i="7"/>
  <c r="O175" i="7"/>
  <c r="O183" i="7"/>
  <c r="O191" i="7"/>
  <c r="O199" i="7"/>
  <c r="O207" i="7"/>
  <c r="O215" i="7"/>
  <c r="O223" i="7"/>
  <c r="O231" i="7"/>
  <c r="O239" i="7"/>
  <c r="O247" i="7"/>
  <c r="O255" i="7"/>
  <c r="O263" i="7"/>
  <c r="O271" i="7"/>
  <c r="O279" i="7"/>
  <c r="O287" i="7"/>
  <c r="O295" i="7"/>
  <c r="O303" i="7"/>
  <c r="O311" i="7"/>
  <c r="O319" i="7"/>
  <c r="O327" i="7"/>
  <c r="O335" i="7"/>
  <c r="O343" i="7"/>
  <c r="O351" i="7"/>
  <c r="O359" i="7"/>
  <c r="O367" i="7"/>
  <c r="O375" i="7"/>
  <c r="O383" i="7"/>
  <c r="O391" i="7"/>
  <c r="O399" i="7"/>
  <c r="O407" i="7"/>
  <c r="O415" i="7"/>
  <c r="O423" i="7"/>
  <c r="O431" i="7"/>
  <c r="O439" i="7"/>
  <c r="O447" i="7"/>
  <c r="O455" i="7"/>
  <c r="O463" i="7"/>
  <c r="O471" i="7"/>
  <c r="O479" i="7"/>
  <c r="O487" i="7"/>
  <c r="O495" i="7"/>
  <c r="O503" i="7"/>
  <c r="O511" i="7"/>
  <c r="O519" i="7"/>
  <c r="O527" i="7"/>
  <c r="O535" i="7"/>
  <c r="O543" i="7"/>
  <c r="O551" i="7"/>
  <c r="O559" i="7"/>
  <c r="O567" i="7"/>
  <c r="O575" i="7"/>
  <c r="O583" i="7"/>
  <c r="O591" i="7"/>
  <c r="O599" i="7"/>
  <c r="O607" i="7"/>
  <c r="O615" i="7"/>
  <c r="O623" i="7"/>
  <c r="O631" i="7"/>
  <c r="O639" i="7"/>
  <c r="O647" i="7"/>
  <c r="O655" i="7"/>
  <c r="O663" i="7"/>
  <c r="O671" i="7"/>
  <c r="O679" i="7"/>
  <c r="O8" i="7"/>
  <c r="O16" i="7"/>
  <c r="O24" i="7"/>
  <c r="O32" i="7"/>
  <c r="O40" i="7"/>
  <c r="O48" i="7"/>
  <c r="O56" i="7"/>
  <c r="O64" i="7"/>
  <c r="O72" i="7"/>
  <c r="O80" i="7"/>
  <c r="O88" i="7"/>
  <c r="O96" i="7"/>
  <c r="O104" i="7"/>
  <c r="O112" i="7"/>
  <c r="O120" i="7"/>
  <c r="O128" i="7"/>
  <c r="O136" i="7"/>
  <c r="O144" i="7"/>
  <c r="O152" i="7"/>
  <c r="O160" i="7"/>
  <c r="O168" i="7"/>
  <c r="O176" i="7"/>
  <c r="O184" i="7"/>
  <c r="O192" i="7"/>
  <c r="O200" i="7"/>
  <c r="O208" i="7"/>
  <c r="O216" i="7"/>
  <c r="O224" i="7"/>
  <c r="O232" i="7"/>
  <c r="O240" i="7"/>
  <c r="O248" i="7"/>
  <c r="O256" i="7"/>
  <c r="O264" i="7"/>
  <c r="O272" i="7"/>
  <c r="O280" i="7"/>
  <c r="O288" i="7"/>
  <c r="O9" i="7"/>
  <c r="O17" i="7"/>
  <c r="O25" i="7"/>
  <c r="O33" i="7"/>
  <c r="O41" i="7"/>
  <c r="O49" i="7"/>
  <c r="O57" i="7"/>
  <c r="O65" i="7"/>
  <c r="O73" i="7"/>
  <c r="O81" i="7"/>
  <c r="O89" i="7"/>
  <c r="O97" i="7"/>
  <c r="O105" i="7"/>
  <c r="O113" i="7"/>
  <c r="O121" i="7"/>
  <c r="O129" i="7"/>
  <c r="O137" i="7"/>
  <c r="O145" i="7"/>
  <c r="O153" i="7"/>
  <c r="O161" i="7"/>
  <c r="O169" i="7"/>
  <c r="O177" i="7"/>
  <c r="O185" i="7"/>
  <c r="O193" i="7"/>
  <c r="O201" i="7"/>
  <c r="O209" i="7"/>
  <c r="O217" i="7"/>
  <c r="O225" i="7"/>
  <c r="O233" i="7"/>
  <c r="O241" i="7"/>
  <c r="O249" i="7"/>
  <c r="O257" i="7"/>
  <c r="O265" i="7"/>
  <c r="O273" i="7"/>
  <c r="O281" i="7"/>
  <c r="O289" i="7"/>
  <c r="O297" i="7"/>
  <c r="O305" i="7"/>
  <c r="O313" i="7"/>
  <c r="O321" i="7"/>
  <c r="O329" i="7"/>
  <c r="O337" i="7"/>
  <c r="O345" i="7"/>
  <c r="O353" i="7"/>
  <c r="O361" i="7"/>
  <c r="O369" i="7"/>
  <c r="O377" i="7"/>
  <c r="O385" i="7"/>
  <c r="O393" i="7"/>
  <c r="O401" i="7"/>
  <c r="O409" i="7"/>
  <c r="O417" i="7"/>
  <c r="O425" i="7"/>
  <c r="O433" i="7"/>
  <c r="O441" i="7"/>
  <c r="O449" i="7"/>
  <c r="O457" i="7"/>
  <c r="O465" i="7"/>
  <c r="O473" i="7"/>
  <c r="O481" i="7"/>
  <c r="O489" i="7"/>
  <c r="O497" i="7"/>
  <c r="O505" i="7"/>
  <c r="O513" i="7"/>
  <c r="O521" i="7"/>
  <c r="O529" i="7"/>
  <c r="O537" i="7"/>
  <c r="O545" i="7"/>
  <c r="O553" i="7"/>
  <c r="O561" i="7"/>
  <c r="O569" i="7"/>
  <c r="O577" i="7"/>
  <c r="O585" i="7"/>
  <c r="O593" i="7"/>
  <c r="O601" i="7"/>
  <c r="O609" i="7"/>
  <c r="O617" i="7"/>
  <c r="O625" i="7"/>
  <c r="O633" i="7"/>
  <c r="O641" i="7"/>
  <c r="O649" i="7"/>
  <c r="O657" i="7"/>
  <c r="O665" i="7"/>
  <c r="O673" i="7"/>
  <c r="O681" i="7"/>
  <c r="O998" i="7"/>
  <c r="O990" i="7"/>
  <c r="O982" i="7"/>
  <c r="O974" i="7"/>
  <c r="O966" i="7"/>
  <c r="O958" i="7"/>
  <c r="O950" i="7"/>
  <c r="O942" i="7"/>
  <c r="O934" i="7"/>
  <c r="O926" i="7"/>
  <c r="O918" i="7"/>
  <c r="O910" i="7"/>
  <c r="O902" i="7"/>
  <c r="O894" i="7"/>
  <c r="O886" i="7"/>
  <c r="O878" i="7"/>
  <c r="O870" i="7"/>
  <c r="O862" i="7"/>
  <c r="O854" i="7"/>
  <c r="O846" i="7"/>
  <c r="O838" i="7"/>
  <c r="O830" i="7"/>
  <c r="O822" i="7"/>
  <c r="O814" i="7"/>
  <c r="O806" i="7"/>
  <c r="O798" i="7"/>
  <c r="O790" i="7"/>
  <c r="O782" i="7"/>
  <c r="O774" i="7"/>
  <c r="O766" i="7"/>
  <c r="O758" i="7"/>
  <c r="O750" i="7"/>
  <c r="O742" i="7"/>
  <c r="O734" i="7"/>
  <c r="O726" i="7"/>
  <c r="O718" i="7"/>
  <c r="O710" i="7"/>
  <c r="O702" i="7"/>
  <c r="O694" i="7"/>
  <c r="O686" i="7"/>
  <c r="O674" i="7"/>
  <c r="O658" i="7"/>
  <c r="O642" i="7"/>
  <c r="O626" i="7"/>
  <c r="O610" i="7"/>
  <c r="O594" i="7"/>
  <c r="O578" i="7"/>
  <c r="O562" i="7"/>
  <c r="O546" i="7"/>
  <c r="O530" i="7"/>
  <c r="O514" i="7"/>
  <c r="O498" i="7"/>
  <c r="O482" i="7"/>
  <c r="O466" i="7"/>
  <c r="O450" i="7"/>
  <c r="O434" i="7"/>
  <c r="O418" i="7"/>
  <c r="O402" i="7"/>
  <c r="O386" i="7"/>
  <c r="O370" i="7"/>
  <c r="O354" i="7"/>
  <c r="O338" i="7"/>
  <c r="O322" i="7"/>
  <c r="O306" i="7"/>
  <c r="O290" i="7"/>
  <c r="O267" i="7"/>
  <c r="O242" i="7"/>
  <c r="O210" i="7"/>
  <c r="O178" i="7"/>
  <c r="O146" i="7"/>
  <c r="O114" i="7"/>
  <c r="O82" i="7"/>
  <c r="O50" i="7"/>
  <c r="O18" i="7"/>
  <c r="O997" i="7"/>
  <c r="O989" i="7"/>
  <c r="O981" i="7"/>
  <c r="O973" i="7"/>
  <c r="O965" i="7"/>
  <c r="O957" i="7"/>
  <c r="O949" i="7"/>
  <c r="O941" i="7"/>
  <c r="O933" i="7"/>
  <c r="O925" i="7"/>
  <c r="O917" i="7"/>
  <c r="O909" i="7"/>
  <c r="O901" i="7"/>
  <c r="O893" i="7"/>
  <c r="O885" i="7"/>
  <c r="O877" i="7"/>
  <c r="O869" i="7"/>
  <c r="O861" i="7"/>
  <c r="O853" i="7"/>
  <c r="O845" i="7"/>
  <c r="O837" i="7"/>
  <c r="O829" i="7"/>
  <c r="O821" i="7"/>
  <c r="O813" i="7"/>
  <c r="O805" i="7"/>
  <c r="O797" i="7"/>
  <c r="O789" i="7"/>
  <c r="O781" i="7"/>
  <c r="O773" i="7"/>
  <c r="O765" i="7"/>
  <c r="O757" i="7"/>
  <c r="O749" i="7"/>
  <c r="O741" i="7"/>
  <c r="O733" i="7"/>
  <c r="O725" i="7"/>
  <c r="O717" i="7"/>
  <c r="O709" i="7"/>
  <c r="O701" i="7"/>
  <c r="O693" i="7"/>
  <c r="O685" i="7"/>
  <c r="O672" i="7"/>
  <c r="O656" i="7"/>
  <c r="O640" i="7"/>
  <c r="O624" i="7"/>
  <c r="O608" i="7"/>
  <c r="O592" i="7"/>
  <c r="O576" i="7"/>
  <c r="O560" i="7"/>
  <c r="O544" i="7"/>
  <c r="O528" i="7"/>
  <c r="O512" i="7"/>
  <c r="O496" i="7"/>
  <c r="O480" i="7"/>
  <c r="O464" i="7"/>
  <c r="O448" i="7"/>
  <c r="O432" i="7"/>
  <c r="O416" i="7"/>
  <c r="O400" i="7"/>
  <c r="O384" i="7"/>
  <c r="O368" i="7"/>
  <c r="O352" i="7"/>
  <c r="O336" i="7"/>
  <c r="O320" i="7"/>
  <c r="O304" i="7"/>
  <c r="O284" i="7"/>
  <c r="O266" i="7"/>
  <c r="O235" i="7"/>
  <c r="O203" i="7"/>
  <c r="O171" i="7"/>
  <c r="O139" i="7"/>
  <c r="O107" i="7"/>
  <c r="O75" i="7"/>
  <c r="O43" i="7"/>
  <c r="O11" i="7"/>
  <c r="O996" i="7"/>
  <c r="O988" i="7"/>
  <c r="O980" i="7"/>
  <c r="O972" i="7"/>
  <c r="O964" i="7"/>
  <c r="O956" i="7"/>
  <c r="O948" i="7"/>
  <c r="O940" i="7"/>
  <c r="O932" i="7"/>
  <c r="O924" i="7"/>
  <c r="O916" i="7"/>
  <c r="O908" i="7"/>
  <c r="O900" i="7"/>
  <c r="O892" i="7"/>
  <c r="O884" i="7"/>
  <c r="O876" i="7"/>
  <c r="O868" i="7"/>
  <c r="O860" i="7"/>
  <c r="O852" i="7"/>
  <c r="O844" i="7"/>
  <c r="O836" i="7"/>
  <c r="O828" i="7"/>
  <c r="O820" i="7"/>
  <c r="O812" i="7"/>
  <c r="O804" i="7"/>
  <c r="O796" i="7"/>
  <c r="O788" i="7"/>
  <c r="O780" i="7"/>
  <c r="O772" i="7"/>
  <c r="O764" i="7"/>
  <c r="O756" i="7"/>
  <c r="O748" i="7"/>
  <c r="O740" i="7"/>
  <c r="O732" i="7"/>
  <c r="O724" i="7"/>
  <c r="O716" i="7"/>
  <c r="O708" i="7"/>
  <c r="O700" i="7"/>
  <c r="O692" i="7"/>
  <c r="O684" i="7"/>
  <c r="O668" i="7"/>
  <c r="O652" i="7"/>
  <c r="O636" i="7"/>
  <c r="O620" i="7"/>
  <c r="O604" i="7"/>
  <c r="O588" i="7"/>
  <c r="O572" i="7"/>
  <c r="O556" i="7"/>
  <c r="O540" i="7"/>
  <c r="O524" i="7"/>
  <c r="O508" i="7"/>
  <c r="O492" i="7"/>
  <c r="O476" i="7"/>
  <c r="O460" i="7"/>
  <c r="O444" i="7"/>
  <c r="O428" i="7"/>
  <c r="O412" i="7"/>
  <c r="O396" i="7"/>
  <c r="O380" i="7"/>
  <c r="O364" i="7"/>
  <c r="O348" i="7"/>
  <c r="O332" i="7"/>
  <c r="O316" i="7"/>
  <c r="O300" i="7"/>
  <c r="O283" i="7"/>
  <c r="O260" i="7"/>
  <c r="O234" i="7"/>
  <c r="O202" i="7"/>
  <c r="O170" i="7"/>
  <c r="O138" i="7"/>
  <c r="O106" i="7"/>
  <c r="O74" i="7"/>
  <c r="O42" i="7"/>
  <c r="O10" i="7"/>
  <c r="AD8" i="16"/>
  <c r="AD7" i="16"/>
  <c r="AB7" i="16"/>
  <c r="F22" i="16"/>
  <c r="T4" i="13" l="1"/>
  <c r="D6" i="14" s="1"/>
  <c r="E6" i="14" s="1"/>
  <c r="O4" i="13"/>
  <c r="R4" i="13" s="1"/>
  <c r="S4" i="13" s="1"/>
  <c r="C6" i="14" s="1"/>
  <c r="L3" i="14" s="1" a="1"/>
  <c r="O4" i="12"/>
  <c r="R4" i="12" s="1"/>
  <c r="S4" i="12" s="1"/>
  <c r="C5" i="14" s="1"/>
  <c r="K3" i="14" s="1" a="1"/>
  <c r="K3" i="14" s="1"/>
  <c r="P4" i="12"/>
  <c r="T4" i="12" s="1"/>
  <c r="D5" i="14" s="1"/>
  <c r="E5" i="14" s="1"/>
  <c r="O4" i="9"/>
  <c r="R4" i="9" s="1"/>
  <c r="S4" i="9" s="1"/>
  <c r="C4" i="14" s="1"/>
  <c r="J3" i="14" s="1" a="1"/>
  <c r="J3" i="14" s="1"/>
  <c r="N3" i="14" s="1" a="1"/>
  <c r="N3" i="14" s="1"/>
  <c r="P4" i="9"/>
  <c r="T4" i="9" s="1"/>
  <c r="D4" i="14" s="1"/>
  <c r="E4" i="14" s="1"/>
  <c r="T4" i="7"/>
  <c r="O4" i="7"/>
  <c r="R4" i="7" s="1"/>
  <c r="S4" i="7" s="1"/>
  <c r="C3" i="14" s="1"/>
  <c r="I3" i="14" s="1" a="1"/>
  <c r="I3" i="14" s="1"/>
  <c r="F24" i="16"/>
  <c r="W33" i="16" s="1"/>
  <c r="O3" i="14" l="1" a="1"/>
  <c r="O3" i="14" s="1"/>
  <c r="L3" i="14"/>
  <c r="P3" i="14" s="1" a="1"/>
  <c r="P3" i="14" s="1"/>
  <c r="M3" i="14" a="1"/>
  <c r="M3" i="14" s="1"/>
  <c r="S7" i="7"/>
  <c r="S8" i="7" s="1"/>
  <c r="D3" i="14"/>
  <c r="E3" i="14" s="1"/>
  <c r="W15" i="16"/>
  <c r="Y15" i="16" s="1"/>
  <c r="W27" i="16"/>
  <c r="Y27" i="16" s="1"/>
  <c r="W53" i="16"/>
  <c r="Y53" i="16" s="1"/>
  <c r="W22" i="16"/>
  <c r="Y22" i="16" s="1"/>
  <c r="W37" i="16"/>
  <c r="Y37" i="16" s="1"/>
  <c r="W46" i="16"/>
  <c r="Y46" i="16" s="1"/>
  <c r="W21" i="16"/>
  <c r="Y21" i="16" s="1"/>
  <c r="W23" i="16"/>
  <c r="Y23" i="16" s="1"/>
  <c r="W42" i="16"/>
  <c r="Y42" i="16" s="1"/>
  <c r="W18" i="16"/>
  <c r="Y18" i="16" s="1"/>
  <c r="W50" i="16"/>
  <c r="Y50" i="16" s="1"/>
  <c r="W7" i="16"/>
  <c r="Y7" i="16" s="1"/>
  <c r="W41" i="16"/>
  <c r="Y41" i="16" s="1"/>
  <c r="W11" i="16"/>
  <c r="Y11" i="16" s="1"/>
  <c r="W32" i="16"/>
  <c r="Y32" i="16" s="1"/>
  <c r="W39" i="16"/>
  <c r="Y39" i="16" s="1"/>
  <c r="W26" i="16"/>
  <c r="Y26" i="16" s="1"/>
  <c r="W25" i="16"/>
  <c r="Y25" i="16" s="1"/>
  <c r="W44" i="16"/>
  <c r="Y44" i="16" s="1"/>
  <c r="W49" i="16"/>
  <c r="Y49" i="16" s="1"/>
  <c r="W47" i="16"/>
  <c r="Y47" i="16" s="1"/>
  <c r="W17" i="16"/>
  <c r="Y17" i="16" s="1"/>
  <c r="W51" i="16"/>
  <c r="Y51" i="16" s="1"/>
  <c r="W52" i="16"/>
  <c r="Y52" i="16" s="1"/>
  <c r="W19" i="16"/>
  <c r="Y19" i="16" s="1"/>
  <c r="W28" i="16"/>
  <c r="Y28" i="16" s="1"/>
  <c r="W24" i="16"/>
  <c r="Y24" i="16" s="1"/>
  <c r="W43" i="16"/>
  <c r="Y43" i="16" s="1"/>
  <c r="W48" i="16"/>
  <c r="Y48" i="16" s="1"/>
  <c r="W36" i="16"/>
  <c r="W35" i="16"/>
  <c r="Y35" i="16" s="1"/>
  <c r="W40" i="16"/>
  <c r="Y40" i="16" s="1"/>
  <c r="W54" i="16"/>
  <c r="Y54" i="16" s="1"/>
  <c r="W12" i="16"/>
  <c r="Y12" i="16" s="1"/>
  <c r="W31" i="16"/>
  <c r="Y31" i="16" s="1"/>
  <c r="W45" i="16"/>
  <c r="W38" i="16"/>
  <c r="W10" i="16"/>
  <c r="W55" i="16"/>
  <c r="Y55" i="16" s="1"/>
  <c r="W16" i="16"/>
  <c r="W20" i="16"/>
  <c r="Y20" i="16" s="1"/>
  <c r="W9" i="16"/>
  <c r="W34" i="16"/>
  <c r="W29" i="16"/>
  <c r="Y29" i="16" s="1"/>
  <c r="Y33" i="16"/>
  <c r="W14" i="16"/>
  <c r="Y14" i="16" s="1"/>
  <c r="W8" i="16"/>
  <c r="W13" i="16"/>
  <c r="W30" i="16"/>
  <c r="Q3" i="14" l="1" a="1"/>
  <c r="Q3" i="14" s="1"/>
  <c r="U1" i="14" s="1"/>
  <c r="Y36" i="16"/>
  <c r="Y38" i="16"/>
  <c r="Y34" i="16"/>
  <c r="Y9" i="16"/>
  <c r="Y45" i="16"/>
  <c r="Y10" i="16"/>
  <c r="Y16" i="16"/>
  <c r="Y30" i="16"/>
  <c r="Y8" i="16"/>
  <c r="Y13" i="16"/>
  <c r="V1" i="14" l="1"/>
  <c r="W1" i="14" s="1"/>
  <c r="Y5" i="16"/>
  <c r="X46" i="16" s="1"/>
  <c r="X8" i="16" l="1"/>
  <c r="X25" i="16"/>
  <c r="X52" i="16"/>
  <c r="X10" i="16"/>
  <c r="X30" i="16"/>
  <c r="X45" i="16"/>
  <c r="X35" i="16"/>
  <c r="X54" i="16"/>
  <c r="X12" i="16"/>
  <c r="X26" i="16"/>
  <c r="X44" i="16"/>
  <c r="X17" i="16"/>
  <c r="X11" i="16"/>
  <c r="X18" i="16"/>
  <c r="X36" i="16"/>
  <c r="X41" i="16"/>
  <c r="X39" i="16"/>
  <c r="X16" i="16"/>
  <c r="X42" i="16"/>
  <c r="X33" i="16"/>
  <c r="X15" i="16"/>
  <c r="X40" i="16"/>
  <c r="X22" i="16"/>
  <c r="X34" i="16"/>
  <c r="X23" i="16"/>
  <c r="X28" i="16"/>
  <c r="X9" i="16"/>
  <c r="X37" i="16"/>
  <c r="X14" i="16"/>
  <c r="X38" i="16"/>
  <c r="X47" i="16"/>
  <c r="X19" i="16"/>
  <c r="X13" i="16"/>
  <c r="X55" i="16"/>
  <c r="X32" i="16"/>
  <c r="X43" i="16"/>
  <c r="X21" i="16"/>
  <c r="X48" i="16"/>
  <c r="X53" i="16"/>
  <c r="X20" i="16"/>
  <c r="X24" i="16"/>
  <c r="X31" i="16"/>
  <c r="X29" i="16"/>
  <c r="X50" i="16"/>
  <c r="X7" i="16"/>
  <c r="T5" i="14" a="1"/>
  <c r="T5" i="14" s="1"/>
  <c r="U5" i="14" s="1" a="1"/>
  <c r="U5" i="14" s="1"/>
  <c r="V5" i="14" s="1" a="1"/>
  <c r="V5" i="14" s="1"/>
  <c r="X49" i="16"/>
  <c r="X51" i="16"/>
  <c r="X27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balanceSheet" description="Connection to the 'balanceSheet' query in the workbook." type="5" refreshedVersion="8" background="1" saveData="1">
    <dbPr connection="Provider=Microsoft.Mashup.OleDb.1;Data Source=$Workbook$;Location=balanceSheet;Extended Properties=&quot;&quot;" command="SELECT * FROM [balanceSheet]"/>
  </connection>
  <connection id="2" xr16:uid="{00000000-0015-0000-FFFF-FFFF01000000}" keepAlive="1" name="Query - fnMC" description="Connection to the 'fnMC' query in the workbook." type="5" refreshedVersion="0" background="1">
    <dbPr connection="Provider=Microsoft.Mashup.OleDb.1;Data Source=$Workbook$;Location=fnMC;Extended Properties=&quot;&quot;" command="SELECT * FROM [fnMC]"/>
  </connection>
  <connection id="3" xr16:uid="{00000000-0015-0000-FFFF-FFFF02000000}" keepAlive="1" name="Query - fnStocksList" description="Connection to the 'fnStocksList' query in the workbook." type="5" refreshedVersion="0" background="1">
    <dbPr connection="Provider=Microsoft.Mashup.OleDb.1;Data Source=$Workbook$;Location=fnStocksList;Extended Properties=&quot;&quot;" command="SELECT * FROM [fnStocksList]"/>
  </connection>
  <connection id="4" xr16:uid="{00000000-0015-0000-FFFF-FFFF03000000}" keepAlive="1" name="Query - Query2" description="Connection to the 'Query2' query in the workbook." type="5" refreshedVersion="0" background="1">
    <dbPr connection="Provider=Microsoft.Mashup.OleDb.1;Data Source=$Workbook$;Location=Query2;Extended Properties=&quot;&quot;" command="SELECT * FROM [Query2]"/>
  </connection>
  <connection id="5" xr16:uid="{00000000-0015-0000-FFFF-FFFF04000000}" keepAlive="1" name="Query - tbl" description="Connection to the 'tbl' query in the workbook." type="5" refreshedVersion="8" background="1" saveData="1">
    <dbPr connection="Provider=Microsoft.Mashup.OleDb.1;Data Source=$Workbook$;Location=tbl;Extended Properties=&quot;&quot;" command="SELECT * FROM [tbl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<sst xmlns="http://schemas.openxmlformats.org/spreadsheetml/2006/main" count="187" uniqueCount="72">
  <si>
    <t>Contingent Liabilities</t>
  </si>
  <si>
    <t>Total Assets</t>
  </si>
  <si>
    <t>PD</t>
  </si>
  <si>
    <t>Vodafone Idea</t>
  </si>
  <si>
    <t>SD</t>
  </si>
  <si>
    <t>TA</t>
  </si>
  <si>
    <t>Mar '25</t>
  </si>
  <si>
    <t>Mar '24</t>
  </si>
  <si>
    <t>Mar '23</t>
  </si>
  <si>
    <t>Mar '22</t>
  </si>
  <si>
    <t>Mar '21</t>
  </si>
  <si>
    <t>Mar '20</t>
  </si>
  <si>
    <t>Mar '19</t>
  </si>
  <si>
    <t>Mar '18</t>
  </si>
  <si>
    <t>Mar '17</t>
  </si>
  <si>
    <t>Mar '16</t>
  </si>
  <si>
    <t>Mar '15</t>
  </si>
  <si>
    <t>Total Debt</t>
  </si>
  <si>
    <t>Mean</t>
  </si>
  <si>
    <t>TD</t>
  </si>
  <si>
    <t>Mar '14</t>
  </si>
  <si>
    <t>Mar '13</t>
  </si>
  <si>
    <t>Mar '12</t>
  </si>
  <si>
    <t>Mar '11</t>
  </si>
  <si>
    <t>Mar '10</t>
  </si>
  <si>
    <t>Mar '09</t>
  </si>
  <si>
    <t>Mar '08</t>
  </si>
  <si>
    <t>Mar '07</t>
  </si>
  <si>
    <t>Mar '06</t>
  </si>
  <si>
    <t>Mar '05</t>
  </si>
  <si>
    <t>Mar '04</t>
  </si>
  <si>
    <t>TVS Motors</t>
  </si>
  <si>
    <t>Adani Enterprises</t>
  </si>
  <si>
    <t>EAD</t>
  </si>
  <si>
    <t>D1</t>
  </si>
  <si>
    <t>D2</t>
  </si>
  <si>
    <t>D3</t>
  </si>
  <si>
    <t>D4</t>
  </si>
  <si>
    <t>L1</t>
  </si>
  <si>
    <t>L2</t>
  </si>
  <si>
    <t>L3</t>
  </si>
  <si>
    <t>L4</t>
  </si>
  <si>
    <t>Total Loss</t>
  </si>
  <si>
    <t>alpha</t>
  </si>
  <si>
    <t>beta</t>
  </si>
  <si>
    <t>from</t>
  </si>
  <si>
    <t>to</t>
  </si>
  <si>
    <t>count</t>
  </si>
  <si>
    <t># σ's</t>
  </si>
  <si>
    <t>Observations</t>
  </si>
  <si>
    <t>Prob dist</t>
  </si>
  <si>
    <t>Test</t>
  </si>
  <si>
    <t>For st line</t>
  </si>
  <si>
    <t>Months</t>
  </si>
  <si>
    <t>Asset growth</t>
  </si>
  <si>
    <t>FV Default point</t>
  </si>
  <si>
    <t>ESTIMATED VARIABLES</t>
  </si>
  <si>
    <r>
      <t xml:space="preserve">Current MV of </t>
    </r>
    <r>
      <rPr>
        <sz val="11"/>
        <color indexed="10"/>
        <rFont val="Calibri"/>
        <family val="2"/>
      </rPr>
      <t>assets</t>
    </r>
  </si>
  <si>
    <r>
      <t xml:space="preserve">Future MV of </t>
    </r>
    <r>
      <rPr>
        <sz val="11"/>
        <color indexed="10"/>
        <rFont val="Calibri"/>
        <family val="2"/>
      </rPr>
      <t>assets</t>
    </r>
  </si>
  <si>
    <r>
      <t>Volatility of</t>
    </r>
    <r>
      <rPr>
        <sz val="11"/>
        <color indexed="10"/>
        <rFont val="Calibri"/>
        <family val="2"/>
      </rPr>
      <t xml:space="preserve"> assets</t>
    </r>
    <r>
      <rPr>
        <sz val="11"/>
        <rFont val="Calibri"/>
        <family val="2"/>
      </rPr>
      <t xml:space="preserve"> (%)</t>
    </r>
  </si>
  <si>
    <r>
      <t>PV Volatility of</t>
    </r>
    <r>
      <rPr>
        <sz val="11"/>
        <color indexed="10"/>
        <rFont val="Calibri"/>
        <family val="2"/>
      </rPr>
      <t xml:space="preserve"> assets</t>
    </r>
    <r>
      <rPr>
        <sz val="11"/>
        <rFont val="Calibri"/>
        <family val="2"/>
      </rPr>
      <t xml:space="preserve"> (R)</t>
    </r>
  </si>
  <si>
    <r>
      <t>FV Volatility of</t>
    </r>
    <r>
      <rPr>
        <sz val="11"/>
        <color indexed="10"/>
        <rFont val="Calibri"/>
        <family val="2"/>
      </rPr>
      <t xml:space="preserve"> assets</t>
    </r>
    <r>
      <rPr>
        <sz val="11"/>
        <rFont val="Calibri"/>
        <family val="2"/>
      </rPr>
      <t xml:space="preserve"> (R)</t>
    </r>
  </si>
  <si>
    <t>Longer term liabilities</t>
  </si>
  <si>
    <t>Sequent Scientific</t>
  </si>
  <si>
    <t>Default Flag</t>
  </si>
  <si>
    <r>
      <t>N</t>
    </r>
    <r>
      <rPr>
        <vertAlign val="subscript"/>
        <sz val="11"/>
        <color theme="1"/>
        <rFont val="Calibri"/>
        <family val="2"/>
        <scheme val="minor"/>
      </rPr>
      <t>d</t>
    </r>
  </si>
  <si>
    <t>Sim</t>
  </si>
  <si>
    <t>LGD</t>
  </si>
  <si>
    <r>
      <t>N</t>
    </r>
    <r>
      <rPr>
        <vertAlign val="subscript"/>
        <sz val="11"/>
        <color theme="1"/>
        <rFont val="CMU Sans Serif"/>
      </rPr>
      <t>d</t>
    </r>
  </si>
  <si>
    <t>Standard Deviation</t>
  </si>
  <si>
    <t>Returns</t>
  </si>
  <si>
    <t>in ₹ lakh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</si>
</sst>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#,##0.000"/>
    <numFmt numFmtId="166" formatCode="0.0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MU Sans Serif"/>
      <family val="2"/>
    </font>
    <font>
      <sz val="11"/>
      <color rgb="FF9C5700"/>
      <name val="CMU Sans Serif"/>
      <family val="2"/>
    </font>
    <font>
      <sz val="8"/>
      <name val="Arial"/>
      <family val="2"/>
    </font>
    <font>
      <sz val="11"/>
      <color indexed="10"/>
      <name val="Calibri"/>
      <family val="2"/>
      <scheme val="minor"/>
    </font>
    <font>
      <sz val="11"/>
      <name val="Calibri"/>
      <family val="2"/>
      <scheme val="minor"/>
    </font>
    <font>
      <sz val="11"/>
      <color indexed="10"/>
      <name val="Calibri"/>
      <family val="2"/>
    </font>
    <font>
      <sz val="11"/>
      <name val="Calibri"/>
      <family val="2"/>
    </font>
    <font>
      <vertAlign val="subscript"/>
      <sz val="11"/>
      <color theme="1"/>
      <name val="Calibri"/>
      <family val="2"/>
      <scheme val="minor"/>
    </font>
    <font>
      <sz val="11"/>
      <color theme="1"/>
      <name val="CMU Sans Serif"/>
    </font>
    <font>
      <sz val="11"/>
      <color theme="0"/>
      <name val="CMU Sans Serif"/>
    </font>
    <font>
      <vertAlign val="subscript"/>
      <sz val="11"/>
      <color theme="1"/>
      <name val="CMU Sans Serif"/>
    </font>
    <font>
      <sz val="11"/>
      <color theme="0" tint="-4.9989318521683403E-2"/>
      <name val="Calibri"/>
      <family val="2"/>
      <scheme val="minor"/>
    </font>
    <font>
      <sz val="8"/>
      <color theme="0" tint="-4.9989318521683403E-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4" fillId="2" borderId="0" applyNumberFormat="0" applyBorder="0" applyAlignment="0" applyProtection="0"/>
    <xf numFmtId="9" fontId="3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3"/>
    <xf numFmtId="0" fontId="5" fillId="0" borderId="0" xfId="6"/>
    <xf numFmtId="0" fontId="6" fillId="0" borderId="0" xfId="6" applyFont="1" applyAlignment="1">
      <alignment horizontal="center" vertical="center"/>
    </xf>
    <xf numFmtId="0" fontId="7" fillId="0" borderId="0" xfId="6" applyFont="1" applyAlignment="1">
      <alignment horizontal="center" vertical="center"/>
    </xf>
    <xf numFmtId="1" fontId="7" fillId="0" borderId="0" xfId="6" applyNumberFormat="1" applyFont="1" applyAlignment="1">
      <alignment horizontal="center" vertical="center"/>
    </xf>
    <xf numFmtId="1" fontId="7" fillId="3" borderId="2" xfId="6" applyNumberFormat="1" applyFont="1" applyFill="1" applyBorder="1" applyAlignment="1">
      <alignment horizontal="center" vertical="center"/>
    </xf>
    <xf numFmtId="0" fontId="7" fillId="4" borderId="1" xfId="6" applyFont="1" applyFill="1" applyBorder="1" applyAlignment="1">
      <alignment horizontal="center" vertical="center"/>
    </xf>
    <xf numFmtId="1" fontId="7" fillId="4" borderId="1" xfId="6" applyNumberFormat="1" applyFont="1" applyFill="1" applyBorder="1" applyAlignment="1">
      <alignment horizontal="center" vertical="center"/>
    </xf>
    <xf numFmtId="1" fontId="7" fillId="4" borderId="3" xfId="6" applyNumberFormat="1" applyFont="1" applyFill="1" applyBorder="1" applyAlignment="1">
      <alignment horizontal="center" vertical="center"/>
    </xf>
    <xf numFmtId="10" fontId="7" fillId="0" borderId="0" xfId="6" applyNumberFormat="1" applyFont="1" applyAlignment="1">
      <alignment horizontal="center"/>
    </xf>
    <xf numFmtId="2" fontId="7" fillId="0" borderId="1" xfId="6" applyNumberFormat="1" applyFont="1" applyBorder="1" applyAlignment="1">
      <alignment horizontal="center" vertical="center"/>
    </xf>
    <xf numFmtId="1" fontId="7" fillId="0" borderId="1" xfId="6" applyNumberFormat="1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165" fontId="1" fillId="0" borderId="0" xfId="7" applyNumberFormat="1" applyFont="1" applyFill="1" applyBorder="1" applyAlignment="1">
      <alignment horizontal="center" vertical="center"/>
    </xf>
    <xf numFmtId="165" fontId="1" fillId="0" borderId="0" xfId="6" applyNumberFormat="1" applyFont="1" applyAlignment="1">
      <alignment horizontal="center" vertical="center"/>
    </xf>
    <xf numFmtId="10" fontId="1" fillId="0" borderId="0" xfId="7" applyNumberFormat="1" applyFont="1" applyFill="1" applyBorder="1" applyAlignment="1">
      <alignment horizontal="center" vertical="center"/>
    </xf>
    <xf numFmtId="10" fontId="1" fillId="0" borderId="0" xfId="6" applyNumberFormat="1" applyFont="1" applyAlignment="1">
      <alignment horizontal="center" vertical="center"/>
    </xf>
    <xf numFmtId="4" fontId="1" fillId="0" borderId="0" xfId="7" applyNumberFormat="1" applyFont="1" applyFill="1" applyBorder="1" applyAlignment="1">
      <alignment horizontal="center" vertical="center"/>
    </xf>
    <xf numFmtId="4" fontId="1" fillId="0" borderId="0" xfId="6" applyNumberFormat="1" applyFont="1" applyAlignment="1">
      <alignment horizontal="center" vertical="center"/>
    </xf>
    <xf numFmtId="3" fontId="7" fillId="0" borderId="0" xfId="7" applyNumberFormat="1" applyFont="1" applyFill="1" applyBorder="1" applyAlignment="1">
      <alignment horizontal="center" vertical="center"/>
    </xf>
    <xf numFmtId="2" fontId="7" fillId="0" borderId="0" xfId="6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10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12" fillId="8" borderId="0" xfId="0" applyFont="1" applyFill="1" applyAlignment="1">
      <alignment horizontal="center"/>
    </xf>
    <xf numFmtId="2" fontId="11" fillId="7" borderId="0" xfId="0" applyNumberFormat="1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2" fontId="11" fillId="0" borderId="0" xfId="1" applyNumberFormat="1" applyFont="1" applyAlignment="1">
      <alignment horizontal="center"/>
    </xf>
    <xf numFmtId="164" fontId="11" fillId="0" borderId="0" xfId="1" applyNumberFormat="1" applyFont="1" applyAlignment="1">
      <alignment horizontal="center"/>
    </xf>
    <xf numFmtId="0" fontId="11" fillId="9" borderId="0" xfId="0" applyFont="1" applyFill="1" applyAlignment="1">
      <alignment horizontal="center"/>
    </xf>
    <xf numFmtId="10" fontId="11" fillId="0" borderId="0" xfId="2" applyNumberFormat="1" applyFont="1" applyAlignment="1">
      <alignment horizontal="center"/>
    </xf>
    <xf numFmtId="0" fontId="11" fillId="0" borderId="0" xfId="2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0" fontId="11" fillId="0" borderId="0" xfId="2" applyNumberFormat="1" applyFont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2" fontId="11" fillId="0" borderId="0" xfId="1" applyNumberFormat="1" applyFont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166" fontId="11" fillId="0" borderId="0" xfId="2" applyNumberFormat="1" applyFont="1" applyAlignment="1">
      <alignment horizontal="center"/>
    </xf>
    <xf numFmtId="9" fontId="11" fillId="0" borderId="0" xfId="2" applyNumberFormat="1" applyFont="1" applyAlignment="1">
      <alignment horizontal="center"/>
    </xf>
    <xf numFmtId="9" fontId="11" fillId="7" borderId="0" xfId="2" applyNumberFormat="1" applyFont="1" applyFill="1" applyAlignment="1">
      <alignment horizontal="center"/>
    </xf>
    <xf numFmtId="0" fontId="14" fillId="8" borderId="0" xfId="0" applyFont="1" applyFill="1" applyBorder="1" applyAlignment="1">
      <alignment horizontal="center"/>
    </xf>
    <xf numFmtId="0" fontId="14" fillId="8" borderId="0" xfId="0" applyFont="1" applyFill="1" applyBorder="1" applyAlignment="1">
      <alignment horizontal="center" vertical="top" wrapText="1"/>
    </xf>
    <xf numFmtId="0" fontId="14" fillId="8" borderId="0" xfId="0" applyFont="1" applyFill="1" applyBorder="1" applyAlignment="1">
      <alignment horizontal="center" vertical="center"/>
    </xf>
    <xf numFmtId="0" fontId="14" fillId="11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15" fillId="8" borderId="0" xfId="0" applyFont="1" applyFill="1" applyBorder="1" applyAlignment="1">
      <alignment horizontal="left"/>
    </xf>
    <xf numFmtId="0" fontId="2" fillId="5" borderId="0" xfId="6" applyFont="1" applyFill="1" applyAlignment="1">
      <alignment horizontal="center" vertical="center"/>
    </xf>
    <xf numFmtId="0" fontId="7" fillId="6" borderId="0" xfId="6" applyFont="1" applyFill="1" applyAlignment="1">
      <alignment horizontal="center" vertical="center"/>
    </xf>
  </cellXfs>
  <cellStyles count="8">
    <cellStyle name="Comma" xfId="1" builtinId="3"/>
    <cellStyle name="Neutral 2" xfId="4" xr:uid="{2F74C57C-8081-4E9C-AD0E-0749ECD4E48E}"/>
    <cellStyle name="Normal" xfId="0" builtinId="0"/>
    <cellStyle name="Normal 2" xfId="3" xr:uid="{E6FDB5D0-F4E2-42D0-AA30-978896BB500C}"/>
    <cellStyle name="Normal 2 2" xfId="6" xr:uid="{AF8D3ED5-2BCC-401C-B6A5-3E9D009804D6}"/>
    <cellStyle name="Per cent" xfId="2" builtinId="5"/>
    <cellStyle name="Percent 2" xfId="5" xr:uid="{C32EB58B-C876-47E0-A7CF-B8DC8B2AC7E6}"/>
    <cellStyle name="Percent 2 2" xfId="7" xr:uid="{7ACAE381-B613-4E4C-A51E-67F597FB9B44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5100036148176"/>
          <c:y val="0.12007502325271735"/>
          <c:w val="0.79232652804626968"/>
          <c:h val="0.649414023643906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'TVS Motors'!$C$2</c:f>
              <c:strCache>
                <c:ptCount val="1"/>
                <c:pt idx="0">
                  <c:v>Total Debt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'TVS Motors'!$C$3:$C$23</c:f>
              <c:numCache>
                <c:formatCode>0.00</c:formatCode>
                <c:ptCount val="21"/>
                <c:pt idx="0">
                  <c:v>192.5</c:v>
                </c:pt>
                <c:pt idx="1">
                  <c:v>396.79</c:v>
                </c:pt>
                <c:pt idx="2">
                  <c:v>663.92</c:v>
                </c:pt>
                <c:pt idx="3">
                  <c:v>807.61</c:v>
                </c:pt>
                <c:pt idx="4">
                  <c:v>1119.99</c:v>
                </c:pt>
                <c:pt idx="5">
                  <c:v>1183.42</c:v>
                </c:pt>
                <c:pt idx="6">
                  <c:v>870.12</c:v>
                </c:pt>
                <c:pt idx="7">
                  <c:v>1145.28</c:v>
                </c:pt>
                <c:pt idx="8">
                  <c:v>917.55</c:v>
                </c:pt>
                <c:pt idx="9">
                  <c:v>625.89</c:v>
                </c:pt>
                <c:pt idx="10">
                  <c:v>1025.07</c:v>
                </c:pt>
                <c:pt idx="11">
                  <c:v>899.3</c:v>
                </c:pt>
                <c:pt idx="12">
                  <c:v>1242.08</c:v>
                </c:pt>
                <c:pt idx="13">
                  <c:v>5553.39</c:v>
                </c:pt>
                <c:pt idx="14">
                  <c:v>8162.97</c:v>
                </c:pt>
                <c:pt idx="15">
                  <c:v>9001.93</c:v>
                </c:pt>
                <c:pt idx="16">
                  <c:v>9349.51</c:v>
                </c:pt>
                <c:pt idx="17">
                  <c:v>15297.28</c:v>
                </c:pt>
                <c:pt idx="18">
                  <c:v>21626.23</c:v>
                </c:pt>
                <c:pt idx="19">
                  <c:v>25286.62</c:v>
                </c:pt>
                <c:pt idx="20">
                  <c:v>27615.759999999998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6-448D-A11F-093F46A17C93}"/>
            </c:ext>
          </c:extLst>
        </c:ser>
        <c:ser>
          <c:idx val="1"/>
          <c:order val="1"/>
          <c:tx>
            <c:strRef>
              <c:f>'TVS Motors'!$D$2</c:f>
              <c:strCache>
                <c:ptCount val="1"/>
                <c:pt idx="0">
                  <c:v>Total Assets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'TVS Motors'!$D$3:$D$23</c:f>
              <c:numCache>
                <c:formatCode>0.00</c:formatCode>
                <c:ptCount val="21"/>
                <c:pt idx="0">
                  <c:v>857.49</c:v>
                </c:pt>
                <c:pt idx="1">
                  <c:v>1146.8900000000001</c:v>
                </c:pt>
                <c:pt idx="2">
                  <c:v>1470.81</c:v>
                </c:pt>
                <c:pt idx="3">
                  <c:v>1559.5</c:v>
                </c:pt>
                <c:pt idx="4">
                  <c:v>1749.94</c:v>
                </c:pt>
                <c:pt idx="5">
                  <c:v>1816.46</c:v>
                </c:pt>
                <c:pt idx="6">
                  <c:v>1558.45</c:v>
                </c:pt>
                <c:pt idx="7">
                  <c:v>1876.52</c:v>
                </c:pt>
                <c:pt idx="8">
                  <c:v>1822.72</c:v>
                </c:pt>
                <c:pt idx="9">
                  <c:v>1641.69</c:v>
                </c:pt>
                <c:pt idx="10">
                  <c:v>2256.46</c:v>
                </c:pt>
                <c:pt idx="11">
                  <c:v>2717.27</c:v>
                </c:pt>
                <c:pt idx="12">
                  <c:v>3466.9</c:v>
                </c:pt>
                <c:pt idx="13">
                  <c:v>10749.63</c:v>
                </c:pt>
                <c:pt idx="14">
                  <c:v>11578.91</c:v>
                </c:pt>
                <c:pt idx="15">
                  <c:v>12604.97</c:v>
                </c:pt>
                <c:pt idx="16">
                  <c:v>13564.02</c:v>
                </c:pt>
                <c:pt idx="17">
                  <c:v>20350.29</c:v>
                </c:pt>
                <c:pt idx="18">
                  <c:v>27536.080000000002</c:v>
                </c:pt>
                <c:pt idx="19">
                  <c:v>32797.730000000003</c:v>
                </c:pt>
                <c:pt idx="20">
                  <c:v>37058.03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26-448D-A11F-093F46A17C93}"/>
            </c:ext>
          </c:extLst>
        </c:ser>
        <c:ser>
          <c:idx val="2"/>
          <c:order val="2"/>
          <c:tx>
            <c:strRef>
              <c:f>'TVS Motors'!$E$2</c:f>
              <c:strCache>
                <c:ptCount val="1"/>
                <c:pt idx="0">
                  <c:v>Contingent Liabilities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'TVS Motors'!$E$3:$E$23</c:f>
              <c:numCache>
                <c:formatCode>0.00</c:formatCode>
                <c:ptCount val="21"/>
                <c:pt idx="0">
                  <c:v>109.13</c:v>
                </c:pt>
                <c:pt idx="1">
                  <c:v>124.1</c:v>
                </c:pt>
                <c:pt idx="2">
                  <c:v>233.2</c:v>
                </c:pt>
                <c:pt idx="3">
                  <c:v>139.56</c:v>
                </c:pt>
                <c:pt idx="4">
                  <c:v>171.11</c:v>
                </c:pt>
                <c:pt idx="5">
                  <c:v>128.75</c:v>
                </c:pt>
                <c:pt idx="6">
                  <c:v>445.82</c:v>
                </c:pt>
                <c:pt idx="7">
                  <c:v>491.23</c:v>
                </c:pt>
                <c:pt idx="8">
                  <c:v>416.68</c:v>
                </c:pt>
                <c:pt idx="9">
                  <c:v>632.69000000000005</c:v>
                </c:pt>
                <c:pt idx="10">
                  <c:v>794.27</c:v>
                </c:pt>
                <c:pt idx="11">
                  <c:v>353.1</c:v>
                </c:pt>
                <c:pt idx="12">
                  <c:v>612.82000000000005</c:v>
                </c:pt>
                <c:pt idx="13">
                  <c:v>0</c:v>
                </c:pt>
                <c:pt idx="14">
                  <c:v>621.42999999999995</c:v>
                </c:pt>
                <c:pt idx="15">
                  <c:v>436.13</c:v>
                </c:pt>
                <c:pt idx="16">
                  <c:v>629.15</c:v>
                </c:pt>
                <c:pt idx="17">
                  <c:v>716.64</c:v>
                </c:pt>
                <c:pt idx="18">
                  <c:v>660.49</c:v>
                </c:pt>
                <c:pt idx="19">
                  <c:v>1158.95</c:v>
                </c:pt>
                <c:pt idx="20">
                  <c:v>878.71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26-448D-A11F-093F46A17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84352"/>
        <c:axId val="77781472"/>
      </c:barChart>
      <c:lineChart>
        <c:grouping val="standard"/>
        <c:varyColors val="0"/>
        <c:ser>
          <c:idx val="3"/>
          <c:order val="3"/>
          <c:tx>
            <c:strRef>
              <c:f>'TVS Motors'!$G$2</c:f>
              <c:strCache>
                <c:ptCount val="1"/>
                <c:pt idx="0">
                  <c:v>Returns</c:v>
                </c:pt>
              </c:strCache>
            </c:strRef>
          </c:tx>
          <c:spPr>
            <a:ln w="317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'TVS Motors'!$G$3:$G$23</c:f>
              <c:numCache>
                <c:formatCode>0.00%</c:formatCode>
                <c:ptCount val="21"/>
                <c:pt idx="1">
                  <c:v>0.33749664719122108</c:v>
                </c:pt>
                <c:pt idx="2">
                  <c:v>0.28243336326936297</c:v>
                </c:pt>
                <c:pt idx="3">
                  <c:v>6.030010674390307E-2</c:v>
                </c:pt>
                <c:pt idx="4">
                  <c:v>0.12211606284065413</c:v>
                </c:pt>
                <c:pt idx="5">
                  <c:v>3.8012731865092464E-2</c:v>
                </c:pt>
                <c:pt idx="6">
                  <c:v>-0.14204001189126103</c:v>
                </c:pt>
                <c:pt idx="7">
                  <c:v>0.20409381115852288</c:v>
                </c:pt>
                <c:pt idx="8">
                  <c:v>-2.8670091445867851E-2</c:v>
                </c:pt>
                <c:pt idx="9">
                  <c:v>-9.9318600772471899E-2</c:v>
                </c:pt>
                <c:pt idx="10">
                  <c:v>0.37447386534607618</c:v>
                </c:pt>
                <c:pt idx="11">
                  <c:v>0.20421811155526792</c:v>
                </c:pt>
                <c:pt idx="12">
                  <c:v>0.27587615511156427</c:v>
                </c:pt>
                <c:pt idx="13">
                  <c:v>2.1006461103579563</c:v>
                </c:pt>
                <c:pt idx="14">
                  <c:v>7.714498080399057E-2</c:v>
                </c:pt>
                <c:pt idx="15">
                  <c:v>8.8614558710621294E-2</c:v>
                </c:pt>
                <c:pt idx="16">
                  <c:v>7.6085068032688774E-2</c:v>
                </c:pt>
                <c:pt idx="17">
                  <c:v>0.50031406618391894</c:v>
                </c:pt>
                <c:pt idx="18">
                  <c:v>0.35310504174633395</c:v>
                </c:pt>
                <c:pt idx="19">
                  <c:v>0.1910820276524472</c:v>
                </c:pt>
                <c:pt idx="20">
                  <c:v>0.12989618488840526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26-448D-A11F-093F46A17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788192"/>
        <c:axId val="77789152"/>
      </c:lineChart>
      <c:catAx>
        <c:axId val="777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1472"/>
        <c:crosses val="autoZero"/>
        <c:auto val="1"/>
        <c:lblAlgn val="ctr"/>
        <c:lblOffset val="100"/>
        <c:noMultiLvlLbl val="0"/>
      </c:catAx>
      <c:valAx>
        <c:axId val="7778147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4352"/>
        <c:crosses val="autoZero"/>
        <c:crossBetween val="between"/>
      </c:valAx>
      <c:valAx>
        <c:axId val="7778915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8192"/>
        <c:crosses val="max"/>
        <c:crossBetween val="between"/>
      </c:valAx>
      <c:catAx>
        <c:axId val="77788192"/>
        <c:scaling>
          <c:orientation val="minMax"/>
        </c:scaling>
        <c:delete val="1"/>
        <c:axPos val="b"/>
        <c:majorTickMark val="none"/>
        <c:minorTickMark val="none"/>
        <c:tickLblPos val="nextTo"/>
        <c:crossAx val="77789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88648293963255"/>
          <c:y val="0.20642446814933149"/>
          <c:w val="0.77057414698162729"/>
          <c:h val="0.599480140725560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'Adani Enterprises'!$C$2</c:f>
              <c:strCache>
                <c:ptCount val="1"/>
                <c:pt idx="0">
                  <c:v>Total Debt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'Adani Enterprises'!$C$3:$C$24</c:f>
              <c:numCache>
                <c:formatCode>0.00</c:formatCode>
                <c:ptCount val="22"/>
                <c:pt idx="0">
                  <c:v>383.75</c:v>
                </c:pt>
                <c:pt idx="1">
                  <c:v>844.16</c:v>
                </c:pt>
                <c:pt idx="2">
                  <c:v>1351.23</c:v>
                </c:pt>
                <c:pt idx="3">
                  <c:v>4289.01</c:v>
                </c:pt>
                <c:pt idx="4">
                  <c:v>6149.18</c:v>
                </c:pt>
                <c:pt idx="5">
                  <c:v>11861.08</c:v>
                </c:pt>
                <c:pt idx="6">
                  <c:v>16788.95</c:v>
                </c:pt>
                <c:pt idx="7">
                  <c:v>30601.56</c:v>
                </c:pt>
                <c:pt idx="8">
                  <c:v>65230.86</c:v>
                </c:pt>
                <c:pt idx="9">
                  <c:v>61762.28</c:v>
                </c:pt>
                <c:pt idx="10">
                  <c:v>64979.040000000001</c:v>
                </c:pt>
                <c:pt idx="11">
                  <c:v>74899.960000000006</c:v>
                </c:pt>
                <c:pt idx="12">
                  <c:v>18015.03</c:v>
                </c:pt>
                <c:pt idx="13">
                  <c:v>19853.21</c:v>
                </c:pt>
                <c:pt idx="14">
                  <c:v>17150.97</c:v>
                </c:pt>
                <c:pt idx="15">
                  <c:v>9951.36</c:v>
                </c:pt>
                <c:pt idx="16">
                  <c:v>11652.65</c:v>
                </c:pt>
                <c:pt idx="17">
                  <c:v>15293.31</c:v>
                </c:pt>
                <c:pt idx="18">
                  <c:v>41663.769999999997</c:v>
                </c:pt>
                <c:pt idx="19">
                  <c:v>38319.620000000003</c:v>
                </c:pt>
                <c:pt idx="20">
                  <c:v>53925</c:v>
                </c:pt>
                <c:pt idx="21">
                  <c:v>78860.41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C-4136-B307-CC1960A2D57A}"/>
            </c:ext>
          </c:extLst>
        </c:ser>
        <c:ser>
          <c:idx val="1"/>
          <c:order val="1"/>
          <c:tx>
            <c:strRef>
              <c:f>'Adani Enterprises'!$D$2</c:f>
              <c:strCache>
                <c:ptCount val="1"/>
                <c:pt idx="0">
                  <c:v>Total Assets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'Adani Enterprises'!$D$3:$D$24</c:f>
              <c:numCache>
                <c:formatCode>0.00</c:formatCode>
                <c:ptCount val="22"/>
                <c:pt idx="0">
                  <c:v>1081.78</c:v>
                </c:pt>
                <c:pt idx="1">
                  <c:v>1587.11</c:v>
                </c:pt>
                <c:pt idx="2">
                  <c:v>2268.4899999999998</c:v>
                </c:pt>
                <c:pt idx="3">
                  <c:v>5744.5</c:v>
                </c:pt>
                <c:pt idx="4">
                  <c:v>9166.6200000000008</c:v>
                </c:pt>
                <c:pt idx="5">
                  <c:v>15993.82</c:v>
                </c:pt>
                <c:pt idx="6">
                  <c:v>26088.87</c:v>
                </c:pt>
                <c:pt idx="7">
                  <c:v>51837.05</c:v>
                </c:pt>
                <c:pt idx="8">
                  <c:v>88182.97</c:v>
                </c:pt>
                <c:pt idx="9">
                  <c:v>86454.87</c:v>
                </c:pt>
                <c:pt idx="10">
                  <c:v>93216.88</c:v>
                </c:pt>
                <c:pt idx="11">
                  <c:v>104729.62</c:v>
                </c:pt>
                <c:pt idx="12">
                  <c:v>31477.87</c:v>
                </c:pt>
                <c:pt idx="13">
                  <c:v>34551.43</c:v>
                </c:pt>
                <c:pt idx="14">
                  <c:v>32739.39</c:v>
                </c:pt>
                <c:pt idx="15">
                  <c:v>25095.07</c:v>
                </c:pt>
                <c:pt idx="16">
                  <c:v>29862.59</c:v>
                </c:pt>
                <c:pt idx="17">
                  <c:v>34203.32</c:v>
                </c:pt>
                <c:pt idx="18">
                  <c:v>67952.14</c:v>
                </c:pt>
                <c:pt idx="19">
                  <c:v>76209.67</c:v>
                </c:pt>
                <c:pt idx="20">
                  <c:v>94310.17</c:v>
                </c:pt>
                <c:pt idx="21">
                  <c:v>132706.85999999999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C-4136-B307-CC1960A2D57A}"/>
            </c:ext>
          </c:extLst>
        </c:ser>
        <c:ser>
          <c:idx val="2"/>
          <c:order val="2"/>
          <c:tx>
            <c:strRef>
              <c:f>'Adani Enterprises'!$E$2</c:f>
              <c:strCache>
                <c:ptCount val="1"/>
                <c:pt idx="0">
                  <c:v>Contingent Liabilities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'Adani Enterprises'!$E$3:$E$24</c:f>
              <c:numCache>
                <c:formatCode>0.00</c:formatCode>
                <c:ptCount val="22"/>
                <c:pt idx="0">
                  <c:v>900.49</c:v>
                </c:pt>
                <c:pt idx="1">
                  <c:v>1186.29</c:v>
                </c:pt>
                <c:pt idx="2">
                  <c:v>1194.46</c:v>
                </c:pt>
                <c:pt idx="3">
                  <c:v>947.23</c:v>
                </c:pt>
                <c:pt idx="4">
                  <c:v>1720.82</c:v>
                </c:pt>
                <c:pt idx="5">
                  <c:v>23783.07</c:v>
                </c:pt>
                <c:pt idx="6">
                  <c:v>9039.66</c:v>
                </c:pt>
                <c:pt idx="7">
                  <c:v>71405.2</c:v>
                </c:pt>
                <c:pt idx="8">
                  <c:v>29220.240000000002</c:v>
                </c:pt>
                <c:pt idx="9">
                  <c:v>33577.449999999997</c:v>
                </c:pt>
                <c:pt idx="10">
                  <c:v>13803.55</c:v>
                </c:pt>
                <c:pt idx="11">
                  <c:v>14613.08</c:v>
                </c:pt>
                <c:pt idx="12">
                  <c:v>9735.98</c:v>
                </c:pt>
                <c:pt idx="13">
                  <c:v>10445.64</c:v>
                </c:pt>
                <c:pt idx="14">
                  <c:v>10951.72</c:v>
                </c:pt>
                <c:pt idx="15">
                  <c:v>7804.46</c:v>
                </c:pt>
                <c:pt idx="16">
                  <c:v>12097.09</c:v>
                </c:pt>
                <c:pt idx="17">
                  <c:v>12661.1</c:v>
                </c:pt>
                <c:pt idx="18">
                  <c:v>23396.58</c:v>
                </c:pt>
                <c:pt idx="19">
                  <c:v>0</c:v>
                </c:pt>
                <c:pt idx="20">
                  <c:v>35441.43</c:v>
                </c:pt>
                <c:pt idx="21">
                  <c:v>37242.910000000003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DC-4136-B307-CC1960A2D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10272"/>
        <c:axId val="77810752"/>
      </c:barChart>
      <c:lineChart>
        <c:grouping val="standard"/>
        <c:varyColors val="0"/>
        <c:ser>
          <c:idx val="3"/>
          <c:order val="3"/>
          <c:tx>
            <c:strRef>
              <c:f>'Adani Enterprises'!$G$2</c:f>
              <c:strCache>
                <c:ptCount val="1"/>
                <c:pt idx="0">
                  <c:v>Returns</c:v>
                </c:pt>
              </c:strCache>
            </c:strRef>
          </c:tx>
          <c:spPr>
            <a:ln w="317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'Adani Enterprises'!$G$3:$G$24</c:f>
              <c:numCache>
                <c:formatCode>0.00%</c:formatCode>
                <c:ptCount val="22"/>
                <c:pt idx="1">
                  <c:v>0.4671282515853501</c:v>
                </c:pt>
                <c:pt idx="2">
                  <c:v>0.42932121907114174</c:v>
                </c:pt>
                <c:pt idx="3">
                  <c:v>1.5323012223990409</c:v>
                </c:pt>
                <c:pt idx="4">
                  <c:v>0.59572112455392134</c:v>
                </c:pt>
                <c:pt idx="5">
                  <c:v>0.74478924619979869</c:v>
                </c:pt>
                <c:pt idx="6">
                  <c:v>0.63118441998221808</c:v>
                </c:pt>
                <c:pt idx="7">
                  <c:v>0.98694117453151486</c:v>
                </c:pt>
                <c:pt idx="8">
                  <c:v>0.70115718390610571</c:v>
                </c:pt>
                <c:pt idx="9">
                  <c:v>-1.9596754339301636E-2</c:v>
                </c:pt>
                <c:pt idx="10">
                  <c:v>7.821433309656256E-2</c:v>
                </c:pt>
                <c:pt idx="11">
                  <c:v>0.12350488452306063</c:v>
                </c:pt>
                <c:pt idx="12">
                  <c:v>-0.69943679734539277</c:v>
                </c:pt>
                <c:pt idx="13">
                  <c:v>9.7641930664304821E-2</c:v>
                </c:pt>
                <c:pt idx="14">
                  <c:v>-5.244471791760863E-2</c:v>
                </c:pt>
                <c:pt idx="15">
                  <c:v>-0.23348999477387944</c:v>
                </c:pt>
                <c:pt idx="16">
                  <c:v>0.1899783503293675</c:v>
                </c:pt>
                <c:pt idx="17">
                  <c:v>0.145356782516185</c:v>
                </c:pt>
                <c:pt idx="18">
                  <c:v>0.98671181627982318</c:v>
                </c:pt>
                <c:pt idx="19">
                  <c:v>0.12151979319562267</c:v>
                </c:pt>
                <c:pt idx="20">
                  <c:v>0.23750922947179798</c:v>
                </c:pt>
                <c:pt idx="21">
                  <c:v>0.40713201980231806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DC-4136-B307-CC1960A2D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783872"/>
        <c:axId val="77791552"/>
      </c:lineChart>
      <c:catAx>
        <c:axId val="7781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10752"/>
        <c:crosses val="autoZero"/>
        <c:auto val="1"/>
        <c:lblAlgn val="ctr"/>
        <c:lblOffset val="100"/>
        <c:noMultiLvlLbl val="0"/>
      </c:catAx>
      <c:valAx>
        <c:axId val="7781075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10272"/>
        <c:crosses val="autoZero"/>
        <c:crossBetween val="between"/>
      </c:valAx>
      <c:valAx>
        <c:axId val="7779155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3872"/>
        <c:crosses val="max"/>
        <c:crossBetween val="between"/>
      </c:valAx>
      <c:catAx>
        <c:axId val="77783872"/>
        <c:scaling>
          <c:orientation val="minMax"/>
        </c:scaling>
        <c:delete val="1"/>
        <c:axPos val="b"/>
        <c:majorTickMark val="none"/>
        <c:minorTickMark val="none"/>
        <c:tickLblPos val="nextTo"/>
        <c:crossAx val="77791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330927384077"/>
          <c:y val="0.15277777777777779"/>
          <c:w val="0.76812970253718282"/>
          <c:h val="0.633919510061242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'Sequent Scientific'!$C$2</c:f>
              <c:strCache>
                <c:ptCount val="1"/>
                <c:pt idx="0">
                  <c:v>Total Debt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'Sequent Scientific'!$C$3:$C$21</c:f>
              <c:numCache>
                <c:formatCode>0.00</c:formatCode>
                <c:ptCount val="19"/>
                <c:pt idx="0">
                  <c:v>4.3600000000000003</c:v>
                </c:pt>
                <c:pt idx="1">
                  <c:v>25.21</c:v>
                </c:pt>
                <c:pt idx="2">
                  <c:v>96.99</c:v>
                </c:pt>
                <c:pt idx="3">
                  <c:v>175.12</c:v>
                </c:pt>
                <c:pt idx="4">
                  <c:v>190.04</c:v>
                </c:pt>
                <c:pt idx="5">
                  <c:v>204.41</c:v>
                </c:pt>
                <c:pt idx="6">
                  <c:v>289.8</c:v>
                </c:pt>
                <c:pt idx="7">
                  <c:v>377.69</c:v>
                </c:pt>
                <c:pt idx="8">
                  <c:v>454.62</c:v>
                </c:pt>
                <c:pt idx="9">
                  <c:v>267.36</c:v>
                </c:pt>
                <c:pt idx="10">
                  <c:v>359.84</c:v>
                </c:pt>
                <c:pt idx="11">
                  <c:v>255.96</c:v>
                </c:pt>
                <c:pt idx="12">
                  <c:v>266.69</c:v>
                </c:pt>
                <c:pt idx="13">
                  <c:v>284.42</c:v>
                </c:pt>
                <c:pt idx="14">
                  <c:v>196.61</c:v>
                </c:pt>
                <c:pt idx="15">
                  <c:v>314.89</c:v>
                </c:pt>
                <c:pt idx="16">
                  <c:v>397.9</c:v>
                </c:pt>
                <c:pt idx="17">
                  <c:v>451.28</c:v>
                </c:pt>
                <c:pt idx="18">
                  <c:v>446.38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4-44E7-9BF9-D265D0B16C51}"/>
            </c:ext>
          </c:extLst>
        </c:ser>
        <c:ser>
          <c:idx val="1"/>
          <c:order val="1"/>
          <c:tx>
            <c:strRef>
              <c:f>'Sequent Scientific'!$D$2</c:f>
              <c:strCache>
                <c:ptCount val="1"/>
                <c:pt idx="0">
                  <c:v>Total Assets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'Sequent Scientific'!$D$3:$D$21</c:f>
              <c:numCache>
                <c:formatCode>0.00</c:formatCode>
                <c:ptCount val="19"/>
                <c:pt idx="0">
                  <c:v>39.299999999999997</c:v>
                </c:pt>
                <c:pt idx="1">
                  <c:v>82.57</c:v>
                </c:pt>
                <c:pt idx="2">
                  <c:v>157.97999999999999</c:v>
                </c:pt>
                <c:pt idx="3">
                  <c:v>290</c:v>
                </c:pt>
                <c:pt idx="4">
                  <c:v>313.85000000000002</c:v>
                </c:pt>
                <c:pt idx="5">
                  <c:v>332.41</c:v>
                </c:pt>
                <c:pt idx="6">
                  <c:v>389.37</c:v>
                </c:pt>
                <c:pt idx="7">
                  <c:v>439</c:v>
                </c:pt>
                <c:pt idx="8">
                  <c:v>692.85</c:v>
                </c:pt>
                <c:pt idx="9">
                  <c:v>1215.3</c:v>
                </c:pt>
                <c:pt idx="10">
                  <c:v>1353.86</c:v>
                </c:pt>
                <c:pt idx="11">
                  <c:v>940.52</c:v>
                </c:pt>
                <c:pt idx="12">
                  <c:v>1013.63</c:v>
                </c:pt>
                <c:pt idx="13">
                  <c:v>1071.9100000000001</c:v>
                </c:pt>
                <c:pt idx="14">
                  <c:v>972.94</c:v>
                </c:pt>
                <c:pt idx="15">
                  <c:v>1055.3</c:v>
                </c:pt>
                <c:pt idx="16">
                  <c:v>1147.0999999999999</c:v>
                </c:pt>
                <c:pt idx="17">
                  <c:v>1164.24</c:v>
                </c:pt>
                <c:pt idx="18">
                  <c:v>1216.74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64-44E7-9BF9-D265D0B16C51}"/>
            </c:ext>
          </c:extLst>
        </c:ser>
        <c:ser>
          <c:idx val="2"/>
          <c:order val="2"/>
          <c:tx>
            <c:strRef>
              <c:f>'Sequent Scientific'!$E$2</c:f>
              <c:strCache>
                <c:ptCount val="1"/>
                <c:pt idx="0">
                  <c:v>Contingent Liabilities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'Sequent Scientific'!$E$3:$E$21</c:f>
              <c:numCache>
                <c:formatCode>0.00</c:formatCode>
                <c:ptCount val="19"/>
                <c:pt idx="0">
                  <c:v>0.53</c:v>
                </c:pt>
                <c:pt idx="1">
                  <c:v>0.33</c:v>
                </c:pt>
                <c:pt idx="2">
                  <c:v>1.34</c:v>
                </c:pt>
                <c:pt idx="3">
                  <c:v>20.43</c:v>
                </c:pt>
                <c:pt idx="4">
                  <c:v>30.89</c:v>
                </c:pt>
                <c:pt idx="5">
                  <c:v>165.82</c:v>
                </c:pt>
                <c:pt idx="6">
                  <c:v>85.23</c:v>
                </c:pt>
                <c:pt idx="7">
                  <c:v>51.34</c:v>
                </c:pt>
                <c:pt idx="8">
                  <c:v>87.48</c:v>
                </c:pt>
                <c:pt idx="9">
                  <c:v>11.08</c:v>
                </c:pt>
                <c:pt idx="10">
                  <c:v>6.76</c:v>
                </c:pt>
                <c:pt idx="11">
                  <c:v>0.35</c:v>
                </c:pt>
                <c:pt idx="12">
                  <c:v>9.5399999999999991</c:v>
                </c:pt>
                <c:pt idx="13">
                  <c:v>2.59</c:v>
                </c:pt>
                <c:pt idx="14">
                  <c:v>6.26</c:v>
                </c:pt>
                <c:pt idx="15">
                  <c:v>223.52</c:v>
                </c:pt>
                <c:pt idx="16">
                  <c:v>184.31</c:v>
                </c:pt>
                <c:pt idx="17">
                  <c:v>588.21</c:v>
                </c:pt>
                <c:pt idx="18">
                  <c:v>559.95000000000005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64-44E7-9BF9-D265D0B16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700736"/>
        <c:axId val="82698336"/>
      </c:barChart>
      <c:lineChart>
        <c:grouping val="standard"/>
        <c:varyColors val="0"/>
        <c:ser>
          <c:idx val="3"/>
          <c:order val="3"/>
          <c:tx>
            <c:strRef>
              <c:f>'Sequent Scientific'!$G$2</c:f>
              <c:strCache>
                <c:ptCount val="1"/>
                <c:pt idx="0">
                  <c:v>Returns</c:v>
                </c:pt>
              </c:strCache>
            </c:strRef>
          </c:tx>
          <c:spPr>
            <a:ln w="317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'Sequent Scientific'!$G$3:$G$21</c:f>
              <c:numCache>
                <c:formatCode>0.00%</c:formatCode>
                <c:ptCount val="19"/>
                <c:pt idx="1">
                  <c:v>1.1010178117048346</c:v>
                </c:pt>
                <c:pt idx="2">
                  <c:v>0.913285696984377</c:v>
                </c:pt>
                <c:pt idx="3">
                  <c:v>0.83567540194961398</c:v>
                </c:pt>
                <c:pt idx="4">
                  <c:v>8.224137931034492E-2</c:v>
                </c:pt>
                <c:pt idx="5">
                  <c:v>5.9136530189580983E-2</c:v>
                </c:pt>
                <c:pt idx="6">
                  <c:v>0.17135465238711212</c:v>
                </c:pt>
                <c:pt idx="7">
                  <c:v>0.12746231091249971</c:v>
                </c:pt>
                <c:pt idx="8">
                  <c:v>0.57824601366742612</c:v>
                </c:pt>
                <c:pt idx="9">
                  <c:v>0.75405932019917721</c:v>
                </c:pt>
                <c:pt idx="10">
                  <c:v>0.11401300090512634</c:v>
                </c:pt>
                <c:pt idx="11">
                  <c:v>-0.30530483210967152</c:v>
                </c:pt>
                <c:pt idx="12">
                  <c:v>7.7733594181941923E-2</c:v>
                </c:pt>
                <c:pt idx="13">
                  <c:v>5.7496325089036571E-2</c:v>
                </c:pt>
                <c:pt idx="14">
                  <c:v>-9.2330512822904942E-2</c:v>
                </c:pt>
                <c:pt idx="15">
                  <c:v>8.465064649413101E-2</c:v>
                </c:pt>
                <c:pt idx="16">
                  <c:v>8.6989481663981794E-2</c:v>
                </c:pt>
                <c:pt idx="17">
                  <c:v>1.4942027722081752E-2</c:v>
                </c:pt>
                <c:pt idx="18">
                  <c:v>4.5093795093795075E-2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64-44E7-9BF9-D265D0B16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02176"/>
        <c:axId val="82712256"/>
      </c:lineChart>
      <c:catAx>
        <c:axId val="8270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98336"/>
        <c:crosses val="autoZero"/>
        <c:auto val="1"/>
        <c:lblAlgn val="ctr"/>
        <c:lblOffset val="100"/>
        <c:noMultiLvlLbl val="0"/>
      </c:catAx>
      <c:valAx>
        <c:axId val="8269833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00736"/>
        <c:crosses val="autoZero"/>
        <c:crossBetween val="between"/>
      </c:valAx>
      <c:valAx>
        <c:axId val="8271225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02176"/>
        <c:crosses val="max"/>
        <c:crossBetween val="between"/>
      </c:valAx>
      <c:catAx>
        <c:axId val="82702176"/>
        <c:scaling>
          <c:orientation val="minMax"/>
        </c:scaling>
        <c:delete val="1"/>
        <c:axPos val="b"/>
        <c:majorTickMark val="none"/>
        <c:minorTickMark val="none"/>
        <c:tickLblPos val="nextTo"/>
        <c:crossAx val="827122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53937007874016"/>
          <c:y val="0.17592592592592593"/>
          <c:w val="0.76292125984251968"/>
          <c:h val="0.667244823563721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'Vodafone Idea'!$C$2</c:f>
              <c:strCache>
                <c:ptCount val="1"/>
                <c:pt idx="0">
                  <c:v>Total 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'Vodafone Idea'!$C$3:$C$22</c:f>
              <c:numCache>
                <c:formatCode>0.00</c:formatCode>
                <c:ptCount val="20"/>
                <c:pt idx="0">
                  <c:v>3285.6</c:v>
                </c:pt>
                <c:pt idx="1">
                  <c:v>4250.51</c:v>
                </c:pt>
                <c:pt idx="2">
                  <c:v>6515.41</c:v>
                </c:pt>
                <c:pt idx="3">
                  <c:v>8912.23</c:v>
                </c:pt>
                <c:pt idx="4">
                  <c:v>7859.3</c:v>
                </c:pt>
                <c:pt idx="5">
                  <c:v>10785.16</c:v>
                </c:pt>
                <c:pt idx="6">
                  <c:v>11249.69</c:v>
                </c:pt>
                <c:pt idx="7">
                  <c:v>12263.24</c:v>
                </c:pt>
                <c:pt idx="8">
                  <c:v>18775.560000000001</c:v>
                </c:pt>
                <c:pt idx="9">
                  <c:v>16810.48</c:v>
                </c:pt>
                <c:pt idx="10">
                  <c:v>37549.620000000003</c:v>
                </c:pt>
                <c:pt idx="11">
                  <c:v>51672.54</c:v>
                </c:pt>
                <c:pt idx="12">
                  <c:v>56962.49</c:v>
                </c:pt>
                <c:pt idx="13">
                  <c:v>108523.6</c:v>
                </c:pt>
                <c:pt idx="14">
                  <c:v>96312.6</c:v>
                </c:pt>
                <c:pt idx="15">
                  <c:v>157415.5</c:v>
                </c:pt>
                <c:pt idx="16">
                  <c:v>190917.7</c:v>
                </c:pt>
                <c:pt idx="17">
                  <c:v>13231</c:v>
                </c:pt>
                <c:pt idx="18">
                  <c:v>207629.8</c:v>
                </c:pt>
                <c:pt idx="19">
                  <c:v>196296.2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F-4F9F-B9C9-E083945FFA4C}"/>
            </c:ext>
          </c:extLst>
        </c:ser>
        <c:ser>
          <c:idx val="1"/>
          <c:order val="1"/>
          <c:tx>
            <c:strRef>
              <c:f>'Vodafone Idea'!$D$2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'Vodafone Idea'!$D$3:$D$22</c:f>
              <c:numCache>
                <c:formatCode>0.00</c:formatCode>
                <c:ptCount val="20"/>
                <c:pt idx="0">
                  <c:v>4419.2</c:v>
                </c:pt>
                <c:pt idx="1">
                  <c:v>6430.29</c:v>
                </c:pt>
                <c:pt idx="2">
                  <c:v>10060</c:v>
                </c:pt>
                <c:pt idx="3">
                  <c:v>22177.54</c:v>
                </c:pt>
                <c:pt idx="4">
                  <c:v>19231.650000000001</c:v>
                </c:pt>
                <c:pt idx="5">
                  <c:v>23085.08</c:v>
                </c:pt>
                <c:pt idx="6">
                  <c:v>24299.919999999998</c:v>
                </c:pt>
                <c:pt idx="7">
                  <c:v>26568.55</c:v>
                </c:pt>
                <c:pt idx="8">
                  <c:v>35302.54</c:v>
                </c:pt>
                <c:pt idx="9">
                  <c:v>39839.71</c:v>
                </c:pt>
                <c:pt idx="10">
                  <c:v>61100.1</c:v>
                </c:pt>
                <c:pt idx="11">
                  <c:v>76404.789999999994</c:v>
                </c:pt>
                <c:pt idx="12">
                  <c:v>84224.960000000006</c:v>
                </c:pt>
                <c:pt idx="13">
                  <c:v>168158.4</c:v>
                </c:pt>
                <c:pt idx="14">
                  <c:v>102292.5</c:v>
                </c:pt>
                <c:pt idx="15">
                  <c:v>119187.5</c:v>
                </c:pt>
                <c:pt idx="16">
                  <c:v>128952.9</c:v>
                </c:pt>
                <c:pt idx="17">
                  <c:v>-61128.1</c:v>
                </c:pt>
                <c:pt idx="18">
                  <c:v>103463</c:v>
                </c:pt>
                <c:pt idx="19">
                  <c:v>125976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DF-4F9F-B9C9-E083945FFA4C}"/>
            </c:ext>
          </c:extLst>
        </c:ser>
        <c:ser>
          <c:idx val="2"/>
          <c:order val="2"/>
          <c:tx>
            <c:strRef>
              <c:f>'Vodafone Idea'!$E$2</c:f>
              <c:strCache>
                <c:ptCount val="1"/>
                <c:pt idx="0">
                  <c:v>Contingent Liabilities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'Vodafone Idea'!$E$3:$E$22</c:f>
              <c:numCache>
                <c:formatCode>0.00</c:formatCode>
                <c:ptCount val="20"/>
                <c:pt idx="0">
                  <c:v>470.57</c:v>
                </c:pt>
                <c:pt idx="1">
                  <c:v>1209.6500000000001</c:v>
                </c:pt>
                <c:pt idx="2">
                  <c:v>2284.06</c:v>
                </c:pt>
                <c:pt idx="3">
                  <c:v>2090.5500000000002</c:v>
                </c:pt>
                <c:pt idx="4">
                  <c:v>2090.44</c:v>
                </c:pt>
                <c:pt idx="5">
                  <c:v>5364.81</c:v>
                </c:pt>
                <c:pt idx="6">
                  <c:v>11364.44</c:v>
                </c:pt>
                <c:pt idx="7">
                  <c:v>17641.8</c:v>
                </c:pt>
                <c:pt idx="8">
                  <c:v>21412.94</c:v>
                </c:pt>
                <c:pt idx="9">
                  <c:v>58000.98</c:v>
                </c:pt>
                <c:pt idx="10">
                  <c:v>27939.360000000001</c:v>
                </c:pt>
                <c:pt idx="11">
                  <c:v>0</c:v>
                </c:pt>
                <c:pt idx="12">
                  <c:v>31231.01</c:v>
                </c:pt>
                <c:pt idx="13">
                  <c:v>41202.1</c:v>
                </c:pt>
                <c:pt idx="14">
                  <c:v>18482.099999999999</c:v>
                </c:pt>
                <c:pt idx="15">
                  <c:v>25349.4</c:v>
                </c:pt>
                <c:pt idx="16">
                  <c:v>23228.9</c:v>
                </c:pt>
                <c:pt idx="17">
                  <c:v>27457</c:v>
                </c:pt>
                <c:pt idx="18">
                  <c:v>23227.200000000001</c:v>
                </c:pt>
                <c:pt idx="19">
                  <c:v>25844.7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DF-4F9F-B9C9-E083945FF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82710336"/>
        <c:axId val="82714656"/>
      </c:barChart>
      <c:lineChart>
        <c:grouping val="standard"/>
        <c:varyColors val="0"/>
        <c:ser>
          <c:idx val="3"/>
          <c:order val="3"/>
          <c:tx>
            <c:strRef>
              <c:f>'Vodafone Idea'!$G$2</c:f>
              <c:strCache>
                <c:ptCount val="1"/>
                <c:pt idx="0">
                  <c:v>Returns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'Vodafone Idea'!$G$3:$G$22</c:f>
              <c:numCache>
                <c:formatCode>0.00%</c:formatCode>
                <c:ptCount val="20"/>
                <c:pt idx="1">
                  <c:v>0.45508010499637952</c:v>
                </c:pt>
                <c:pt idx="2">
                  <c:v>0.56447065373412397</c:v>
                </c:pt>
                <c:pt idx="3">
                  <c:v>1.2045268389662027</c:v>
                </c:pt>
                <c:pt idx="4">
                  <c:v>-0.13283213557500062</c:v>
                </c:pt>
                <c:pt idx="5">
                  <c:v>0.20036918309141449</c:v>
                </c:pt>
                <c:pt idx="6">
                  <c:v>5.2624465672200138E-2</c:v>
                </c:pt>
                <c:pt idx="7">
                  <c:v>9.3359566615857315E-2</c:v>
                </c:pt>
                <c:pt idx="8">
                  <c:v>0.328734161254566</c:v>
                </c:pt>
                <c:pt idx="9">
                  <c:v>0.1285224802521292</c:v>
                </c:pt>
                <c:pt idx="10">
                  <c:v>0.5336482117967225</c:v>
                </c:pt>
                <c:pt idx="11">
                  <c:v>0.25048551475365821</c:v>
                </c:pt>
                <c:pt idx="12">
                  <c:v>0.10235182898873241</c:v>
                </c:pt>
                <c:pt idx="13">
                  <c:v>0.9965387932508365</c:v>
                </c:pt>
                <c:pt idx="14">
                  <c:v>-0.39168962121428363</c:v>
                </c:pt>
                <c:pt idx="15">
                  <c:v>0.16516362392159745</c:v>
                </c:pt>
                <c:pt idx="16">
                  <c:v>8.1933088620870453E-2</c:v>
                </c:pt>
                <c:pt idx="17">
                  <c:v>-1.4740343179564013</c:v>
                </c:pt>
                <c:pt idx="18">
                  <c:v>-2.6925603773060178</c:v>
                </c:pt>
                <c:pt idx="19">
                  <c:v>0.21759469568831369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DF-4F9F-B9C9-E083945FF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04096"/>
        <c:axId val="82710816"/>
      </c:lineChart>
      <c:catAx>
        <c:axId val="8271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14656"/>
        <c:crosses val="autoZero"/>
        <c:auto val="1"/>
        <c:lblAlgn val="ctr"/>
        <c:lblOffset val="100"/>
        <c:noMultiLvlLbl val="0"/>
      </c:catAx>
      <c:valAx>
        <c:axId val="8271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10336"/>
        <c:crosses val="autoZero"/>
        <c:crossBetween val="between"/>
      </c:valAx>
      <c:valAx>
        <c:axId val="8271081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04096"/>
        <c:crosses val="max"/>
        <c:crossBetween val="between"/>
      </c:valAx>
      <c:catAx>
        <c:axId val="82704096"/>
        <c:scaling>
          <c:orientation val="minMax"/>
        </c:scaling>
        <c:delete val="1"/>
        <c:axPos val="b"/>
        <c:majorTickMark val="none"/>
        <c:minorTickMark val="none"/>
        <c:tickLblPos val="nextTo"/>
        <c:crossAx val="82710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82934114480033"/>
          <c:y val="7.5940764475053713E-2"/>
          <c:w val="0.82096913272600081"/>
          <c:h val="0.75480146560940753"/>
        </c:manualLayout>
      </c:layout>
      <c:scatterChart>
        <c:scatterStyle val="lineMarker"/>
        <c:varyColors val="0"/>
        <c:ser>
          <c:idx val="0"/>
          <c:order val="0"/>
          <c:spPr>
            <a:ln w="22225">
              <a:solidFill>
                <a:srgbClr val="00B050"/>
              </a:solidFill>
              <a:prstDash val="solid"/>
            </a:ln>
          </c:spPr>
          <c:marker>
            <c:symbol val="none"/>
          </c:marker>
          <c:dPt>
            <c:idx val="0"/>
            <c:marker>
              <c:symbol val="circle"/>
              <c:size val="5"/>
              <c:spPr>
                <a:solidFill>
                  <a:srgbClr val="00B050"/>
                </a:solidFill>
                <a:ln>
                  <a:solidFill>
                    <a:srgbClr val="00B05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0F6-44B9-981D-C3955CB67312}"/>
              </c:ext>
            </c:extLst>
          </c:dPt>
          <c:dPt>
            <c:idx val="12"/>
            <c:marker>
              <c:symbol val="circle"/>
              <c:size val="6"/>
              <c:spPr>
                <a:solidFill>
                  <a:srgbClr val="00B050"/>
                </a:solidFill>
                <a:ln>
                  <a:solidFill>
                    <a:srgbClr val="00B05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0F6-44B9-981D-C3955CB67312}"/>
              </c:ext>
            </c:extLst>
          </c:dPt>
          <c:dLbls>
            <c:dLbl>
              <c:idx val="0"/>
              <c:layout>
                <c:manualLayout>
                  <c:x val="1.0418495485661514E-2"/>
                  <c:y val="-6.6803228543800441E-2"/>
                </c:manualLayout>
              </c:layout>
              <c:numFmt formatCode="#,##0.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50" b="1">
                      <a:solidFill>
                        <a:srgbClr val="00B050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F6-44B9-981D-C3955CB67312}"/>
                </c:ext>
              </c:extLst>
            </c:dLbl>
            <c:dLbl>
              <c:idx val="12"/>
              <c:layout>
                <c:manualLayout>
                  <c:x val="-0.1041096815779136"/>
                  <c:y val="-6.171136502674008E-2"/>
                </c:manualLayout>
              </c:layout>
              <c:numFmt formatCode="#,##0.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50" b="1">
                      <a:solidFill>
                        <a:srgbClr val="00B050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F6-44B9-981D-C3955CB67312}"/>
                </c:ext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solidFill>
                      <a:srgbClr val="00B050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Diagram!$AA$7:$AA$19</c:f>
              <c:numCache>
                <c:formatCode>General</c:formatCode>
                <c:ptCount val="13"/>
                <c:pt idx="0" formatCode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Diagram!$AB$7:$AB$19</c:f>
              <c:numCache>
                <c:formatCode>0</c:formatCode>
                <c:ptCount val="13"/>
                <c:pt idx="0">
                  <c:v>125976</c:v>
                </c:pt>
                <c:pt idx="1">
                  <c:v>146492.00212045808</c:v>
                </c:pt>
                <c:pt idx="2">
                  <c:v>99533.49256190451</c:v>
                </c:pt>
                <c:pt idx="3">
                  <c:v>72126.83453756322</c:v>
                </c:pt>
                <c:pt idx="4">
                  <c:v>96607.591756911264</c:v>
                </c:pt>
                <c:pt idx="5">
                  <c:v>69627.212735951311</c:v>
                </c:pt>
                <c:pt idx="6">
                  <c:v>64982.794104275476</c:v>
                </c:pt>
                <c:pt idx="7">
                  <c:v>41120.429607303784</c:v>
                </c:pt>
                <c:pt idx="8">
                  <c:v>28912.584019177782</c:v>
                </c:pt>
                <c:pt idx="9">
                  <c:v>21967.365728004235</c:v>
                </c:pt>
                <c:pt idx="10">
                  <c:v>21210.397686788914</c:v>
                </c:pt>
                <c:pt idx="11">
                  <c:v>31776.584683150755</c:v>
                </c:pt>
                <c:pt idx="12">
                  <c:v>33644.084557248716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F6-44B9-981D-C3955CB67312}"/>
            </c:ext>
          </c:extLst>
        </c:ser>
        <c:ser>
          <c:idx val="1"/>
          <c:order val="1"/>
          <c:spPr>
            <a:ln w="19050">
              <a:solidFill>
                <a:srgbClr val="002060"/>
              </a:solidFill>
              <a:prstDash val="solid"/>
            </a:ln>
          </c:spPr>
          <c:marker>
            <c:symbol val="none"/>
          </c:marker>
          <c:xVal>
            <c:numRef>
              <c:f>Diagram!$X$7:$X$55</c:f>
              <c:numCache>
                <c:formatCode>0.00</c:formatCode>
                <c:ptCount val="49"/>
                <c:pt idx="0">
                  <c:v>12.000000022036845</c:v>
                </c:pt>
                <c:pt idx="1">
                  <c:v>12.000000095723694</c:v>
                </c:pt>
                <c:pt idx="2">
                  <c:v>12.000000390612435</c:v>
                </c:pt>
                <c:pt idx="3">
                  <c:v>12.000001497370505</c:v>
                </c:pt>
                <c:pt idx="4">
                  <c:v>12.000005392238331</c:v>
                </c:pt>
                <c:pt idx="5">
                  <c:v>12.00001824170714</c:v>
                </c:pt>
                <c:pt idx="6">
                  <c:v>12.000057972025397</c:v>
                </c:pt>
                <c:pt idx="7">
                  <c:v>12.000173072498548</c:v>
                </c:pt>
                <c:pt idx="8">
                  <c:v>12.000485393825835</c:v>
                </c:pt>
                <c:pt idx="9">
                  <c:v>12.001278842400952</c:v>
                </c:pt>
                <c:pt idx="10">
                  <c:v>12.003165165340393</c:v>
                </c:pt>
                <c:pt idx="11">
                  <c:v>12.007359229902709</c:v>
                </c:pt>
                <c:pt idx="12">
                  <c:v>12.016074035920475</c:v>
                </c:pt>
                <c:pt idx="13">
                  <c:v>12.032981780221077</c:v>
                </c:pt>
                <c:pt idx="14">
                  <c:v>12.063574045312464</c:v>
                </c:pt>
                <c:pt idx="15">
                  <c:v>12.115117724319189</c:v>
                </c:pt>
                <c:pt idx="16">
                  <c:v>12.195821845525327</c:v>
                </c:pt>
                <c:pt idx="17">
                  <c:v>12.312922418150409</c:v>
                </c:pt>
                <c:pt idx="18">
                  <c:v>12.46975218724975</c:v>
                </c:pt>
                <c:pt idx="19">
                  <c:v>12.662456764422894</c:v>
                </c:pt>
                <c:pt idx="20">
                  <c:v>12.877612624824287</c:v>
                </c:pt>
                <c:pt idx="21">
                  <c:v>13.092206558423209</c:v>
                </c:pt>
                <c:pt idx="22">
                  <c:v>13.276918834479885</c:v>
                </c:pt>
                <c:pt idx="23">
                  <c:v>13.402420981288444</c:v>
                </c:pt>
                <c:pt idx="24">
                  <c:v>13.446938601982776</c:v>
                </c:pt>
                <c:pt idx="25">
                  <c:v>13.402420981288444</c:v>
                </c:pt>
                <c:pt idx="26">
                  <c:v>13.276918834479883</c:v>
                </c:pt>
                <c:pt idx="27">
                  <c:v>13.092206558423209</c:v>
                </c:pt>
                <c:pt idx="28">
                  <c:v>12.877612624824287</c:v>
                </c:pt>
                <c:pt idx="29">
                  <c:v>12.662456764422894</c:v>
                </c:pt>
                <c:pt idx="30">
                  <c:v>12.46975218724975</c:v>
                </c:pt>
                <c:pt idx="31">
                  <c:v>12.312922418150409</c:v>
                </c:pt>
                <c:pt idx="32">
                  <c:v>12.195821845525327</c:v>
                </c:pt>
                <c:pt idx="33">
                  <c:v>12.115117724319189</c:v>
                </c:pt>
                <c:pt idx="34">
                  <c:v>12.063574045312464</c:v>
                </c:pt>
                <c:pt idx="35">
                  <c:v>12.032981780221077</c:v>
                </c:pt>
                <c:pt idx="36">
                  <c:v>12.016074035920475</c:v>
                </c:pt>
                <c:pt idx="37">
                  <c:v>12.007359229902709</c:v>
                </c:pt>
                <c:pt idx="38">
                  <c:v>12.003165165340393</c:v>
                </c:pt>
                <c:pt idx="39">
                  <c:v>12.001278842400952</c:v>
                </c:pt>
                <c:pt idx="40">
                  <c:v>12.000485393825835</c:v>
                </c:pt>
                <c:pt idx="41">
                  <c:v>12.000173072498548</c:v>
                </c:pt>
                <c:pt idx="42">
                  <c:v>12.000057972025397</c:v>
                </c:pt>
                <c:pt idx="43">
                  <c:v>12.00001824170714</c:v>
                </c:pt>
                <c:pt idx="44">
                  <c:v>12.000005392238331</c:v>
                </c:pt>
                <c:pt idx="45">
                  <c:v>12.000001497370505</c:v>
                </c:pt>
                <c:pt idx="46">
                  <c:v>12.000000390612435</c:v>
                </c:pt>
                <c:pt idx="47">
                  <c:v>12.000000095723694</c:v>
                </c:pt>
                <c:pt idx="48">
                  <c:v>12.000000022036845</c:v>
                </c:pt>
              </c:numCache>
            </c:numRef>
          </c:xVal>
          <c:yVal>
            <c:numRef>
              <c:f>Diagram!$W$7:$W$55</c:f>
              <c:numCache>
                <c:formatCode>0</c:formatCode>
                <c:ptCount val="49"/>
                <c:pt idx="0">
                  <c:v>-539255.58321287727</c:v>
                </c:pt>
                <c:pt idx="1">
                  <c:v>-511345.11191514094</c:v>
                </c:pt>
                <c:pt idx="2">
                  <c:v>-483434.64061740466</c:v>
                </c:pt>
                <c:pt idx="3">
                  <c:v>-455524.16931966826</c:v>
                </c:pt>
                <c:pt idx="4">
                  <c:v>-427613.69802193198</c:v>
                </c:pt>
                <c:pt idx="5">
                  <c:v>-399703.2267241957</c:v>
                </c:pt>
                <c:pt idx="6">
                  <c:v>-371792.75542645936</c:v>
                </c:pt>
                <c:pt idx="7">
                  <c:v>-343882.28412872303</c:v>
                </c:pt>
                <c:pt idx="8">
                  <c:v>-315971.81283098675</c:v>
                </c:pt>
                <c:pt idx="9">
                  <c:v>-288061.34153325047</c:v>
                </c:pt>
                <c:pt idx="10">
                  <c:v>-260150.87023551413</c:v>
                </c:pt>
                <c:pt idx="11">
                  <c:v>-232240.39893777779</c:v>
                </c:pt>
                <c:pt idx="12">
                  <c:v>-204329.92764004151</c:v>
                </c:pt>
                <c:pt idx="13">
                  <c:v>-176419.45634230523</c:v>
                </c:pt>
                <c:pt idx="14">
                  <c:v>-148508.98504456889</c:v>
                </c:pt>
                <c:pt idx="15">
                  <c:v>-120598.5137468326</c:v>
                </c:pt>
                <c:pt idx="16">
                  <c:v>-92688.042449096291</c:v>
                </c:pt>
                <c:pt idx="17">
                  <c:v>-64777.571151359982</c:v>
                </c:pt>
                <c:pt idx="18">
                  <c:v>-36867.099853623673</c:v>
                </c:pt>
                <c:pt idx="19">
                  <c:v>-8956.6285558873642</c:v>
                </c:pt>
                <c:pt idx="20">
                  <c:v>18953.842741848945</c:v>
                </c:pt>
                <c:pt idx="21">
                  <c:v>46864.314039585253</c:v>
                </c:pt>
                <c:pt idx="22">
                  <c:v>74774.785337321562</c:v>
                </c:pt>
                <c:pt idx="23">
                  <c:v>102685.25663505787</c:v>
                </c:pt>
                <c:pt idx="24">
                  <c:v>130595.72793279418</c:v>
                </c:pt>
                <c:pt idx="25">
                  <c:v>158506.19923053047</c:v>
                </c:pt>
                <c:pt idx="26">
                  <c:v>186416.67052826681</c:v>
                </c:pt>
                <c:pt idx="27">
                  <c:v>214327.14182600309</c:v>
                </c:pt>
                <c:pt idx="28">
                  <c:v>242237.61312373943</c:v>
                </c:pt>
                <c:pt idx="29">
                  <c:v>270148.08442147571</c:v>
                </c:pt>
                <c:pt idx="30">
                  <c:v>298058.55571921205</c:v>
                </c:pt>
                <c:pt idx="31">
                  <c:v>325969.02701694833</c:v>
                </c:pt>
                <c:pt idx="32">
                  <c:v>353879.49831468466</c:v>
                </c:pt>
                <c:pt idx="33">
                  <c:v>381789.96961242094</c:v>
                </c:pt>
                <c:pt idx="34">
                  <c:v>409700.44091015728</c:v>
                </c:pt>
                <c:pt idx="35">
                  <c:v>437610.91220789362</c:v>
                </c:pt>
                <c:pt idx="36">
                  <c:v>465521.3835056299</c:v>
                </c:pt>
                <c:pt idx="37">
                  <c:v>493431.85480336618</c:v>
                </c:pt>
                <c:pt idx="38">
                  <c:v>521342.32610110252</c:v>
                </c:pt>
                <c:pt idx="39">
                  <c:v>549252.7973988388</c:v>
                </c:pt>
                <c:pt idx="40">
                  <c:v>577163.26869657508</c:v>
                </c:pt>
                <c:pt idx="41">
                  <c:v>605073.73999431136</c:v>
                </c:pt>
                <c:pt idx="42">
                  <c:v>632984.21129204775</c:v>
                </c:pt>
                <c:pt idx="43">
                  <c:v>660894.68258978403</c:v>
                </c:pt>
                <c:pt idx="44">
                  <c:v>688805.15388752031</c:v>
                </c:pt>
                <c:pt idx="45">
                  <c:v>716715.62518525659</c:v>
                </c:pt>
                <c:pt idx="46">
                  <c:v>744626.09648299299</c:v>
                </c:pt>
                <c:pt idx="47">
                  <c:v>772536.56778072927</c:v>
                </c:pt>
                <c:pt idx="48">
                  <c:v>800447.03907846555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F6-44B9-981D-C3955CB67312}"/>
            </c:ext>
          </c:extLst>
        </c:ser>
        <c:ser>
          <c:idx val="3"/>
          <c:order val="2"/>
          <c:spPr>
            <a:ln w="3175">
              <a:solidFill>
                <a:srgbClr val="002060"/>
              </a:solidFill>
              <a:prstDash val="sysDash"/>
            </a:ln>
          </c:spPr>
          <c:marker>
            <c:symbol val="none"/>
          </c:marker>
          <c:xVal>
            <c:numRef>
              <c:f>Diagram!$Z$7:$Z$55</c:f>
              <c:numCache>
                <c:formatCode>General</c:formatCode>
                <c:ptCount val="49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</c:numCache>
            </c:numRef>
          </c:xVal>
          <c:yVal>
            <c:numRef>
              <c:f>Diagram!$W$7:$W$55</c:f>
              <c:numCache>
                <c:formatCode>0</c:formatCode>
                <c:ptCount val="49"/>
                <c:pt idx="0">
                  <c:v>-539255.58321287727</c:v>
                </c:pt>
                <c:pt idx="1">
                  <c:v>-511345.11191514094</c:v>
                </c:pt>
                <c:pt idx="2">
                  <c:v>-483434.64061740466</c:v>
                </c:pt>
                <c:pt idx="3">
                  <c:v>-455524.16931966826</c:v>
                </c:pt>
                <c:pt idx="4">
                  <c:v>-427613.69802193198</c:v>
                </c:pt>
                <c:pt idx="5">
                  <c:v>-399703.2267241957</c:v>
                </c:pt>
                <c:pt idx="6">
                  <c:v>-371792.75542645936</c:v>
                </c:pt>
                <c:pt idx="7">
                  <c:v>-343882.28412872303</c:v>
                </c:pt>
                <c:pt idx="8">
                  <c:v>-315971.81283098675</c:v>
                </c:pt>
                <c:pt idx="9">
                  <c:v>-288061.34153325047</c:v>
                </c:pt>
                <c:pt idx="10">
                  <c:v>-260150.87023551413</c:v>
                </c:pt>
                <c:pt idx="11">
                  <c:v>-232240.39893777779</c:v>
                </c:pt>
                <c:pt idx="12">
                  <c:v>-204329.92764004151</c:v>
                </c:pt>
                <c:pt idx="13">
                  <c:v>-176419.45634230523</c:v>
                </c:pt>
                <c:pt idx="14">
                  <c:v>-148508.98504456889</c:v>
                </c:pt>
                <c:pt idx="15">
                  <c:v>-120598.5137468326</c:v>
                </c:pt>
                <c:pt idx="16">
                  <c:v>-92688.042449096291</c:v>
                </c:pt>
                <c:pt idx="17">
                  <c:v>-64777.571151359982</c:v>
                </c:pt>
                <c:pt idx="18">
                  <c:v>-36867.099853623673</c:v>
                </c:pt>
                <c:pt idx="19">
                  <c:v>-8956.6285558873642</c:v>
                </c:pt>
                <c:pt idx="20">
                  <c:v>18953.842741848945</c:v>
                </c:pt>
                <c:pt idx="21">
                  <c:v>46864.314039585253</c:v>
                </c:pt>
                <c:pt idx="22">
                  <c:v>74774.785337321562</c:v>
                </c:pt>
                <c:pt idx="23">
                  <c:v>102685.25663505787</c:v>
                </c:pt>
                <c:pt idx="24">
                  <c:v>130595.72793279418</c:v>
                </c:pt>
                <c:pt idx="25">
                  <c:v>158506.19923053047</c:v>
                </c:pt>
                <c:pt idx="26">
                  <c:v>186416.67052826681</c:v>
                </c:pt>
                <c:pt idx="27">
                  <c:v>214327.14182600309</c:v>
                </c:pt>
                <c:pt idx="28">
                  <c:v>242237.61312373943</c:v>
                </c:pt>
                <c:pt idx="29">
                  <c:v>270148.08442147571</c:v>
                </c:pt>
                <c:pt idx="30">
                  <c:v>298058.55571921205</c:v>
                </c:pt>
                <c:pt idx="31">
                  <c:v>325969.02701694833</c:v>
                </c:pt>
                <c:pt idx="32">
                  <c:v>353879.49831468466</c:v>
                </c:pt>
                <c:pt idx="33">
                  <c:v>381789.96961242094</c:v>
                </c:pt>
                <c:pt idx="34">
                  <c:v>409700.44091015728</c:v>
                </c:pt>
                <c:pt idx="35">
                  <c:v>437610.91220789362</c:v>
                </c:pt>
                <c:pt idx="36">
                  <c:v>465521.3835056299</c:v>
                </c:pt>
                <c:pt idx="37">
                  <c:v>493431.85480336618</c:v>
                </c:pt>
                <c:pt idx="38">
                  <c:v>521342.32610110252</c:v>
                </c:pt>
                <c:pt idx="39">
                  <c:v>549252.7973988388</c:v>
                </c:pt>
                <c:pt idx="40">
                  <c:v>577163.26869657508</c:v>
                </c:pt>
                <c:pt idx="41">
                  <c:v>605073.73999431136</c:v>
                </c:pt>
                <c:pt idx="42">
                  <c:v>632984.21129204775</c:v>
                </c:pt>
                <c:pt idx="43">
                  <c:v>660894.68258978403</c:v>
                </c:pt>
                <c:pt idx="44">
                  <c:v>688805.15388752031</c:v>
                </c:pt>
                <c:pt idx="45">
                  <c:v>716715.62518525659</c:v>
                </c:pt>
                <c:pt idx="46">
                  <c:v>744626.09648299299</c:v>
                </c:pt>
                <c:pt idx="47">
                  <c:v>772536.56778072927</c:v>
                </c:pt>
                <c:pt idx="48">
                  <c:v>800447.03907846555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0F6-44B9-981D-C3955CB67312}"/>
            </c:ext>
          </c:extLst>
        </c:ser>
        <c:ser>
          <c:idx val="4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Pt>
            <c:idx val="1"/>
            <c:marker>
              <c:symbol val="dash"/>
              <c:size val="7"/>
              <c:spPr>
                <a:noFill/>
                <a:ln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C0F6-44B9-981D-C3955CB67312}"/>
              </c:ext>
            </c:extLst>
          </c:dPt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50" b="1">
                        <a:solidFill>
                          <a:srgbClr val="008000"/>
                        </a:solidFill>
                      </a:defRPr>
                    </a:pPr>
                    <a:fld id="{FB5906D2-E652-44BE-BE7E-07B5EDCC1ACF}" type="YVALUE">
                      <a:rPr lang="en-US" sz="1050">
                        <a:solidFill>
                          <a:srgbClr val="FF0000"/>
                        </a:solidFill>
                      </a:rPr>
                      <a:pPr>
                        <a:defRPr sz="1050" b="1">
                          <a:solidFill>
                            <a:srgbClr val="008000"/>
                          </a:solidFill>
                        </a:defRPr>
                      </a:pPr>
                      <a:t>[Y VALUE]</a:t>
                    </a:fld>
                    <a:endParaRPr lang="en-IN"/>
                  </a:p>
                </c:rich>
              </c:tx>
              <c:numFmt formatCode="#,##0.000" sourceLinked="0"/>
              <c:spPr>
                <a:noFill/>
                <a:ln>
                  <a:noFill/>
                </a:ln>
                <a:effectLst/>
              </c:sp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C0F6-44B9-981D-C3955CB6731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0F6-44B9-981D-C3955CB6731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0F6-44B9-981D-C3955CB673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rgbClr val="008000"/>
                    </a:solidFill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Diagram!$AC$7:$AC$9</c:f>
              <c:numCache>
                <c:formatCode>General</c:formatCode>
                <c:ptCount val="3"/>
                <c:pt idx="0">
                  <c:v>11</c:v>
                </c:pt>
                <c:pt idx="1">
                  <c:v>12</c:v>
                </c:pt>
                <c:pt idx="2">
                  <c:v>13</c:v>
                </c:pt>
              </c:numCache>
            </c:numRef>
          </c:xVal>
          <c:yVal>
            <c:numRef>
              <c:f>Diagram!$AD$7:$AD$9</c:f>
              <c:numCache>
                <c:formatCode>0.00</c:formatCode>
                <c:ptCount val="3"/>
                <c:pt idx="0">
                  <c:v>244354.99000000005</c:v>
                </c:pt>
                <c:pt idx="1">
                  <c:v>244354.99000000005</c:v>
                </c:pt>
                <c:pt idx="2">
                  <c:v>244354.99000000005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0F6-44B9-981D-C3955CB67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23024896"/>
        <c:axId val="-423012928"/>
      </c:scatterChart>
      <c:valAx>
        <c:axId val="-423024896"/>
        <c:scaling>
          <c:orientation val="minMax"/>
          <c:max val="14"/>
        </c:scaling>
        <c:delete val="0"/>
        <c:axPos val="b"/>
        <c:title>
          <c:tx>
            <c:rich>
              <a:bodyPr/>
              <a:lstStyle/>
              <a:p>
                <a:pPr>
                  <a:defRPr sz="1200" b="1"/>
                </a:pPr>
                <a:r>
                  <a:rPr lang="en-GB" sz="1200" b="1"/>
                  <a:t>Months</a:t>
                </a:r>
              </a:p>
            </c:rich>
          </c:tx>
          <c:layout>
            <c:manualLayout>
              <c:xMode val="edge"/>
              <c:yMode val="edge"/>
              <c:x val="0.48144772344633391"/>
              <c:y val="0.9235930735930736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/>
            </a:pPr>
            <a:endParaRPr lang="en-US"/>
          </a:p>
        </c:txPr>
        <c:crossAx val="-423012928"/>
        <c:crosses val="autoZero"/>
        <c:crossBetween val="midCat"/>
        <c:majorUnit val="2"/>
      </c:valAx>
      <c:valAx>
        <c:axId val="-4230129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/>
                </a:pPr>
                <a:r>
                  <a:rPr lang="en-GB" sz="1200" b="1"/>
                  <a:t>Asset value</a:t>
                </a:r>
              </a:p>
            </c:rich>
          </c:tx>
          <c:layout>
            <c:manualLayout>
              <c:xMode val="edge"/>
              <c:yMode val="edge"/>
              <c:x val="4.4751965282234312E-4"/>
              <c:y val="0.3618686462579480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/>
            </a:pPr>
            <a:endParaRPr lang="en-US"/>
          </a:p>
        </c:txPr>
        <c:crossAx val="-423024896"/>
        <c:crosses val="autoZero"/>
        <c:crossBetween val="midCat"/>
        <c:minorUnit val="10"/>
      </c:valAx>
      <c:spPr>
        <a:solidFill>
          <a:schemeClr val="bg1"/>
        </a:solidFill>
        <a:ln w="3175">
          <a:noFill/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3175">
      <a:noFill/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+mn-lt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Credit Loss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loss_distribution!$U$5:$U$44</c:f>
              <c:numCache>
                <c:formatCode>0.00</c:formatCode>
                <c:ptCount val="40"/>
                <c:pt idx="0">
                  <c:v>6650.28744733846</c:v>
                </c:pt>
                <c:pt idx="1">
                  <c:v>13300.57489467692</c:v>
                </c:pt>
                <c:pt idx="2">
                  <c:v>19950.862342015382</c:v>
                </c:pt>
                <c:pt idx="3">
                  <c:v>26601.14978935384</c:v>
                </c:pt>
                <c:pt idx="4">
                  <c:v>33251.437236692298</c:v>
                </c:pt>
                <c:pt idx="5">
                  <c:v>39901.724684030756</c:v>
                </c:pt>
                <c:pt idx="6">
                  <c:v>46552.012131369214</c:v>
                </c:pt>
                <c:pt idx="7">
                  <c:v>53202.299578707672</c:v>
                </c:pt>
                <c:pt idx="8">
                  <c:v>59852.587026046131</c:v>
                </c:pt>
                <c:pt idx="9">
                  <c:v>66502.874473384596</c:v>
                </c:pt>
                <c:pt idx="10">
                  <c:v>73153.161920723054</c:v>
                </c:pt>
                <c:pt idx="11">
                  <c:v>79803.449368061512</c:v>
                </c:pt>
                <c:pt idx="12">
                  <c:v>86453.736815399971</c:v>
                </c:pt>
                <c:pt idx="13">
                  <c:v>93104.024262738429</c:v>
                </c:pt>
                <c:pt idx="14">
                  <c:v>99754.311710076887</c:v>
                </c:pt>
                <c:pt idx="15">
                  <c:v>106404.59915741534</c:v>
                </c:pt>
                <c:pt idx="16">
                  <c:v>113054.8866047538</c:v>
                </c:pt>
                <c:pt idx="17">
                  <c:v>119705.17405209226</c:v>
                </c:pt>
                <c:pt idx="18">
                  <c:v>126355.46149943072</c:v>
                </c:pt>
                <c:pt idx="19">
                  <c:v>133005.74894676919</c:v>
                </c:pt>
                <c:pt idx="20">
                  <c:v>139656.03639410765</c:v>
                </c:pt>
                <c:pt idx="21">
                  <c:v>146306.32384144611</c:v>
                </c:pt>
                <c:pt idx="22">
                  <c:v>152956.61128878457</c:v>
                </c:pt>
                <c:pt idx="23">
                  <c:v>159606.89873612302</c:v>
                </c:pt>
                <c:pt idx="24">
                  <c:v>166257.18618346148</c:v>
                </c:pt>
                <c:pt idx="25" formatCode="General">
                  <c:v>172907.47363079994</c:v>
                </c:pt>
                <c:pt idx="26" formatCode="General">
                  <c:v>179557.7610781384</c:v>
                </c:pt>
                <c:pt idx="27" formatCode="General">
                  <c:v>186208.04852547686</c:v>
                </c:pt>
                <c:pt idx="28" formatCode="General">
                  <c:v>192858.33597281532</c:v>
                </c:pt>
                <c:pt idx="29" formatCode="General">
                  <c:v>199508.62342015377</c:v>
                </c:pt>
                <c:pt idx="30" formatCode="General">
                  <c:v>206158.91086749223</c:v>
                </c:pt>
                <c:pt idx="31" formatCode="General">
                  <c:v>212809.19831483069</c:v>
                </c:pt>
                <c:pt idx="32" formatCode="General">
                  <c:v>219459.48576216915</c:v>
                </c:pt>
                <c:pt idx="33" formatCode="General">
                  <c:v>226109.77320950761</c:v>
                </c:pt>
                <c:pt idx="34" formatCode="General">
                  <c:v>232760.06065684606</c:v>
                </c:pt>
                <c:pt idx="35" formatCode="General">
                  <c:v>239410.34810418452</c:v>
                </c:pt>
                <c:pt idx="36" formatCode="General">
                  <c:v>246060.63555152298</c:v>
                </c:pt>
                <c:pt idx="37" formatCode="General">
                  <c:v>252710.92299886144</c:v>
                </c:pt>
                <c:pt idx="38" formatCode="General">
                  <c:v>259361.2104461999</c:v>
                </c:pt>
                <c:pt idx="39" formatCode="General">
                  <c:v>266011.49789353838</c:v>
                </c:pt>
              </c:numCache>
            </c:numRef>
          </c:cat>
          <c:val>
            <c:numRef>
              <c:f>loss_distribution!$V$5:$V$44</c:f>
              <c:numCache>
                <c:formatCode>0.00%</c:formatCode>
                <c:ptCount val="40"/>
                <c:pt idx="0">
                  <c:v>0.11799999999999999</c:v>
                </c:pt>
                <c:pt idx="1">
                  <c:v>1.4E-2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8.0000000000000002E-3</c:v>
                </c:pt>
                <c:pt idx="7">
                  <c:v>1.0999999999999999E-2</c:v>
                </c:pt>
                <c:pt idx="8">
                  <c:v>7.0000000000000001E-3</c:v>
                </c:pt>
                <c:pt idx="9">
                  <c:v>8.0000000000000002E-3</c:v>
                </c:pt>
                <c:pt idx="10">
                  <c:v>8.0000000000000002E-3</c:v>
                </c:pt>
                <c:pt idx="11">
                  <c:v>1.0999999999999999E-2</c:v>
                </c:pt>
                <c:pt idx="12">
                  <c:v>1.9E-2</c:v>
                </c:pt>
                <c:pt idx="13">
                  <c:v>1.4E-2</c:v>
                </c:pt>
                <c:pt idx="14">
                  <c:v>2.1000000000000001E-2</c:v>
                </c:pt>
                <c:pt idx="15">
                  <c:v>2.7E-2</c:v>
                </c:pt>
                <c:pt idx="16">
                  <c:v>3.5000000000000003E-2</c:v>
                </c:pt>
                <c:pt idx="17">
                  <c:v>3.5999999999999997E-2</c:v>
                </c:pt>
                <c:pt idx="18">
                  <c:v>0.05</c:v>
                </c:pt>
                <c:pt idx="19">
                  <c:v>0.04</c:v>
                </c:pt>
                <c:pt idx="20">
                  <c:v>4.8000000000000001E-2</c:v>
                </c:pt>
                <c:pt idx="21">
                  <c:v>5.3999999999999999E-2</c:v>
                </c:pt>
                <c:pt idx="22">
                  <c:v>5.3999999999999999E-2</c:v>
                </c:pt>
                <c:pt idx="23">
                  <c:v>5.6000000000000001E-2</c:v>
                </c:pt>
                <c:pt idx="24">
                  <c:v>5.8999999999999997E-2</c:v>
                </c:pt>
                <c:pt idx="25">
                  <c:v>4.2999999999999997E-2</c:v>
                </c:pt>
                <c:pt idx="26">
                  <c:v>4.9000000000000002E-2</c:v>
                </c:pt>
                <c:pt idx="27">
                  <c:v>4.9000000000000002E-2</c:v>
                </c:pt>
                <c:pt idx="28">
                  <c:v>2.7E-2</c:v>
                </c:pt>
                <c:pt idx="29">
                  <c:v>2.4E-2</c:v>
                </c:pt>
                <c:pt idx="30">
                  <c:v>2.4E-2</c:v>
                </c:pt>
                <c:pt idx="31">
                  <c:v>2.1000000000000001E-2</c:v>
                </c:pt>
                <c:pt idx="32">
                  <c:v>1.7000000000000001E-2</c:v>
                </c:pt>
                <c:pt idx="33">
                  <c:v>7.0000000000000001E-3</c:v>
                </c:pt>
                <c:pt idx="34">
                  <c:v>1E-3</c:v>
                </c:pt>
                <c:pt idx="35">
                  <c:v>6.0000000000000001E-3</c:v>
                </c:pt>
                <c:pt idx="36">
                  <c:v>7.0000000000000001E-3</c:v>
                </c:pt>
                <c:pt idx="37">
                  <c:v>4.0000000000000001E-3</c:v>
                </c:pt>
                <c:pt idx="38">
                  <c:v>4.0000000000000001E-3</c:v>
                </c:pt>
                <c:pt idx="39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1-4C5C-9206-708BD67B7ED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loss_distribution!$V$8</c:f>
              <c:numCache>
                <c:formatCode>0.00%</c:formatCode>
                <c:ptCount val="1"/>
                <c:pt idx="0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E1-4C5C-9206-708BD67B7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2155919"/>
        <c:axId val="1012156879"/>
      </c:barChart>
      <c:catAx>
        <c:axId val="101215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56879"/>
        <c:crosses val="autoZero"/>
        <c:auto val="1"/>
        <c:lblAlgn val="ctr"/>
        <c:lblOffset val="100"/>
        <c:noMultiLvlLbl val="0"/>
      </c:catAx>
      <c:valAx>
        <c:axId val="101215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5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104774</xdr:colOff>
      <xdr:row>11</xdr:row>
      <xdr:rowOff>142875</xdr:rowOff>
    </xdr:from>
    <xdr:to>
      <xdr:col>24</xdr:col>
      <xdr:colOff>609599</xdr:colOff>
      <xdr:row>26</xdr:row>
      <xdr:rowOff>109538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1E4219-B199-3F80-E254-6D6787149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190500</xdr:colOff>
      <xdr:row>9</xdr:row>
      <xdr:rowOff>85725</xdr:rowOff>
    </xdr:from>
    <xdr:to>
      <xdr:col>24</xdr:col>
      <xdr:colOff>266700</xdr:colOff>
      <xdr:row>24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CABD51-044B-0E78-78D9-BFF5A1156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171450</xdr:colOff>
      <xdr:row>8</xdr:row>
      <xdr:rowOff>80963</xdr:rowOff>
    </xdr:from>
    <xdr:to>
      <xdr:col>23</xdr:col>
      <xdr:colOff>476250</xdr:colOff>
      <xdr:row>24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DC00BE-D91D-8756-1221-310159D45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647700</xdr:colOff>
      <xdr:row>7</xdr:row>
      <xdr:rowOff>128588</xdr:rowOff>
    </xdr:from>
    <xdr:to>
      <xdr:col>23</xdr:col>
      <xdr:colOff>219075</xdr:colOff>
      <xdr:row>23</xdr:row>
      <xdr:rowOff>128588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B2D393-117F-E7E3-EA13-27922B816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304799</xdr:colOff>
      <xdr:row>4</xdr:row>
      <xdr:rowOff>87086</xdr:rowOff>
    </xdr:from>
    <xdr:to>
      <xdr:col>8</xdr:col>
      <xdr:colOff>293913</xdr:colOff>
      <xdr:row>32</xdr:row>
      <xdr:rowOff>102326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D863A244-EE4B-4F9E-9C69-44E54BFFE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7</xdr:row>
      <xdr:rowOff>47625</xdr:rowOff>
    </xdr:from>
    <xdr:to>
      <xdr:col>6</xdr:col>
      <xdr:colOff>200025</xdr:colOff>
      <xdr:row>22</xdr:row>
      <xdr:rowOff>131445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E77948E-8629-9EB9-602A-846C6B6DE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ata\AUTO%20GROUP\Driver's%20Seat\2006\November%202006\Prime%20and%20Subprime%20indexes%202006-1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4d0ef771179925b/Music/UBI%20training/ECL%203%20days%20training%20-%20Final%20Filled.xlsx" TargetMode="External"/><Relationship Id="rId1" Type="http://schemas.openxmlformats.org/officeDocument/2006/relationships/externalLinkPath" Target="/24d0ef771179925b/Music/UBI%20training/ECL%203%20days%20training%20-%20Final%20Fill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ata\AUTO%20GROUP\Driver's%20Seat\2006\September%20%202006\Prime%20and%20Subprime%20indexes%202006-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"/>
      <sheetName val="Summary2"/>
      <sheetName val="Historic"/>
      <sheetName val="Prime Data"/>
      <sheetName val="Subprime Data"/>
      <sheetName val="Prime 60+"/>
      <sheetName val="Subprime 60+"/>
      <sheetName val="Prime ANL"/>
      <sheetName val="Subprime ANL"/>
      <sheetName val="Adjusted Prime CNL"/>
    </sheetNames>
    <sheetDataSet>
      <sheetData sheetId="0"/>
      <sheetData sheetId="1"/>
      <sheetData sheetId="2"/>
      <sheetData sheetId="3">
        <row r="7">
          <cell r="A7">
            <v>1</v>
          </cell>
        </row>
        <row r="8">
          <cell r="A8">
            <v>2</v>
          </cell>
        </row>
        <row r="9">
          <cell r="A9">
            <v>3</v>
          </cell>
        </row>
        <row r="10">
          <cell r="A10">
            <v>4</v>
          </cell>
        </row>
        <row r="11">
          <cell r="A11">
            <v>5</v>
          </cell>
        </row>
        <row r="12">
          <cell r="A12">
            <v>6</v>
          </cell>
        </row>
        <row r="13">
          <cell r="A13">
            <v>7</v>
          </cell>
        </row>
        <row r="14">
          <cell r="A14">
            <v>8</v>
          </cell>
        </row>
        <row r="15">
          <cell r="A15">
            <v>9</v>
          </cell>
        </row>
        <row r="16">
          <cell r="A16">
            <v>10</v>
          </cell>
        </row>
        <row r="17">
          <cell r="A17">
            <v>11</v>
          </cell>
        </row>
        <row r="18">
          <cell r="A18">
            <v>12</v>
          </cell>
        </row>
        <row r="19">
          <cell r="A19">
            <v>13</v>
          </cell>
        </row>
        <row r="20">
          <cell r="A20">
            <v>14</v>
          </cell>
        </row>
        <row r="21">
          <cell r="A21">
            <v>15</v>
          </cell>
        </row>
        <row r="22">
          <cell r="A22">
            <v>16</v>
          </cell>
        </row>
        <row r="23">
          <cell r="A23">
            <v>17</v>
          </cell>
        </row>
        <row r="24">
          <cell r="A24">
            <v>18</v>
          </cell>
        </row>
        <row r="25">
          <cell r="A25">
            <v>19</v>
          </cell>
        </row>
        <row r="26">
          <cell r="A26">
            <v>20</v>
          </cell>
        </row>
        <row r="27">
          <cell r="A27">
            <v>21</v>
          </cell>
        </row>
        <row r="28">
          <cell r="A28">
            <v>22</v>
          </cell>
        </row>
        <row r="29">
          <cell r="A29">
            <v>23</v>
          </cell>
        </row>
        <row r="30">
          <cell r="A30">
            <v>24</v>
          </cell>
        </row>
        <row r="31">
          <cell r="A31">
            <v>25</v>
          </cell>
        </row>
        <row r="32">
          <cell r="A32">
            <v>26</v>
          </cell>
        </row>
        <row r="33">
          <cell r="A33">
            <v>27</v>
          </cell>
        </row>
        <row r="34">
          <cell r="A34">
            <v>28</v>
          </cell>
        </row>
        <row r="35">
          <cell r="A35">
            <v>29</v>
          </cell>
        </row>
        <row r="36">
          <cell r="A36">
            <v>30</v>
          </cell>
        </row>
        <row r="37">
          <cell r="A37">
            <v>31</v>
          </cell>
        </row>
        <row r="38">
          <cell r="A38">
            <v>32</v>
          </cell>
        </row>
        <row r="39">
          <cell r="A39">
            <v>33</v>
          </cell>
        </row>
        <row r="40">
          <cell r="A40">
            <v>34</v>
          </cell>
        </row>
        <row r="41">
          <cell r="A41">
            <v>35</v>
          </cell>
        </row>
        <row r="42">
          <cell r="A42">
            <v>36</v>
          </cell>
        </row>
        <row r="43">
          <cell r="A43">
            <v>37</v>
          </cell>
        </row>
        <row r="44">
          <cell r="A44">
            <v>38</v>
          </cell>
        </row>
        <row r="45">
          <cell r="A45">
            <v>39</v>
          </cell>
        </row>
        <row r="46">
          <cell r="A46">
            <v>40</v>
          </cell>
        </row>
        <row r="47">
          <cell r="A47">
            <v>41</v>
          </cell>
        </row>
        <row r="48">
          <cell r="A48">
            <v>42</v>
          </cell>
        </row>
        <row r="49">
          <cell r="A49">
            <v>43</v>
          </cell>
        </row>
        <row r="50">
          <cell r="A50">
            <v>44</v>
          </cell>
        </row>
        <row r="51">
          <cell r="A51">
            <v>45</v>
          </cell>
        </row>
        <row r="52">
          <cell r="A52">
            <v>46</v>
          </cell>
        </row>
        <row r="53">
          <cell r="A53">
            <v>47</v>
          </cell>
        </row>
        <row r="54">
          <cell r="A54">
            <v>48</v>
          </cell>
        </row>
        <row r="55">
          <cell r="A55">
            <v>49</v>
          </cell>
        </row>
        <row r="56">
          <cell r="A56">
            <v>50</v>
          </cell>
        </row>
        <row r="57">
          <cell r="A57">
            <v>51</v>
          </cell>
        </row>
        <row r="58">
          <cell r="A58">
            <v>52</v>
          </cell>
        </row>
        <row r="59">
          <cell r="A59">
            <v>53</v>
          </cell>
        </row>
        <row r="60">
          <cell r="A60">
            <v>54</v>
          </cell>
        </row>
        <row r="61">
          <cell r="A61">
            <v>55</v>
          </cell>
        </row>
        <row r="62">
          <cell r="A62">
            <v>56</v>
          </cell>
        </row>
        <row r="63">
          <cell r="A63">
            <v>57</v>
          </cell>
        </row>
        <row r="64">
          <cell r="A64">
            <v>58</v>
          </cell>
        </row>
        <row r="65">
          <cell r="A65">
            <v>59</v>
          </cell>
        </row>
        <row r="66">
          <cell r="A66">
            <v>60</v>
          </cell>
        </row>
        <row r="67">
          <cell r="A67">
            <v>61</v>
          </cell>
        </row>
        <row r="68">
          <cell r="A68">
            <v>62</v>
          </cell>
        </row>
        <row r="69">
          <cell r="A69">
            <v>63</v>
          </cell>
        </row>
        <row r="70">
          <cell r="A70">
            <v>64</v>
          </cell>
        </row>
        <row r="71">
          <cell r="A71">
            <v>65</v>
          </cell>
        </row>
        <row r="72">
          <cell r="A72">
            <v>66</v>
          </cell>
        </row>
        <row r="73">
          <cell r="A73">
            <v>67</v>
          </cell>
        </row>
        <row r="74">
          <cell r="A74">
            <v>68</v>
          </cell>
        </row>
        <row r="75">
          <cell r="A75">
            <v>69</v>
          </cell>
        </row>
        <row r="76">
          <cell r="A76">
            <v>70</v>
          </cell>
        </row>
        <row r="77">
          <cell r="A77">
            <v>71</v>
          </cell>
        </row>
        <row r="78">
          <cell r="A78">
            <v>72</v>
          </cell>
        </row>
        <row r="79">
          <cell r="A79">
            <v>73</v>
          </cell>
        </row>
        <row r="80">
          <cell r="A80">
            <v>74</v>
          </cell>
        </row>
        <row r="81">
          <cell r="A81">
            <v>75</v>
          </cell>
        </row>
        <row r="82">
          <cell r="A82">
            <v>76</v>
          </cell>
        </row>
        <row r="83">
          <cell r="A83">
            <v>77</v>
          </cell>
        </row>
        <row r="84">
          <cell r="A84">
            <v>78</v>
          </cell>
        </row>
        <row r="85">
          <cell r="A85">
            <v>79</v>
          </cell>
        </row>
        <row r="86">
          <cell r="A86">
            <v>80</v>
          </cell>
        </row>
        <row r="87">
          <cell r="A87">
            <v>81</v>
          </cell>
        </row>
        <row r="88">
          <cell r="A88">
            <v>82</v>
          </cell>
        </row>
        <row r="89">
          <cell r="A89">
            <v>83</v>
          </cell>
        </row>
        <row r="90">
          <cell r="A90">
            <v>84</v>
          </cell>
        </row>
        <row r="91">
          <cell r="A91">
            <v>85</v>
          </cell>
        </row>
        <row r="92">
          <cell r="A92">
            <v>86</v>
          </cell>
        </row>
        <row r="93">
          <cell r="A93">
            <v>87</v>
          </cell>
        </row>
        <row r="94">
          <cell r="A94">
            <v>88</v>
          </cell>
        </row>
        <row r="95">
          <cell r="A95">
            <v>89</v>
          </cell>
        </row>
        <row r="96">
          <cell r="A96">
            <v>90</v>
          </cell>
        </row>
        <row r="97">
          <cell r="A97">
            <v>91</v>
          </cell>
        </row>
        <row r="98">
          <cell r="A98">
            <v>92</v>
          </cell>
        </row>
        <row r="99">
          <cell r="A99">
            <v>93</v>
          </cell>
        </row>
        <row r="100">
          <cell r="A100">
            <v>94</v>
          </cell>
        </row>
        <row r="101">
          <cell r="A101">
            <v>95</v>
          </cell>
        </row>
        <row r="102">
          <cell r="A102">
            <v>96</v>
          </cell>
        </row>
        <row r="103">
          <cell r="A103">
            <v>97</v>
          </cell>
        </row>
        <row r="104">
          <cell r="A104">
            <v>98</v>
          </cell>
        </row>
        <row r="105">
          <cell r="A105">
            <v>99</v>
          </cell>
        </row>
        <row r="106">
          <cell r="A106">
            <v>100</v>
          </cell>
        </row>
        <row r="107">
          <cell r="A107">
            <v>101</v>
          </cell>
        </row>
        <row r="108">
          <cell r="A108">
            <v>102</v>
          </cell>
        </row>
        <row r="109">
          <cell r="A109">
            <v>103</v>
          </cell>
        </row>
        <row r="110">
          <cell r="A110">
            <v>104</v>
          </cell>
        </row>
        <row r="111">
          <cell r="A111">
            <v>105</v>
          </cell>
        </row>
        <row r="112">
          <cell r="A112">
            <v>106</v>
          </cell>
        </row>
        <row r="113">
          <cell r="A113">
            <v>107</v>
          </cell>
        </row>
        <row r="114">
          <cell r="A114">
            <v>108</v>
          </cell>
        </row>
        <row r="115">
          <cell r="A115">
            <v>109</v>
          </cell>
        </row>
        <row r="116">
          <cell r="A116">
            <v>110</v>
          </cell>
        </row>
        <row r="117">
          <cell r="A117">
            <v>111</v>
          </cell>
        </row>
        <row r="118">
          <cell r="A118">
            <v>112</v>
          </cell>
        </row>
        <row r="119">
          <cell r="A119">
            <v>113</v>
          </cell>
        </row>
        <row r="120">
          <cell r="A120">
            <v>114</v>
          </cell>
        </row>
        <row r="121">
          <cell r="A121">
            <v>115</v>
          </cell>
        </row>
        <row r="122">
          <cell r="A122">
            <v>116</v>
          </cell>
        </row>
        <row r="123">
          <cell r="A123">
            <v>117</v>
          </cell>
        </row>
        <row r="124">
          <cell r="A124">
            <v>118</v>
          </cell>
        </row>
        <row r="125">
          <cell r="A125">
            <v>119</v>
          </cell>
        </row>
        <row r="126">
          <cell r="A126">
            <v>120</v>
          </cell>
        </row>
        <row r="127">
          <cell r="A127">
            <v>121</v>
          </cell>
        </row>
        <row r="128">
          <cell r="A128">
            <v>122</v>
          </cell>
        </row>
        <row r="129">
          <cell r="A129">
            <v>123</v>
          </cell>
        </row>
        <row r="130">
          <cell r="A130">
            <v>124</v>
          </cell>
        </row>
        <row r="131">
          <cell r="A131">
            <v>125</v>
          </cell>
        </row>
        <row r="132">
          <cell r="A132">
            <v>126</v>
          </cell>
        </row>
        <row r="133">
          <cell r="A133">
            <v>127</v>
          </cell>
        </row>
        <row r="134">
          <cell r="A134">
            <v>128</v>
          </cell>
        </row>
        <row r="135">
          <cell r="A135">
            <v>129</v>
          </cell>
        </row>
        <row r="136">
          <cell r="A136">
            <v>130</v>
          </cell>
        </row>
        <row r="137">
          <cell r="A137">
            <v>131</v>
          </cell>
        </row>
        <row r="138">
          <cell r="A138">
            <v>132</v>
          </cell>
        </row>
        <row r="139">
          <cell r="A139">
            <v>133</v>
          </cell>
        </row>
        <row r="140">
          <cell r="A140">
            <v>134</v>
          </cell>
        </row>
        <row r="141">
          <cell r="A141">
            <v>135</v>
          </cell>
        </row>
        <row r="142">
          <cell r="A142">
            <v>136</v>
          </cell>
        </row>
        <row r="143">
          <cell r="A143">
            <v>137</v>
          </cell>
        </row>
        <row r="144">
          <cell r="A144">
            <v>138</v>
          </cell>
        </row>
        <row r="145">
          <cell r="A145">
            <v>139</v>
          </cell>
        </row>
        <row r="146">
          <cell r="A146">
            <v>140</v>
          </cell>
        </row>
        <row r="147">
          <cell r="A147">
            <v>141</v>
          </cell>
        </row>
        <row r="148">
          <cell r="A148">
            <v>142</v>
          </cell>
        </row>
        <row r="149">
          <cell r="A149">
            <v>143</v>
          </cell>
        </row>
        <row r="150">
          <cell r="A150">
            <v>144</v>
          </cell>
        </row>
        <row r="151">
          <cell r="A151">
            <v>145</v>
          </cell>
        </row>
        <row r="152">
          <cell r="A152">
            <v>146</v>
          </cell>
        </row>
        <row r="153">
          <cell r="A153">
            <v>147</v>
          </cell>
        </row>
        <row r="154">
          <cell r="A154">
            <v>148</v>
          </cell>
        </row>
        <row r="155">
          <cell r="A155">
            <v>149</v>
          </cell>
        </row>
        <row r="156">
          <cell r="A156">
            <v>150</v>
          </cell>
        </row>
        <row r="157">
          <cell r="A157">
            <v>151</v>
          </cell>
        </row>
        <row r="158">
          <cell r="A158">
            <v>152</v>
          </cell>
        </row>
        <row r="159">
          <cell r="A159">
            <v>153</v>
          </cell>
        </row>
        <row r="160">
          <cell r="A160">
            <v>154</v>
          </cell>
        </row>
        <row r="161">
          <cell r="A161">
            <v>155</v>
          </cell>
        </row>
        <row r="162">
          <cell r="A162">
            <v>156</v>
          </cell>
        </row>
        <row r="163">
          <cell r="A163">
            <v>157</v>
          </cell>
        </row>
        <row r="164">
          <cell r="A164">
            <v>158</v>
          </cell>
        </row>
        <row r="165">
          <cell r="A165">
            <v>159</v>
          </cell>
        </row>
        <row r="166">
          <cell r="A166">
            <v>160</v>
          </cell>
        </row>
        <row r="167">
          <cell r="A167">
            <v>161</v>
          </cell>
        </row>
        <row r="168">
          <cell r="A168">
            <v>162</v>
          </cell>
        </row>
        <row r="169">
          <cell r="A169">
            <v>163</v>
          </cell>
        </row>
        <row r="170">
          <cell r="A170">
            <v>164</v>
          </cell>
        </row>
        <row r="171">
          <cell r="A171">
            <v>165</v>
          </cell>
        </row>
        <row r="172">
          <cell r="A172">
            <v>166</v>
          </cell>
        </row>
        <row r="173">
          <cell r="A173">
            <v>167</v>
          </cell>
        </row>
        <row r="174">
          <cell r="A174">
            <v>168</v>
          </cell>
        </row>
        <row r="175">
          <cell r="A175">
            <v>169</v>
          </cell>
        </row>
        <row r="176">
          <cell r="A176">
            <v>170</v>
          </cell>
        </row>
        <row r="177">
          <cell r="A177">
            <v>171</v>
          </cell>
        </row>
        <row r="178">
          <cell r="A178">
            <v>172</v>
          </cell>
        </row>
        <row r="179">
          <cell r="A179">
            <v>173</v>
          </cell>
        </row>
        <row r="180">
          <cell r="A180">
            <v>174</v>
          </cell>
        </row>
        <row r="181">
          <cell r="A181">
            <v>175</v>
          </cell>
        </row>
        <row r="182">
          <cell r="A182">
            <v>176</v>
          </cell>
        </row>
        <row r="183">
          <cell r="A183">
            <v>177</v>
          </cell>
        </row>
        <row r="184">
          <cell r="A184">
            <v>178</v>
          </cell>
        </row>
        <row r="185">
          <cell r="A185">
            <v>179</v>
          </cell>
        </row>
        <row r="186">
          <cell r="A186">
            <v>180</v>
          </cell>
        </row>
        <row r="187">
          <cell r="A187">
            <v>181</v>
          </cell>
        </row>
        <row r="188">
          <cell r="A188">
            <v>182</v>
          </cell>
        </row>
        <row r="189">
          <cell r="A189">
            <v>183</v>
          </cell>
        </row>
        <row r="190">
          <cell r="A190">
            <v>184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TC PD"/>
      <sheetName val="DGP_1"/>
      <sheetName val="DGP_2"/>
      <sheetName val="Macroeconomic Model"/>
      <sheetName val="Validation_Scalar"/>
      <sheetName val="Calibration"/>
      <sheetName val="Macroeconomic index"/>
      <sheetName val="Vasicek Model"/>
      <sheetName val="Vasicek vs Log odds"/>
      <sheetName val="Vasicek Calibration "/>
      <sheetName val="Validation_summary"/>
      <sheetName val="OOT"/>
      <sheetName val="ROC_visuals"/>
      <sheetName val="Validation_Basel"/>
      <sheetName val="Validation_IFRS"/>
      <sheetName val="Validation_Stress testing"/>
      <sheetName val="Validation_Regression"/>
      <sheetName val="Rating-Data"/>
      <sheetName val="Transition Matrix"/>
      <sheetName val="Wholesale"/>
      <sheetName val="Qtrly_TM"/>
      <sheetName val="5C"/>
      <sheetName val="Exponential_dist"/>
      <sheetName val="Calibration_all methods"/>
      <sheetName val="Term Structure_Retail"/>
      <sheetName val="Term Structure Wholesale"/>
      <sheetName val="MMULT_logic"/>
      <sheetName val="LGD_Chain Ladder"/>
      <sheetName val="LGD function illustration"/>
      <sheetName val="LGD_Unsecured Loans"/>
      <sheetName val="PPR"/>
      <sheetName val="EAD Amort schedule"/>
      <sheetName val="Collateral"/>
      <sheetName val="LGD_Secured"/>
      <sheetName val="Sheet1"/>
      <sheetName val="Macrodata_CCF"/>
      <sheetName val="Creditcard sample data"/>
      <sheetName val="CCF Termstructure"/>
      <sheetName val="CCF_concepts"/>
      <sheetName val="EC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55">
          <cell r="U55">
            <v>-1.3799786621794865</v>
          </cell>
          <cell r="V55">
            <v>0.5</v>
          </cell>
        </row>
      </sheetData>
      <sheetData sheetId="20">
        <row r="5">
          <cell r="E5">
            <v>0.55544737451615367</v>
          </cell>
          <cell r="F5">
            <v>0.35187410966682942</v>
          </cell>
          <cell r="G5">
            <v>8.4525497182928622E-2</v>
          </cell>
          <cell r="H5">
            <v>7.2795483836342635E-3</v>
          </cell>
          <cell r="I5">
            <v>2.3399587680329758E-5</v>
          </cell>
          <cell r="J5">
            <v>1.5601272800358978E-5</v>
          </cell>
          <cell r="K5">
            <v>7.8010498731877079E-6</v>
          </cell>
          <cell r="L5">
            <v>0</v>
          </cell>
          <cell r="M5">
            <v>8.2666834010011086E-4</v>
          </cell>
          <cell r="O5">
            <v>1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6">
          <cell r="E6">
            <v>5.2617535849369679E-3</v>
          </cell>
          <cell r="F6">
            <v>0.52551818867003575</v>
          </cell>
          <cell r="G6">
            <v>0.34165098756671203</v>
          </cell>
          <cell r="H6">
            <v>5.9787469313530753E-2</v>
          </cell>
          <cell r="I6">
            <v>4.7012716253074113E-2</v>
          </cell>
          <cell r="J6">
            <v>9.5482599102654029E-3</v>
          </cell>
          <cell r="K6">
            <v>3.8907316324890435E-3</v>
          </cell>
          <cell r="L6">
            <v>4.0807160853114531E-3</v>
          </cell>
          <cell r="M6">
            <v>3.2491769836445481E-3</v>
          </cell>
          <cell r="O6">
            <v>0</v>
          </cell>
          <cell r="P6">
            <v>1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</row>
        <row r="7">
          <cell r="E7">
            <v>1.7825673720439639E-6</v>
          </cell>
          <cell r="F7">
            <v>1.6124369144102646E-3</v>
          </cell>
          <cell r="G7">
            <v>0.41264896180317456</v>
          </cell>
          <cell r="H7">
            <v>0.29212476890568539</v>
          </cell>
          <cell r="I7">
            <v>0.15533707081680467</v>
          </cell>
          <cell r="J7">
            <v>6.507889404896168E-2</v>
          </cell>
          <cell r="K7">
            <v>1.7234987303259196E-2</v>
          </cell>
          <cell r="L7">
            <v>1.5907363636029688E-2</v>
          </cell>
          <cell r="M7">
            <v>4.0053734004302496E-2</v>
          </cell>
          <cell r="O7">
            <v>0</v>
          </cell>
          <cell r="P7">
            <v>0</v>
          </cell>
          <cell r="Q7">
            <v>1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</row>
        <row r="8">
          <cell r="E8">
            <v>5.9106536443032098E-8</v>
          </cell>
          <cell r="F8">
            <v>5.3064195506657974E-5</v>
          </cell>
          <cell r="G8">
            <v>3.2783324842025063E-2</v>
          </cell>
          <cell r="H8">
            <v>0.41101493657818322</v>
          </cell>
          <cell r="I8">
            <v>0.29148998997372133</v>
          </cell>
          <cell r="J8">
            <v>0.13990103528605338</v>
          </cell>
          <cell r="K8">
            <v>3.8506344579125218E-2</v>
          </cell>
          <cell r="L8">
            <v>3.2573229903678912E-2</v>
          </cell>
          <cell r="M8">
            <v>5.3678015535169772E-2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</row>
        <row r="9">
          <cell r="E9">
            <v>2.3185564579364382E-10</v>
          </cell>
          <cell r="F9">
            <v>1.3239812516441241E-5</v>
          </cell>
          <cell r="G9">
            <v>8.2746289028660103E-3</v>
          </cell>
          <cell r="H9">
            <v>5.0722368305021193E-2</v>
          </cell>
          <cell r="I9">
            <v>0.45749617277080462</v>
          </cell>
          <cell r="J9">
            <v>0.24227918401931642</v>
          </cell>
          <cell r="K9">
            <v>9.7054108759797392E-2</v>
          </cell>
          <cell r="L9">
            <v>5.4488326839703019E-2</v>
          </cell>
          <cell r="M9">
            <v>8.967197035811926E-2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</row>
        <row r="10">
          <cell r="E10">
            <v>1.194737642151722E-10</v>
          </cell>
          <cell r="F10">
            <v>7.9994056731980123E-6</v>
          </cell>
          <cell r="G10">
            <v>2.2391805815914489E-3</v>
          </cell>
          <cell r="H10">
            <v>1.5240674739534277E-2</v>
          </cell>
          <cell r="I10">
            <v>5.4136622570707393E-2</v>
          </cell>
          <cell r="J10">
            <v>0.50137469026860015</v>
          </cell>
          <cell r="K10">
            <v>0.14308052303189867</v>
          </cell>
          <cell r="L10">
            <v>0.10663841684204647</v>
          </cell>
          <cell r="M10">
            <v>0.17728189244047463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</v>
          </cell>
          <cell r="U10">
            <v>0</v>
          </cell>
          <cell r="V10">
            <v>0</v>
          </cell>
          <cell r="W10">
            <v>0</v>
          </cell>
        </row>
        <row r="11">
          <cell r="E11">
            <v>3.8496650311969915E-11</v>
          </cell>
          <cell r="F11">
            <v>3.3119194476904923E-6</v>
          </cell>
          <cell r="G11">
            <v>2.1877032585545519E-3</v>
          </cell>
          <cell r="H11">
            <v>9.1918099916669105E-3</v>
          </cell>
          <cell r="I11">
            <v>2.3901350971583968E-2</v>
          </cell>
          <cell r="J11">
            <v>5.6905556278536773E-2</v>
          </cell>
          <cell r="K11">
            <v>0.45769239974726139</v>
          </cell>
          <cell r="L11">
            <v>0.19218318895649683</v>
          </cell>
          <cell r="M11">
            <v>0.25793467883795523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</v>
          </cell>
          <cell r="V11">
            <v>0</v>
          </cell>
          <cell r="W11">
            <v>0</v>
          </cell>
        </row>
        <row r="12">
          <cell r="E12">
            <v>0</v>
          </cell>
          <cell r="F12">
            <v>3.3009688485963196E-6</v>
          </cell>
          <cell r="G12">
            <v>2.1874750908370544E-3</v>
          </cell>
          <cell r="H12">
            <v>7.037149392961406E-3</v>
          </cell>
          <cell r="I12">
            <v>2.2286332314846224E-2</v>
          </cell>
          <cell r="J12">
            <v>3.7689485552983459E-2</v>
          </cell>
          <cell r="K12">
            <v>5.4028950179476509E-2</v>
          </cell>
          <cell r="L12">
            <v>0.53032681536703552</v>
          </cell>
          <cell r="M12">
            <v>0.34644049113301123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1</v>
          </cell>
          <cell r="W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</row>
        <row r="33">
          <cell r="E33">
            <v>-0.14714483998729699</v>
          </cell>
          <cell r="F33">
            <v>0.15965459380448332</v>
          </cell>
          <cell r="G33">
            <v>-6.7535089328915445E-3</v>
          </cell>
          <cell r="H33">
            <v>-3.5223941362517042E-3</v>
          </cell>
          <cell r="I33">
            <v>-4.0820423865404708E-3</v>
          </cell>
          <cell r="J33">
            <v>1.0726054150764926E-3</v>
          </cell>
          <cell r="K33">
            <v>2.5905443931943005E-4</v>
          </cell>
          <cell r="L33">
            <v>-5.7981110490819984E-5</v>
          </cell>
          <cell r="M33">
            <v>5.7451289459224295E-4</v>
          </cell>
        </row>
        <row r="34">
          <cell r="E34">
            <v>2.3879804050735837E-3</v>
          </cell>
          <cell r="F34">
            <v>-0.16095428744292686</v>
          </cell>
          <cell r="G34">
            <v>0.17523470773859715</v>
          </cell>
          <cell r="H34">
            <v>-1.5207039959636341E-2</v>
          </cell>
          <cell r="I34">
            <v>3.0165094096464866E-3</v>
          </cell>
          <cell r="J34">
            <v>-3.5867677029606374E-3</v>
          </cell>
          <cell r="K34">
            <v>3.6503912492515654E-4</v>
          </cell>
          <cell r="L34">
            <v>5.3182042662688477E-4</v>
          </cell>
          <cell r="M34">
            <v>-1.7879619993453879E-3</v>
          </cell>
        </row>
        <row r="35">
          <cell r="E35">
            <v>-2.5735638804758229E-6</v>
          </cell>
          <cell r="F35">
            <v>8.2476907912259101E-4</v>
          </cell>
          <cell r="G35">
            <v>-0.22315141900833646</v>
          </cell>
          <cell r="H35">
            <v>0.16389127786484786</v>
          </cell>
          <cell r="I35">
            <v>4.3690412121859562E-2</v>
          </cell>
          <cell r="J35">
            <v>6.0581025588079263E-3</v>
          </cell>
          <cell r="K35">
            <v>-5.8836829191173743E-4</v>
          </cell>
          <cell r="L35">
            <v>1.6775191436781834E-3</v>
          </cell>
          <cell r="M35">
            <v>7.6002800958125654E-3</v>
          </cell>
        </row>
        <row r="36">
          <cell r="E36">
            <v>-8.6786524324701374E-9</v>
          </cell>
          <cell r="F36">
            <v>2.6991432822623886E-6</v>
          </cell>
          <cell r="G36">
            <v>1.7579040845259304E-2</v>
          </cell>
          <cell r="H36">
            <v>-0.23097485245322866</v>
          </cell>
          <cell r="I36">
            <v>0.1565152166220817</v>
          </cell>
          <cell r="J36">
            <v>4.1936863127163437E-2</v>
          </cell>
          <cell r="K36">
            <v>2.4418073648811963E-3</v>
          </cell>
          <cell r="L36">
            <v>5.7730401279316385E-3</v>
          </cell>
          <cell r="M36">
            <v>6.7261939012815755E-3</v>
          </cell>
        </row>
        <row r="37">
          <cell r="E37">
            <v>-5.3821989243078938E-9</v>
          </cell>
          <cell r="F37">
            <v>3.9397034986065183E-8</v>
          </cell>
          <cell r="G37">
            <v>3.5115474125281959E-3</v>
          </cell>
          <cell r="H37">
            <v>2.5182176233491938E-2</v>
          </cell>
          <cell r="I37">
            <v>-0.20674335082491888</v>
          </cell>
          <cell r="J37">
            <v>0.11903032824343004</v>
          </cell>
          <cell r="K37">
            <v>3.5585901369194317E-2</v>
          </cell>
          <cell r="L37">
            <v>1.0692099428756173E-2</v>
          </cell>
          <cell r="M37">
            <v>1.2741264122682151E-2</v>
          </cell>
        </row>
        <row r="38">
          <cell r="E38">
            <v>-9.6513829364240342E-9</v>
          </cell>
          <cell r="F38">
            <v>2.2381486377672034E-6</v>
          </cell>
          <cell r="G38">
            <v>6.2107155809937049E-4</v>
          </cell>
          <cell r="H38">
            <v>6.0343517317243403E-3</v>
          </cell>
          <cell r="I38">
            <v>2.3846715286854794E-2</v>
          </cell>
          <cell r="J38">
            <v>-0.18149708567658068</v>
          </cell>
          <cell r="K38">
            <v>6.896213158242892E-2</v>
          </cell>
          <cell r="L38">
            <v>3.9221257917158033E-2</v>
          </cell>
          <cell r="M38">
            <v>4.2809329103060387E-2</v>
          </cell>
        </row>
        <row r="39">
          <cell r="E39">
            <v>-5.7726458095936248E-10</v>
          </cell>
          <cell r="F39">
            <v>-5.0104700804841132E-8</v>
          </cell>
          <cell r="G39">
            <v>8.0205665600411094E-4</v>
          </cell>
          <cell r="H39">
            <v>3.5291365619120685E-3</v>
          </cell>
          <cell r="I39">
            <v>8.7201832759441818E-3</v>
          </cell>
          <cell r="J39">
            <v>2.3804538602292737E-2</v>
          </cell>
          <cell r="K39">
            <v>-0.20150769147289188</v>
          </cell>
          <cell r="L39">
            <v>9.2847303094727635E-2</v>
          </cell>
          <cell r="M39">
            <v>7.1804523963976533E-2</v>
          </cell>
        </row>
        <row r="40">
          <cell r="E40">
            <v>-1.0404341236808591E-9</v>
          </cell>
          <cell r="F40">
            <v>-1.292339173804742E-8</v>
          </cell>
          <cell r="G40">
            <v>9.0551996877618701E-4</v>
          </cell>
          <cell r="H40">
            <v>2.5763837570428505E-3</v>
          </cell>
          <cell r="I40">
            <v>9.0714789263868847E-3</v>
          </cell>
          <cell r="J40">
            <v>1.4649729087931362E-2</v>
          </cell>
          <cell r="K40">
            <v>2.4052139715040922E-2</v>
          </cell>
          <cell r="L40">
            <v>-0.1633094991985542</v>
          </cell>
          <cell r="M40">
            <v>0.11205426170720183</v>
          </cell>
        </row>
        <row r="41"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"/>
      <sheetName val="Summary2"/>
      <sheetName val="Historic"/>
      <sheetName val="Prime Data"/>
      <sheetName val="Subprime Data"/>
      <sheetName val="Prime 60+"/>
      <sheetName val="Subprime 60+"/>
      <sheetName val="Prime ANL"/>
      <sheetName val="Subprime ANL"/>
      <sheetName val="Adjusted Prime CNL"/>
    </sheetNames>
    <sheetDataSet>
      <sheetData sheetId="0" refreshError="1"/>
      <sheetData sheetId="1" refreshError="1"/>
      <sheetData sheetId="2" refreshError="1"/>
      <sheetData sheetId="3" refreshError="1">
        <row r="7">
          <cell r="A7">
            <v>1</v>
          </cell>
        </row>
        <row r="8">
          <cell r="A8">
            <v>2</v>
          </cell>
        </row>
        <row r="9">
          <cell r="A9">
            <v>3</v>
          </cell>
        </row>
        <row r="10">
          <cell r="A10">
            <v>4</v>
          </cell>
        </row>
        <row r="11">
          <cell r="A11">
            <v>5</v>
          </cell>
        </row>
        <row r="12">
          <cell r="A12">
            <v>6</v>
          </cell>
        </row>
        <row r="13">
          <cell r="A13">
            <v>7</v>
          </cell>
        </row>
        <row r="14">
          <cell r="A14">
            <v>8</v>
          </cell>
        </row>
        <row r="15">
          <cell r="A15">
            <v>9</v>
          </cell>
        </row>
        <row r="16">
          <cell r="A16">
            <v>10</v>
          </cell>
        </row>
        <row r="17">
          <cell r="A17">
            <v>11</v>
          </cell>
        </row>
        <row r="18">
          <cell r="A18">
            <v>12</v>
          </cell>
        </row>
        <row r="19">
          <cell r="A19">
            <v>13</v>
          </cell>
        </row>
        <row r="20">
          <cell r="A20">
            <v>14</v>
          </cell>
        </row>
        <row r="21">
          <cell r="A21">
            <v>15</v>
          </cell>
        </row>
        <row r="22">
          <cell r="A22">
            <v>16</v>
          </cell>
        </row>
        <row r="23">
          <cell r="A23">
            <v>17</v>
          </cell>
        </row>
        <row r="24">
          <cell r="A24">
            <v>18</v>
          </cell>
        </row>
        <row r="25">
          <cell r="A25">
            <v>19</v>
          </cell>
        </row>
        <row r="26">
          <cell r="A26">
            <v>20</v>
          </cell>
        </row>
        <row r="27">
          <cell r="A27">
            <v>21</v>
          </cell>
        </row>
        <row r="28">
          <cell r="A28">
            <v>22</v>
          </cell>
        </row>
        <row r="29">
          <cell r="A29">
            <v>23</v>
          </cell>
        </row>
        <row r="30">
          <cell r="A30">
            <v>24</v>
          </cell>
        </row>
        <row r="31">
          <cell r="A31">
            <v>25</v>
          </cell>
        </row>
        <row r="32">
          <cell r="A32">
            <v>26</v>
          </cell>
        </row>
        <row r="33">
          <cell r="A33">
            <v>27</v>
          </cell>
        </row>
        <row r="34">
          <cell r="A34">
            <v>28</v>
          </cell>
        </row>
        <row r="35">
          <cell r="A35">
            <v>29</v>
          </cell>
        </row>
        <row r="36">
          <cell r="A36">
            <v>30</v>
          </cell>
        </row>
        <row r="37">
          <cell r="A37">
            <v>31</v>
          </cell>
        </row>
        <row r="38">
          <cell r="A38">
            <v>32</v>
          </cell>
        </row>
        <row r="39">
          <cell r="A39">
            <v>33</v>
          </cell>
        </row>
        <row r="40">
          <cell r="A40">
            <v>34</v>
          </cell>
        </row>
        <row r="41">
          <cell r="A41">
            <v>35</v>
          </cell>
        </row>
        <row r="42">
          <cell r="A42">
            <v>36</v>
          </cell>
        </row>
        <row r="43">
          <cell r="A43">
            <v>37</v>
          </cell>
        </row>
        <row r="44">
          <cell r="A44">
            <v>38</v>
          </cell>
        </row>
        <row r="45">
          <cell r="A45">
            <v>39</v>
          </cell>
        </row>
        <row r="46">
          <cell r="A46">
            <v>40</v>
          </cell>
        </row>
        <row r="47">
          <cell r="A47">
            <v>41</v>
          </cell>
        </row>
        <row r="48">
          <cell r="A48">
            <v>42</v>
          </cell>
        </row>
        <row r="49">
          <cell r="A49">
            <v>43</v>
          </cell>
        </row>
        <row r="50">
          <cell r="A50">
            <v>44</v>
          </cell>
        </row>
        <row r="51">
          <cell r="A51">
            <v>45</v>
          </cell>
        </row>
        <row r="52">
          <cell r="A52">
            <v>46</v>
          </cell>
        </row>
        <row r="53">
          <cell r="A53">
            <v>47</v>
          </cell>
        </row>
        <row r="54">
          <cell r="A54">
            <v>48</v>
          </cell>
        </row>
        <row r="55">
          <cell r="A55">
            <v>49</v>
          </cell>
        </row>
        <row r="56">
          <cell r="A56">
            <v>50</v>
          </cell>
        </row>
        <row r="57">
          <cell r="A57">
            <v>51</v>
          </cell>
        </row>
        <row r="58">
          <cell r="A58">
            <v>52</v>
          </cell>
        </row>
        <row r="59">
          <cell r="A59">
            <v>53</v>
          </cell>
        </row>
        <row r="60">
          <cell r="A60">
            <v>54</v>
          </cell>
        </row>
        <row r="61">
          <cell r="A61">
            <v>55</v>
          </cell>
        </row>
        <row r="62">
          <cell r="A62">
            <v>56</v>
          </cell>
        </row>
        <row r="63">
          <cell r="A63">
            <v>57</v>
          </cell>
        </row>
        <row r="64">
          <cell r="A64">
            <v>58</v>
          </cell>
        </row>
        <row r="65">
          <cell r="A65">
            <v>59</v>
          </cell>
        </row>
        <row r="66">
          <cell r="A66">
            <v>60</v>
          </cell>
        </row>
        <row r="67">
          <cell r="A67">
            <v>61</v>
          </cell>
        </row>
        <row r="68">
          <cell r="A68">
            <v>62</v>
          </cell>
        </row>
        <row r="69">
          <cell r="A69">
            <v>63</v>
          </cell>
        </row>
        <row r="70">
          <cell r="A70">
            <v>64</v>
          </cell>
        </row>
        <row r="71">
          <cell r="A71">
            <v>65</v>
          </cell>
        </row>
        <row r="72">
          <cell r="A72">
            <v>66</v>
          </cell>
        </row>
        <row r="73">
          <cell r="A73">
            <v>67</v>
          </cell>
        </row>
        <row r="74">
          <cell r="A74">
            <v>68</v>
          </cell>
        </row>
        <row r="75">
          <cell r="A75">
            <v>69</v>
          </cell>
        </row>
        <row r="76">
          <cell r="A76">
            <v>70</v>
          </cell>
        </row>
        <row r="77">
          <cell r="A77">
            <v>71</v>
          </cell>
        </row>
        <row r="78">
          <cell r="A78">
            <v>72</v>
          </cell>
        </row>
        <row r="79">
          <cell r="A79">
            <v>73</v>
          </cell>
        </row>
        <row r="80">
          <cell r="A80">
            <v>74</v>
          </cell>
        </row>
        <row r="81">
          <cell r="A81">
            <v>75</v>
          </cell>
        </row>
        <row r="82">
          <cell r="A82">
            <v>76</v>
          </cell>
        </row>
        <row r="83">
          <cell r="A83">
            <v>77</v>
          </cell>
        </row>
        <row r="84">
          <cell r="A84">
            <v>78</v>
          </cell>
        </row>
        <row r="85">
          <cell r="A85">
            <v>79</v>
          </cell>
        </row>
        <row r="86">
          <cell r="A86">
            <v>80</v>
          </cell>
        </row>
        <row r="87">
          <cell r="A87">
            <v>81</v>
          </cell>
        </row>
        <row r="88">
          <cell r="A88">
            <v>82</v>
          </cell>
        </row>
        <row r="89">
          <cell r="A89">
            <v>83</v>
          </cell>
        </row>
        <row r="90">
          <cell r="A90">
            <v>84</v>
          </cell>
        </row>
        <row r="91">
          <cell r="A91">
            <v>85</v>
          </cell>
        </row>
        <row r="92">
          <cell r="A92">
            <v>86</v>
          </cell>
        </row>
        <row r="93">
          <cell r="A93">
            <v>87</v>
          </cell>
        </row>
        <row r="94">
          <cell r="A94">
            <v>88</v>
          </cell>
        </row>
        <row r="95">
          <cell r="A95">
            <v>89</v>
          </cell>
        </row>
        <row r="96">
          <cell r="A96">
            <v>90</v>
          </cell>
        </row>
        <row r="97">
          <cell r="A97">
            <v>91</v>
          </cell>
        </row>
        <row r="98">
          <cell r="A98">
            <v>92</v>
          </cell>
        </row>
        <row r="99">
          <cell r="A99">
            <v>93</v>
          </cell>
        </row>
        <row r="100">
          <cell r="A100">
            <v>94</v>
          </cell>
        </row>
        <row r="101">
          <cell r="A101">
            <v>95</v>
          </cell>
        </row>
        <row r="102">
          <cell r="A102">
            <v>96</v>
          </cell>
        </row>
        <row r="103">
          <cell r="A103">
            <v>97</v>
          </cell>
        </row>
        <row r="104">
          <cell r="A104">
            <v>98</v>
          </cell>
        </row>
        <row r="105">
          <cell r="A105">
            <v>99</v>
          </cell>
        </row>
        <row r="106">
          <cell r="A106">
            <v>100</v>
          </cell>
        </row>
        <row r="107">
          <cell r="A107">
            <v>101</v>
          </cell>
        </row>
        <row r="108">
          <cell r="A108">
            <v>102</v>
          </cell>
        </row>
        <row r="109">
          <cell r="A109">
            <v>103</v>
          </cell>
        </row>
        <row r="110">
          <cell r="A110">
            <v>104</v>
          </cell>
        </row>
        <row r="111">
          <cell r="A111">
            <v>105</v>
          </cell>
        </row>
        <row r="112">
          <cell r="A112">
            <v>106</v>
          </cell>
        </row>
        <row r="113">
          <cell r="A113">
            <v>107</v>
          </cell>
        </row>
        <row r="114">
          <cell r="A114">
            <v>108</v>
          </cell>
        </row>
        <row r="115">
          <cell r="A115">
            <v>109</v>
          </cell>
        </row>
        <row r="116">
          <cell r="A116">
            <v>110</v>
          </cell>
        </row>
        <row r="117">
          <cell r="A117">
            <v>111</v>
          </cell>
        </row>
        <row r="118">
          <cell r="A118">
            <v>112</v>
          </cell>
        </row>
        <row r="119">
          <cell r="A119">
            <v>113</v>
          </cell>
        </row>
        <row r="120">
          <cell r="A120">
            <v>114</v>
          </cell>
        </row>
        <row r="121">
          <cell r="A121">
            <v>115</v>
          </cell>
        </row>
        <row r="122">
          <cell r="A122">
            <v>116</v>
          </cell>
        </row>
        <row r="123">
          <cell r="A123">
            <v>117</v>
          </cell>
        </row>
        <row r="124">
          <cell r="A124">
            <v>118</v>
          </cell>
        </row>
        <row r="125">
          <cell r="A125">
            <v>119</v>
          </cell>
        </row>
        <row r="126">
          <cell r="A126">
            <v>120</v>
          </cell>
        </row>
        <row r="127">
          <cell r="A127">
            <v>121</v>
          </cell>
        </row>
        <row r="128">
          <cell r="A128">
            <v>122</v>
          </cell>
        </row>
        <row r="129">
          <cell r="A129">
            <v>123</v>
          </cell>
        </row>
        <row r="130">
          <cell r="A130">
            <v>124</v>
          </cell>
        </row>
        <row r="131">
          <cell r="A131">
            <v>125</v>
          </cell>
        </row>
        <row r="132">
          <cell r="A132">
            <v>126</v>
          </cell>
        </row>
        <row r="133">
          <cell r="A133">
            <v>127</v>
          </cell>
        </row>
        <row r="134">
          <cell r="A134">
            <v>128</v>
          </cell>
        </row>
        <row r="135">
          <cell r="A135">
            <v>129</v>
          </cell>
        </row>
        <row r="136">
          <cell r="A136">
            <v>130</v>
          </cell>
        </row>
        <row r="137">
          <cell r="A137">
            <v>131</v>
          </cell>
        </row>
        <row r="138">
          <cell r="A138">
            <v>132</v>
          </cell>
        </row>
        <row r="139">
          <cell r="A139">
            <v>133</v>
          </cell>
        </row>
        <row r="140">
          <cell r="A140">
            <v>134</v>
          </cell>
        </row>
        <row r="141">
          <cell r="A141">
            <v>135</v>
          </cell>
        </row>
        <row r="142">
          <cell r="A142">
            <v>136</v>
          </cell>
        </row>
        <row r="143">
          <cell r="A143">
            <v>137</v>
          </cell>
        </row>
        <row r="144">
          <cell r="A144">
            <v>138</v>
          </cell>
        </row>
        <row r="145">
          <cell r="A145">
            <v>139</v>
          </cell>
        </row>
        <row r="146">
          <cell r="A146">
            <v>140</v>
          </cell>
        </row>
        <row r="147">
          <cell r="A147">
            <v>141</v>
          </cell>
        </row>
        <row r="148">
          <cell r="A148">
            <v>142</v>
          </cell>
        </row>
        <row r="149">
          <cell r="A149">
            <v>143</v>
          </cell>
        </row>
        <row r="150">
          <cell r="A150">
            <v>144</v>
          </cell>
        </row>
        <row r="151">
          <cell r="A151">
            <v>145</v>
          </cell>
        </row>
        <row r="152">
          <cell r="A152">
            <v>146</v>
          </cell>
        </row>
        <row r="153">
          <cell r="A153">
            <v>147</v>
          </cell>
        </row>
        <row r="154">
          <cell r="A154">
            <v>148</v>
          </cell>
        </row>
        <row r="155">
          <cell r="A155">
            <v>149</v>
          </cell>
        </row>
        <row r="156">
          <cell r="A156">
            <v>150</v>
          </cell>
        </row>
        <row r="157">
          <cell r="A157">
            <v>151</v>
          </cell>
        </row>
        <row r="158">
          <cell r="A158">
            <v>152</v>
          </cell>
        </row>
        <row r="159">
          <cell r="A159">
            <v>153</v>
          </cell>
        </row>
        <row r="160">
          <cell r="A160">
            <v>154</v>
          </cell>
        </row>
        <row r="161">
          <cell r="A161">
            <v>155</v>
          </cell>
        </row>
        <row r="162">
          <cell r="A162">
            <v>156</v>
          </cell>
        </row>
        <row r="163">
          <cell r="A163">
            <v>157</v>
          </cell>
        </row>
        <row r="164">
          <cell r="A164">
            <v>158</v>
          </cell>
        </row>
        <row r="165">
          <cell r="A165">
            <v>159</v>
          </cell>
        </row>
        <row r="166">
          <cell r="A166">
            <v>160</v>
          </cell>
        </row>
        <row r="167">
          <cell r="A167">
            <v>161</v>
          </cell>
        </row>
        <row r="168">
          <cell r="A168">
            <v>162</v>
          </cell>
        </row>
        <row r="169">
          <cell r="A169">
            <v>163</v>
          </cell>
        </row>
        <row r="170">
          <cell r="A170">
            <v>164</v>
          </cell>
        </row>
        <row r="171">
          <cell r="A171">
            <v>165</v>
          </cell>
        </row>
        <row r="172">
          <cell r="A172">
            <v>166</v>
          </cell>
        </row>
        <row r="173">
          <cell r="A173">
            <v>167</v>
          </cell>
        </row>
        <row r="174">
          <cell r="A174">
            <v>168</v>
          </cell>
        </row>
        <row r="175">
          <cell r="A175">
            <v>169</v>
          </cell>
        </row>
        <row r="176">
          <cell r="A176">
            <v>170</v>
          </cell>
        </row>
        <row r="177">
          <cell r="A177">
            <v>171</v>
          </cell>
        </row>
        <row r="178">
          <cell r="A178">
            <v>172</v>
          </cell>
        </row>
        <row r="179">
          <cell r="A179">
            <v>173</v>
          </cell>
        </row>
        <row r="180">
          <cell r="A180">
            <v>174</v>
          </cell>
        </row>
        <row r="181">
          <cell r="A181">
            <v>175</v>
          </cell>
        </row>
        <row r="182">
          <cell r="A182">
            <v>176</v>
          </cell>
        </row>
        <row r="183">
          <cell r="A183">
            <v>177</v>
          </cell>
        </row>
        <row r="184">
          <cell r="A184">
            <v>178</v>
          </cell>
        </row>
        <row r="185">
          <cell r="A185">
            <v>179</v>
          </cell>
        </row>
        <row r="186">
          <cell r="A186">
            <v>180</v>
          </cell>
        </row>
        <row r="187">
          <cell r="A187">
            <v>181</v>
          </cell>
        </row>
        <row r="188">
          <cell r="A188">
            <v>182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73AA-562F-4A43-A1C5-35127F93588D}">
  <sheetPr codeName="Sheet4"/>
  <dimension ref="B1:V1003"/>
  <sheetViews>
    <sheetView tabSelected="1" zoomScale="80" zoomScaleNormal="80" workbookViewId="0">
      <selection activeCell="J4" sqref="J4"/>
    </sheetView>
  </sheetViews>
  <sheetFormatPr defaultColWidth="8.88671875" defaultRowHeight="14.4"/>
  <cols>
    <col min="1" max="2" width="8.88671875" style="23"/>
    <col min="3" max="4" width="11.109375" style="23" bestFit="1" customWidth="1"/>
    <col min="5" max="5" width="20.5546875" style="23" customWidth="1"/>
    <col min="6" max="6" width="11.109375" style="23" customWidth="1"/>
    <col min="7" max="12" width="8.88671875" style="23"/>
    <col min="13" max="13" width="9.33203125" style="23" bestFit="1" customWidth="1"/>
    <col min="14" max="14" width="9.6640625" style="25" bestFit="1" customWidth="1"/>
    <col min="15" max="15" width="11.88671875" style="25" customWidth="1"/>
    <col min="16" max="16" width="10.6640625" style="47" bestFit="1" customWidth="1"/>
    <col min="17" max="20" width="8.88671875" style="23"/>
    <col min="21" max="22" width="8.88671875" style="1"/>
    <col min="23" max="16384" width="8.88671875" style="23"/>
  </cols>
  <sheetData>
    <row r="1" spans="2:20" s="23" customFormat="1" ht="13.8">
      <c r="E1" s="24">
        <v>1</v>
      </c>
      <c r="N1" s="25"/>
      <c r="P1" s="47"/>
    </row>
    <row r="2" spans="2:20" s="23" customFormat="1" ht="13.8">
      <c r="C2" s="26" t="s">
        <v>17</v>
      </c>
      <c r="D2" s="26" t="s">
        <v>1</v>
      </c>
      <c r="E2" s="26" t="s">
        <v>0</v>
      </c>
      <c r="G2" s="26" t="s">
        <v>70</v>
      </c>
      <c r="L2" s="27" t="s">
        <v>66</v>
      </c>
      <c r="M2" s="27" t="s">
        <v>5</v>
      </c>
      <c r="N2" s="27" t="s">
        <v>19</v>
      </c>
      <c r="O2" s="28" t="s">
        <v>64</v>
      </c>
      <c r="P2" s="48" t="s">
        <v>67</v>
      </c>
    </row>
    <row r="3" spans="2:20" s="23" customFormat="1" ht="16.2">
      <c r="B3" s="23" t="s">
        <v>29</v>
      </c>
      <c r="C3" s="29">
        <v>192.5</v>
      </c>
      <c r="D3" s="29">
        <v>857.49</v>
      </c>
      <c r="E3" s="29">
        <v>109.13</v>
      </c>
      <c r="F3" s="30"/>
      <c r="I3" s="31" t="s">
        <v>18</v>
      </c>
      <c r="J3" s="24">
        <f>AVERAGE(_xlfn.ANCHORARRAY(G4))</f>
        <v>0.25729400946742131</v>
      </c>
      <c r="K3" s="24"/>
      <c r="L3" s="23">
        <v>0</v>
      </c>
      <c r="M3" s="25">
        <f>D23</f>
        <v>37058.03</v>
      </c>
      <c r="N3" s="25">
        <f>($C$23+$E$23)*1.1</f>
        <v>31343.917000000001</v>
      </c>
      <c r="O3" s="25">
        <f>IF(M3&lt;N3,1,0)</f>
        <v>0</v>
      </c>
      <c r="P3" s="47"/>
      <c r="R3" s="31" t="s">
        <v>68</v>
      </c>
      <c r="S3" s="31" t="s">
        <v>2</v>
      </c>
      <c r="T3" s="31" t="s">
        <v>67</v>
      </c>
    </row>
    <row r="4" spans="2:20" s="23" customFormat="1" ht="13.8">
      <c r="B4" s="23" t="s">
        <v>28</v>
      </c>
      <c r="C4" s="29">
        <v>396.79</v>
      </c>
      <c r="D4" s="29">
        <v>1146.8900000000001</v>
      </c>
      <c r="E4" s="29">
        <v>124.1</v>
      </c>
      <c r="F4" s="30"/>
      <c r="G4" s="32" cm="1">
        <f t="array" ref="G4:G23">_xlfn.LET(_xlpm.a,_xlfn.CHOOSECOLS(C3:E23,2),_xlfn.DROP(_xlpm.a,1)/_xlfn.DROP(_xlpm.a,-1)-1)</f>
        <v>0.33749664719122108</v>
      </c>
      <c r="I4" s="31" t="s">
        <v>4</v>
      </c>
      <c r="J4" s="32">
        <f>_xlfn.STDEV.S(_xlfn.ANCHORARRAY(G4))</f>
        <v>0.46344877785167149</v>
      </c>
      <c r="K4" s="32"/>
      <c r="L4" s="33">
        <v>1</v>
      </c>
      <c r="M4" s="23" cm="1">
        <f t="array" aca="1" ref="M4:M1003" ca="1">M3*(1+_xlfn.NORM.INV(_xlfn.RANDARRAY(1000),$J$3,$J$4))</f>
        <v>34701.889222113256</v>
      </c>
      <c r="N4" s="25">
        <f t="shared" ref="N4:N67" si="0">($C$23+$E$23)*1.1</f>
        <v>31343.917000000001</v>
      </c>
      <c r="O4" s="25">
        <f t="shared" ref="O4:O67" ca="1" si="1">IF(M4&lt;N4,1,0)</f>
        <v>0</v>
      </c>
      <c r="P4" s="47">
        <f ca="1">MAX((N4-M4)/N4,0)</f>
        <v>0</v>
      </c>
      <c r="R4" s="25">
        <f ca="1">SUM(O3:O1003)</f>
        <v>185</v>
      </c>
      <c r="S4" s="46">
        <f ca="1">R4/1000</f>
        <v>0.185</v>
      </c>
      <c r="T4" s="32">
        <f ca="1">AVERAGEIF(P4:P1003,"&gt;"&amp;0,P4:P1003)</f>
        <v>0.3097418832558036</v>
      </c>
    </row>
    <row r="5" spans="2:20" s="23" customFormat="1" ht="13.8">
      <c r="B5" s="23" t="s">
        <v>27</v>
      </c>
      <c r="C5" s="29">
        <v>663.92</v>
      </c>
      <c r="D5" s="29">
        <v>1470.81</v>
      </c>
      <c r="E5" s="29">
        <v>233.2</v>
      </c>
      <c r="F5" s="30"/>
      <c r="G5" s="32">
        <v>0.28243336326936297</v>
      </c>
      <c r="L5" s="23">
        <v>2</v>
      </c>
      <c r="M5" s="23">
        <f ca="1"/>
        <v>23149.54109142975</v>
      </c>
      <c r="N5" s="25">
        <f t="shared" si="0"/>
        <v>31343.917000000001</v>
      </c>
      <c r="O5" s="25">
        <f t="shared" ca="1" si="1"/>
        <v>1</v>
      </c>
      <c r="P5" s="47">
        <f t="shared" ref="P5:P68" ca="1" si="2">MAX((N5-M5)/N5,0)</f>
        <v>0.26143432898224722</v>
      </c>
    </row>
    <row r="6" spans="2:20" s="23" customFormat="1" ht="13.8">
      <c r="B6" s="23" t="s">
        <v>26</v>
      </c>
      <c r="C6" s="29">
        <v>807.61</v>
      </c>
      <c r="D6" s="29">
        <v>1559.5</v>
      </c>
      <c r="E6" s="29">
        <v>139.56</v>
      </c>
      <c r="F6" s="30"/>
      <c r="G6" s="32">
        <v>6.030010674390307E-2</v>
      </c>
      <c r="L6" s="33">
        <v>3</v>
      </c>
      <c r="M6" s="23">
        <f ca="1"/>
        <v>49105.136926437481</v>
      </c>
      <c r="N6" s="25">
        <f t="shared" si="0"/>
        <v>31343.917000000001</v>
      </c>
      <c r="O6" s="25">
        <f t="shared" ca="1" si="1"/>
        <v>0</v>
      </c>
      <c r="P6" s="47">
        <f t="shared" ca="1" si="2"/>
        <v>0</v>
      </c>
    </row>
    <row r="7" spans="2:20" s="23" customFormat="1" ht="13.8">
      <c r="B7" s="23" t="s">
        <v>25</v>
      </c>
      <c r="C7" s="29">
        <v>1119.99</v>
      </c>
      <c r="D7" s="29">
        <v>1749.94</v>
      </c>
      <c r="E7" s="29">
        <v>171.11</v>
      </c>
      <c r="F7" s="30"/>
      <c r="G7" s="32">
        <v>0.12211606284065413</v>
      </c>
      <c r="J7" s="34"/>
      <c r="K7" s="34"/>
      <c r="L7" s="23">
        <v>4</v>
      </c>
      <c r="M7" s="23">
        <f ca="1"/>
        <v>33577.624727238086</v>
      </c>
      <c r="N7" s="25">
        <f t="shared" si="0"/>
        <v>31343.917000000001</v>
      </c>
      <c r="O7" s="25">
        <f t="shared" ca="1" si="1"/>
        <v>0</v>
      </c>
      <c r="P7" s="47">
        <f t="shared" ca="1" si="2"/>
        <v>0</v>
      </c>
      <c r="R7" s="23" t="s">
        <v>43</v>
      </c>
      <c r="S7" s="23">
        <f ca="1">T4*10</f>
        <v>3.0974188325580361</v>
      </c>
    </row>
    <row r="8" spans="2:20" s="23" customFormat="1" ht="13.8">
      <c r="B8" s="23" t="s">
        <v>24</v>
      </c>
      <c r="C8" s="29">
        <v>1183.42</v>
      </c>
      <c r="D8" s="29">
        <v>1816.46</v>
      </c>
      <c r="E8" s="29">
        <v>128.75</v>
      </c>
      <c r="F8" s="30"/>
      <c r="G8" s="32">
        <v>3.8012731865092464E-2</v>
      </c>
      <c r="L8" s="33">
        <v>5</v>
      </c>
      <c r="M8" s="23">
        <f ca="1"/>
        <v>20858.228938239004</v>
      </c>
      <c r="N8" s="25">
        <f t="shared" si="0"/>
        <v>31343.917000000001</v>
      </c>
      <c r="O8" s="25">
        <f t="shared" ca="1" si="1"/>
        <v>1</v>
      </c>
      <c r="P8" s="47">
        <f t="shared" ca="1" si="2"/>
        <v>0.33453662035159792</v>
      </c>
      <c r="R8" s="23" t="s">
        <v>44</v>
      </c>
      <c r="S8" s="23">
        <f ca="1">10-S7</f>
        <v>6.9025811674419639</v>
      </c>
    </row>
    <row r="9" spans="2:20" s="23" customFormat="1" ht="13.8">
      <c r="B9" s="23" t="s">
        <v>23</v>
      </c>
      <c r="C9" s="29">
        <v>870.12</v>
      </c>
      <c r="D9" s="29">
        <v>1558.45</v>
      </c>
      <c r="E9" s="29">
        <v>445.82</v>
      </c>
      <c r="F9" s="30"/>
      <c r="G9" s="32">
        <v>-0.14204001189126103</v>
      </c>
      <c r="L9" s="23">
        <v>6</v>
      </c>
      <c r="M9" s="23">
        <f ca="1"/>
        <v>50333.588921649956</v>
      </c>
      <c r="N9" s="25">
        <f t="shared" si="0"/>
        <v>31343.917000000001</v>
      </c>
      <c r="O9" s="25">
        <f t="shared" ca="1" si="1"/>
        <v>0</v>
      </c>
      <c r="P9" s="47">
        <f t="shared" ca="1" si="2"/>
        <v>0</v>
      </c>
    </row>
    <row r="10" spans="2:20" s="23" customFormat="1" ht="13.8">
      <c r="B10" s="23" t="s">
        <v>22</v>
      </c>
      <c r="C10" s="29">
        <v>1145.28</v>
      </c>
      <c r="D10" s="29">
        <v>1876.52</v>
      </c>
      <c r="E10" s="29">
        <v>491.23</v>
      </c>
      <c r="F10" s="30"/>
      <c r="G10" s="32">
        <v>0.20409381115852288</v>
      </c>
      <c r="L10" s="33">
        <v>7</v>
      </c>
      <c r="M10" s="23">
        <f ca="1"/>
        <v>42677.711300406714</v>
      </c>
      <c r="N10" s="25">
        <f t="shared" si="0"/>
        <v>31343.917000000001</v>
      </c>
      <c r="O10" s="25">
        <f t="shared" ca="1" si="1"/>
        <v>0</v>
      </c>
      <c r="P10" s="47">
        <f t="shared" ca="1" si="2"/>
        <v>0</v>
      </c>
    </row>
    <row r="11" spans="2:20" s="23" customFormat="1" ht="13.8">
      <c r="B11" s="23" t="s">
        <v>21</v>
      </c>
      <c r="C11" s="29">
        <v>917.55</v>
      </c>
      <c r="D11" s="29">
        <v>1822.72</v>
      </c>
      <c r="E11" s="29">
        <v>416.68</v>
      </c>
      <c r="F11" s="30"/>
      <c r="G11" s="32">
        <v>-2.8670091445867851E-2</v>
      </c>
      <c r="L11" s="23">
        <v>8</v>
      </c>
      <c r="M11" s="23">
        <f ca="1"/>
        <v>47209.351616959037</v>
      </c>
      <c r="N11" s="25">
        <f t="shared" si="0"/>
        <v>31343.917000000001</v>
      </c>
      <c r="O11" s="25">
        <f t="shared" ca="1" si="1"/>
        <v>0</v>
      </c>
      <c r="P11" s="47">
        <f t="shared" ca="1" si="2"/>
        <v>0</v>
      </c>
    </row>
    <row r="12" spans="2:20" s="23" customFormat="1" ht="13.8">
      <c r="B12" s="23" t="s">
        <v>20</v>
      </c>
      <c r="C12" s="29">
        <v>625.89</v>
      </c>
      <c r="D12" s="29">
        <v>1641.69</v>
      </c>
      <c r="E12" s="29">
        <v>632.69000000000005</v>
      </c>
      <c r="F12" s="30"/>
      <c r="G12" s="32">
        <v>-9.9318600772471899E-2</v>
      </c>
      <c r="L12" s="33">
        <v>9</v>
      </c>
      <c r="M12" s="23">
        <f ca="1"/>
        <v>58634.275100319603</v>
      </c>
      <c r="N12" s="25">
        <f t="shared" si="0"/>
        <v>31343.917000000001</v>
      </c>
      <c r="O12" s="25">
        <f t="shared" ca="1" si="1"/>
        <v>0</v>
      </c>
      <c r="P12" s="47">
        <f t="shared" ca="1" si="2"/>
        <v>0</v>
      </c>
    </row>
    <row r="13" spans="2:20" s="23" customFormat="1" ht="13.8">
      <c r="B13" s="23" t="s">
        <v>16</v>
      </c>
      <c r="C13" s="29">
        <v>1025.07</v>
      </c>
      <c r="D13" s="29">
        <v>2256.46</v>
      </c>
      <c r="E13" s="29">
        <v>794.27</v>
      </c>
      <c r="F13" s="30"/>
      <c r="G13" s="32">
        <v>0.37447386534607618</v>
      </c>
      <c r="L13" s="23">
        <v>10</v>
      </c>
      <c r="M13" s="23">
        <f ca="1"/>
        <v>31749.368123339915</v>
      </c>
      <c r="N13" s="25">
        <f t="shared" si="0"/>
        <v>31343.917000000001</v>
      </c>
      <c r="O13" s="25">
        <f t="shared" ca="1" si="1"/>
        <v>0</v>
      </c>
      <c r="P13" s="47">
        <f t="shared" ca="1" si="2"/>
        <v>0</v>
      </c>
    </row>
    <row r="14" spans="2:20" s="23" customFormat="1" ht="13.8">
      <c r="B14" s="23" t="s">
        <v>15</v>
      </c>
      <c r="C14" s="29">
        <v>899.3</v>
      </c>
      <c r="D14" s="29">
        <v>2717.27</v>
      </c>
      <c r="E14" s="29">
        <v>353.1</v>
      </c>
      <c r="F14" s="30"/>
      <c r="G14" s="32">
        <v>0.20421811155526792</v>
      </c>
      <c r="L14" s="33">
        <v>11</v>
      </c>
      <c r="M14" s="23">
        <f ca="1"/>
        <v>15695.095223047869</v>
      </c>
      <c r="N14" s="25">
        <f t="shared" si="0"/>
        <v>31343.917000000001</v>
      </c>
      <c r="O14" s="25">
        <f t="shared" ca="1" si="1"/>
        <v>1</v>
      </c>
      <c r="P14" s="47">
        <f t="shared" ca="1" si="2"/>
        <v>0.49926184327734568</v>
      </c>
    </row>
    <row r="15" spans="2:20" s="23" customFormat="1" ht="13.8">
      <c r="B15" s="23" t="s">
        <v>14</v>
      </c>
      <c r="C15" s="29">
        <v>1242.08</v>
      </c>
      <c r="D15" s="29">
        <v>3466.9</v>
      </c>
      <c r="E15" s="29">
        <v>612.82000000000005</v>
      </c>
      <c r="F15" s="30"/>
      <c r="G15" s="32">
        <v>0.27587615511156427</v>
      </c>
      <c r="L15" s="23">
        <v>12</v>
      </c>
      <c r="M15" s="23">
        <f ca="1"/>
        <v>58241.327511872652</v>
      </c>
      <c r="N15" s="25">
        <f t="shared" si="0"/>
        <v>31343.917000000001</v>
      </c>
      <c r="O15" s="25">
        <f t="shared" ca="1" si="1"/>
        <v>0</v>
      </c>
      <c r="P15" s="47">
        <f t="shared" ca="1" si="2"/>
        <v>0</v>
      </c>
    </row>
    <row r="16" spans="2:20" s="23" customFormat="1" ht="13.8">
      <c r="B16" s="23" t="s">
        <v>13</v>
      </c>
      <c r="C16" s="29">
        <v>5553.39</v>
      </c>
      <c r="D16" s="29">
        <v>10749.63</v>
      </c>
      <c r="E16" s="29">
        <v>0</v>
      </c>
      <c r="F16" s="30"/>
      <c r="G16" s="32">
        <v>2.1006461103579563</v>
      </c>
      <c r="L16" s="33">
        <v>13</v>
      </c>
      <c r="M16" s="23">
        <f ca="1"/>
        <v>60853.926365327105</v>
      </c>
      <c r="N16" s="25">
        <f t="shared" si="0"/>
        <v>31343.917000000001</v>
      </c>
      <c r="O16" s="25">
        <f t="shared" ca="1" si="1"/>
        <v>0</v>
      </c>
      <c r="P16" s="47">
        <f t="shared" ca="1" si="2"/>
        <v>0</v>
      </c>
    </row>
    <row r="17" spans="2:16" s="23" customFormat="1" ht="13.8">
      <c r="B17" s="23" t="s">
        <v>12</v>
      </c>
      <c r="C17" s="29">
        <v>8162.97</v>
      </c>
      <c r="D17" s="29">
        <v>11578.91</v>
      </c>
      <c r="E17" s="29">
        <v>621.42999999999995</v>
      </c>
      <c r="F17" s="30"/>
      <c r="G17" s="32">
        <v>7.714498080399057E-2</v>
      </c>
      <c r="L17" s="23">
        <v>14</v>
      </c>
      <c r="M17" s="23">
        <f ca="1"/>
        <v>29908.883206662631</v>
      </c>
      <c r="N17" s="25">
        <f t="shared" si="0"/>
        <v>31343.917000000001</v>
      </c>
      <c r="O17" s="25">
        <f t="shared" ca="1" si="1"/>
        <v>1</v>
      </c>
      <c r="P17" s="47">
        <f t="shared" ca="1" si="2"/>
        <v>4.578348626106208E-2</v>
      </c>
    </row>
    <row r="18" spans="2:16" s="23" customFormat="1" ht="13.8">
      <c r="B18" s="23" t="s">
        <v>11</v>
      </c>
      <c r="C18" s="29">
        <v>9001.93</v>
      </c>
      <c r="D18" s="29">
        <v>12604.97</v>
      </c>
      <c r="E18" s="29">
        <v>436.13</v>
      </c>
      <c r="F18" s="30"/>
      <c r="G18" s="32">
        <v>8.8614558710621294E-2</v>
      </c>
      <c r="L18" s="33">
        <v>15</v>
      </c>
      <c r="M18" s="23">
        <f ca="1"/>
        <v>89704.700483520108</v>
      </c>
      <c r="N18" s="25">
        <f t="shared" si="0"/>
        <v>31343.917000000001</v>
      </c>
      <c r="O18" s="25">
        <f t="shared" ca="1" si="1"/>
        <v>0</v>
      </c>
      <c r="P18" s="47">
        <f t="shared" ca="1" si="2"/>
        <v>0</v>
      </c>
    </row>
    <row r="19" spans="2:16" s="23" customFormat="1" ht="13.8">
      <c r="B19" s="23" t="s">
        <v>10</v>
      </c>
      <c r="C19" s="29">
        <v>9349.51</v>
      </c>
      <c r="D19" s="29">
        <v>13564.02</v>
      </c>
      <c r="E19" s="29">
        <v>629.15</v>
      </c>
      <c r="F19" s="30"/>
      <c r="G19" s="32">
        <v>7.6085068032688774E-2</v>
      </c>
      <c r="L19" s="23">
        <v>16</v>
      </c>
      <c r="M19" s="23">
        <f ca="1"/>
        <v>16340.833994217906</v>
      </c>
      <c r="N19" s="25">
        <f t="shared" si="0"/>
        <v>31343.917000000001</v>
      </c>
      <c r="O19" s="25">
        <f t="shared" ca="1" si="1"/>
        <v>1</v>
      </c>
      <c r="P19" s="47">
        <f t="shared" ca="1" si="2"/>
        <v>0.4786601178717419</v>
      </c>
    </row>
    <row r="20" spans="2:16" s="23" customFormat="1" ht="13.8">
      <c r="B20" s="23" t="s">
        <v>9</v>
      </c>
      <c r="C20" s="29">
        <v>15297.28</v>
      </c>
      <c r="D20" s="29">
        <v>20350.29</v>
      </c>
      <c r="E20" s="29">
        <v>716.64</v>
      </c>
      <c r="F20" s="30"/>
      <c r="G20" s="32">
        <v>0.50031406618391894</v>
      </c>
      <c r="L20" s="33">
        <v>17</v>
      </c>
      <c r="M20" s="23">
        <f ca="1"/>
        <v>71238.04157574437</v>
      </c>
      <c r="N20" s="25">
        <f t="shared" si="0"/>
        <v>31343.917000000001</v>
      </c>
      <c r="O20" s="25">
        <f t="shared" ca="1" si="1"/>
        <v>0</v>
      </c>
      <c r="P20" s="47">
        <f t="shared" ca="1" si="2"/>
        <v>0</v>
      </c>
    </row>
    <row r="21" spans="2:16" s="23" customFormat="1" ht="13.8">
      <c r="B21" s="23" t="s">
        <v>8</v>
      </c>
      <c r="C21" s="29">
        <v>21626.23</v>
      </c>
      <c r="D21" s="29">
        <v>27536.080000000002</v>
      </c>
      <c r="E21" s="29">
        <v>660.49</v>
      </c>
      <c r="F21" s="30"/>
      <c r="G21" s="32">
        <v>0.35310504174633395</v>
      </c>
      <c r="L21" s="23">
        <v>18</v>
      </c>
      <c r="M21" s="23">
        <f ca="1"/>
        <v>67265.329898759388</v>
      </c>
      <c r="N21" s="25">
        <f t="shared" si="0"/>
        <v>31343.917000000001</v>
      </c>
      <c r="O21" s="25">
        <f t="shared" ca="1" si="1"/>
        <v>0</v>
      </c>
      <c r="P21" s="47">
        <f t="shared" ca="1" si="2"/>
        <v>0</v>
      </c>
    </row>
    <row r="22" spans="2:16" s="23" customFormat="1" ht="13.8">
      <c r="B22" s="23" t="s">
        <v>7</v>
      </c>
      <c r="C22" s="29">
        <v>25286.62</v>
      </c>
      <c r="D22" s="29">
        <v>32797.730000000003</v>
      </c>
      <c r="E22" s="29">
        <v>1158.95</v>
      </c>
      <c r="F22" s="30"/>
      <c r="G22" s="32">
        <v>0.1910820276524472</v>
      </c>
      <c r="L22" s="33">
        <v>19</v>
      </c>
      <c r="M22" s="23">
        <f ca="1"/>
        <v>22899.482388095035</v>
      </c>
      <c r="N22" s="25">
        <f t="shared" si="0"/>
        <v>31343.917000000001</v>
      </c>
      <c r="O22" s="25">
        <f t="shared" ca="1" si="1"/>
        <v>1</v>
      </c>
      <c r="P22" s="47">
        <f t="shared" ca="1" si="2"/>
        <v>0.26941223114855001</v>
      </c>
    </row>
    <row r="23" spans="2:16" s="23" customFormat="1" ht="13.8">
      <c r="B23" s="23" t="s">
        <v>6</v>
      </c>
      <c r="C23" s="29">
        <v>27615.759999999998</v>
      </c>
      <c r="D23" s="29">
        <v>37058.03</v>
      </c>
      <c r="E23" s="29">
        <v>878.71</v>
      </c>
      <c r="F23" s="30"/>
      <c r="G23" s="32">
        <v>0.12989618488840526</v>
      </c>
      <c r="L23" s="23">
        <v>20</v>
      </c>
      <c r="M23" s="23">
        <f ca="1"/>
        <v>78863.372501297112</v>
      </c>
      <c r="N23" s="25">
        <f t="shared" si="0"/>
        <v>31343.917000000001</v>
      </c>
      <c r="O23" s="25">
        <f t="shared" ca="1" si="1"/>
        <v>0</v>
      </c>
      <c r="P23" s="47">
        <f t="shared" ca="1" si="2"/>
        <v>0</v>
      </c>
    </row>
    <row r="24" spans="2:16" s="23" customFormat="1" ht="13.8">
      <c r="C24" s="30"/>
      <c r="D24" s="30"/>
      <c r="E24" s="30"/>
      <c r="F24" s="30"/>
      <c r="G24" s="32"/>
      <c r="L24" s="33">
        <v>21</v>
      </c>
      <c r="M24" s="23">
        <f ca="1"/>
        <v>49182.772317713847</v>
      </c>
      <c r="N24" s="25">
        <f t="shared" si="0"/>
        <v>31343.917000000001</v>
      </c>
      <c r="O24" s="25">
        <f t="shared" ca="1" si="1"/>
        <v>0</v>
      </c>
      <c r="P24" s="47">
        <f t="shared" ca="1" si="2"/>
        <v>0</v>
      </c>
    </row>
    <row r="25" spans="2:16" s="23" customFormat="1" ht="13.8">
      <c r="L25" s="23">
        <v>22</v>
      </c>
      <c r="M25" s="23">
        <f ca="1"/>
        <v>25037.826954037439</v>
      </c>
      <c r="N25" s="25">
        <f t="shared" si="0"/>
        <v>31343.917000000001</v>
      </c>
      <c r="O25" s="25">
        <f t="shared" ca="1" si="1"/>
        <v>1</v>
      </c>
      <c r="P25" s="47">
        <f t="shared" ca="1" si="2"/>
        <v>0.20119023560337282</v>
      </c>
    </row>
    <row r="26" spans="2:16" s="23" customFormat="1" ht="13.8">
      <c r="L26" s="33">
        <v>23</v>
      </c>
      <c r="M26" s="23">
        <f ca="1"/>
        <v>44952.408730319024</v>
      </c>
      <c r="N26" s="25">
        <f t="shared" si="0"/>
        <v>31343.917000000001</v>
      </c>
      <c r="O26" s="25">
        <f t="shared" ca="1" si="1"/>
        <v>0</v>
      </c>
      <c r="P26" s="47">
        <f t="shared" ca="1" si="2"/>
        <v>0</v>
      </c>
    </row>
    <row r="27" spans="2:16" s="23" customFormat="1" ht="13.8">
      <c r="L27" s="23">
        <v>24</v>
      </c>
      <c r="M27" s="23">
        <f ca="1"/>
        <v>38641.822617182719</v>
      </c>
      <c r="N27" s="25">
        <f t="shared" si="0"/>
        <v>31343.917000000001</v>
      </c>
      <c r="O27" s="25">
        <f t="shared" ca="1" si="1"/>
        <v>0</v>
      </c>
      <c r="P27" s="47">
        <f t="shared" ca="1" si="2"/>
        <v>0</v>
      </c>
    </row>
    <row r="28" spans="2:16" s="23" customFormat="1" ht="13.8">
      <c r="L28" s="33">
        <v>25</v>
      </c>
      <c r="M28" s="23">
        <f ca="1"/>
        <v>38523.195509097328</v>
      </c>
      <c r="N28" s="25">
        <f t="shared" si="0"/>
        <v>31343.917000000001</v>
      </c>
      <c r="O28" s="25">
        <f t="shared" ca="1" si="1"/>
        <v>0</v>
      </c>
      <c r="P28" s="47">
        <f t="shared" ca="1" si="2"/>
        <v>0</v>
      </c>
    </row>
    <row r="29" spans="2:16" s="23" customFormat="1" ht="13.8">
      <c r="L29" s="23">
        <v>26</v>
      </c>
      <c r="M29" s="23">
        <f ca="1"/>
        <v>18109.781397208662</v>
      </c>
      <c r="N29" s="25">
        <f t="shared" si="0"/>
        <v>31343.917000000001</v>
      </c>
      <c r="O29" s="25">
        <f t="shared" ca="1" si="1"/>
        <v>1</v>
      </c>
      <c r="P29" s="47">
        <f t="shared" ca="1" si="2"/>
        <v>0.42222341268933739</v>
      </c>
    </row>
    <row r="30" spans="2:16" s="23" customFormat="1" ht="13.8">
      <c r="L30" s="33">
        <v>27</v>
      </c>
      <c r="M30" s="23">
        <f ca="1"/>
        <v>18504.076326336784</v>
      </c>
      <c r="N30" s="25">
        <f t="shared" si="0"/>
        <v>31343.917000000001</v>
      </c>
      <c r="O30" s="25">
        <f t="shared" ca="1" si="1"/>
        <v>1</v>
      </c>
      <c r="P30" s="47">
        <f t="shared" ca="1" si="2"/>
        <v>0.40964378107762395</v>
      </c>
    </row>
    <row r="31" spans="2:16" s="23" customFormat="1" ht="13.8">
      <c r="L31" s="23">
        <v>28</v>
      </c>
      <c r="M31" s="23">
        <f ca="1"/>
        <v>41758.757000223792</v>
      </c>
      <c r="N31" s="25">
        <f t="shared" si="0"/>
        <v>31343.917000000001</v>
      </c>
      <c r="O31" s="25">
        <f t="shared" ca="1" si="1"/>
        <v>0</v>
      </c>
      <c r="P31" s="47">
        <f t="shared" ca="1" si="2"/>
        <v>0</v>
      </c>
    </row>
    <row r="32" spans="2:16" s="23" customFormat="1" ht="13.8">
      <c r="L32" s="33">
        <v>29</v>
      </c>
      <c r="M32" s="23">
        <f ca="1"/>
        <v>56565.017336947072</v>
      </c>
      <c r="N32" s="25">
        <f t="shared" si="0"/>
        <v>31343.917000000001</v>
      </c>
      <c r="O32" s="25">
        <f t="shared" ca="1" si="1"/>
        <v>0</v>
      </c>
      <c r="P32" s="47">
        <f t="shared" ca="1" si="2"/>
        <v>0</v>
      </c>
    </row>
    <row r="33" spans="12:16" s="23" customFormat="1" ht="13.8">
      <c r="L33" s="23">
        <v>30</v>
      </c>
      <c r="M33" s="23">
        <f ca="1"/>
        <v>62762.769335423662</v>
      </c>
      <c r="N33" s="25">
        <f t="shared" si="0"/>
        <v>31343.917000000001</v>
      </c>
      <c r="O33" s="25">
        <f t="shared" ca="1" si="1"/>
        <v>0</v>
      </c>
      <c r="P33" s="47">
        <f t="shared" ca="1" si="2"/>
        <v>0</v>
      </c>
    </row>
    <row r="34" spans="12:16" s="23" customFormat="1" ht="13.8">
      <c r="L34" s="33">
        <v>31</v>
      </c>
      <c r="M34" s="23">
        <f ca="1"/>
        <v>52771.034085082007</v>
      </c>
      <c r="N34" s="25">
        <f t="shared" si="0"/>
        <v>31343.917000000001</v>
      </c>
      <c r="O34" s="25">
        <f t="shared" ca="1" si="1"/>
        <v>0</v>
      </c>
      <c r="P34" s="47">
        <f t="shared" ca="1" si="2"/>
        <v>0</v>
      </c>
    </row>
    <row r="35" spans="12:16" s="23" customFormat="1" ht="13.8">
      <c r="L35" s="23">
        <v>32</v>
      </c>
      <c r="M35" s="23">
        <f ca="1"/>
        <v>53979.380698907997</v>
      </c>
      <c r="N35" s="25">
        <f t="shared" si="0"/>
        <v>31343.917000000001</v>
      </c>
      <c r="O35" s="25">
        <f t="shared" ca="1" si="1"/>
        <v>0</v>
      </c>
      <c r="P35" s="47">
        <f t="shared" ca="1" si="2"/>
        <v>0</v>
      </c>
    </row>
    <row r="36" spans="12:16" s="23" customFormat="1" ht="13.8">
      <c r="L36" s="33">
        <v>33</v>
      </c>
      <c r="M36" s="23">
        <f ca="1"/>
        <v>22941.06251607959</v>
      </c>
      <c r="N36" s="25">
        <f t="shared" si="0"/>
        <v>31343.917000000001</v>
      </c>
      <c r="O36" s="25">
        <f t="shared" ca="1" si="1"/>
        <v>1</v>
      </c>
      <c r="P36" s="47">
        <f t="shared" ca="1" si="2"/>
        <v>0.26808565387409655</v>
      </c>
    </row>
    <row r="37" spans="12:16" s="23" customFormat="1" ht="13.8">
      <c r="L37" s="23">
        <v>34</v>
      </c>
      <c r="M37" s="23">
        <f ca="1"/>
        <v>45713.947848319163</v>
      </c>
      <c r="N37" s="25">
        <f t="shared" si="0"/>
        <v>31343.917000000001</v>
      </c>
      <c r="O37" s="25">
        <f t="shared" ca="1" si="1"/>
        <v>0</v>
      </c>
      <c r="P37" s="47">
        <f t="shared" ca="1" si="2"/>
        <v>0</v>
      </c>
    </row>
    <row r="38" spans="12:16" s="23" customFormat="1" ht="13.8">
      <c r="L38" s="33">
        <v>35</v>
      </c>
      <c r="M38" s="23">
        <f ca="1"/>
        <v>37204.382709453464</v>
      </c>
      <c r="N38" s="25">
        <f t="shared" si="0"/>
        <v>31343.917000000001</v>
      </c>
      <c r="O38" s="25">
        <f t="shared" ca="1" si="1"/>
        <v>0</v>
      </c>
      <c r="P38" s="47">
        <f t="shared" ca="1" si="2"/>
        <v>0</v>
      </c>
    </row>
    <row r="39" spans="12:16" s="23" customFormat="1" ht="13.8">
      <c r="L39" s="23">
        <v>36</v>
      </c>
      <c r="M39" s="23">
        <f ca="1"/>
        <v>39398.359473221884</v>
      </c>
      <c r="N39" s="25">
        <f t="shared" si="0"/>
        <v>31343.917000000001</v>
      </c>
      <c r="O39" s="25">
        <f t="shared" ca="1" si="1"/>
        <v>0</v>
      </c>
      <c r="P39" s="47">
        <f t="shared" ca="1" si="2"/>
        <v>0</v>
      </c>
    </row>
    <row r="40" spans="12:16" s="23" customFormat="1" ht="13.8">
      <c r="L40" s="33">
        <v>37</v>
      </c>
      <c r="M40" s="23">
        <f ca="1"/>
        <v>56727.55134568322</v>
      </c>
      <c r="N40" s="25">
        <f t="shared" si="0"/>
        <v>31343.917000000001</v>
      </c>
      <c r="O40" s="25">
        <f t="shared" ca="1" si="1"/>
        <v>0</v>
      </c>
      <c r="P40" s="47">
        <f t="shared" ca="1" si="2"/>
        <v>0</v>
      </c>
    </row>
    <row r="41" spans="12:16" s="23" customFormat="1" ht="13.8">
      <c r="L41" s="23">
        <v>38</v>
      </c>
      <c r="M41" s="23">
        <f ca="1"/>
        <v>37166.771525287753</v>
      </c>
      <c r="N41" s="25">
        <f t="shared" si="0"/>
        <v>31343.917000000001</v>
      </c>
      <c r="O41" s="25">
        <f t="shared" ca="1" si="1"/>
        <v>0</v>
      </c>
      <c r="P41" s="47">
        <f t="shared" ca="1" si="2"/>
        <v>0</v>
      </c>
    </row>
    <row r="42" spans="12:16" s="23" customFormat="1" ht="13.8">
      <c r="L42" s="33">
        <v>39</v>
      </c>
      <c r="M42" s="23">
        <f ca="1"/>
        <v>14510.265268350504</v>
      </c>
      <c r="N42" s="25">
        <f t="shared" si="0"/>
        <v>31343.917000000001</v>
      </c>
      <c r="O42" s="25">
        <f t="shared" ca="1" si="1"/>
        <v>1</v>
      </c>
      <c r="P42" s="47">
        <f t="shared" ca="1" si="2"/>
        <v>0.53706279695832193</v>
      </c>
    </row>
    <row r="43" spans="12:16" s="23" customFormat="1" ht="13.8">
      <c r="L43" s="23">
        <v>40</v>
      </c>
      <c r="M43" s="23">
        <f ca="1"/>
        <v>55122.367233186902</v>
      </c>
      <c r="N43" s="25">
        <f t="shared" si="0"/>
        <v>31343.917000000001</v>
      </c>
      <c r="O43" s="25">
        <f t="shared" ca="1" si="1"/>
        <v>0</v>
      </c>
      <c r="P43" s="47">
        <f t="shared" ca="1" si="2"/>
        <v>0</v>
      </c>
    </row>
    <row r="44" spans="12:16" s="23" customFormat="1" ht="13.8">
      <c r="L44" s="33">
        <v>41</v>
      </c>
      <c r="M44" s="23">
        <f ca="1"/>
        <v>53490.765264095135</v>
      </c>
      <c r="N44" s="25">
        <f t="shared" si="0"/>
        <v>31343.917000000001</v>
      </c>
      <c r="O44" s="25">
        <f t="shared" ca="1" si="1"/>
        <v>0</v>
      </c>
      <c r="P44" s="47">
        <f t="shared" ca="1" si="2"/>
        <v>0</v>
      </c>
    </row>
    <row r="45" spans="12:16" s="23" customFormat="1" ht="13.8">
      <c r="L45" s="23">
        <v>42</v>
      </c>
      <c r="M45" s="23">
        <f ca="1"/>
        <v>50966.290181721277</v>
      </c>
      <c r="N45" s="25">
        <f t="shared" si="0"/>
        <v>31343.917000000001</v>
      </c>
      <c r="O45" s="25">
        <f t="shared" ca="1" si="1"/>
        <v>0</v>
      </c>
      <c r="P45" s="47">
        <f t="shared" ca="1" si="2"/>
        <v>0</v>
      </c>
    </row>
    <row r="46" spans="12:16" s="23" customFormat="1" ht="13.8">
      <c r="L46" s="33">
        <v>43</v>
      </c>
      <c r="M46" s="23">
        <f ca="1"/>
        <v>78669.912414724677</v>
      </c>
      <c r="N46" s="25">
        <f t="shared" si="0"/>
        <v>31343.917000000001</v>
      </c>
      <c r="O46" s="25">
        <f t="shared" ca="1" si="1"/>
        <v>0</v>
      </c>
      <c r="P46" s="47">
        <f t="shared" ca="1" si="2"/>
        <v>0</v>
      </c>
    </row>
    <row r="47" spans="12:16" s="23" customFormat="1" ht="13.8">
      <c r="L47" s="23">
        <v>44</v>
      </c>
      <c r="M47" s="23">
        <f ca="1"/>
        <v>41362.449481210788</v>
      </c>
      <c r="N47" s="25">
        <f t="shared" si="0"/>
        <v>31343.917000000001</v>
      </c>
      <c r="O47" s="25">
        <f t="shared" ca="1" si="1"/>
        <v>0</v>
      </c>
      <c r="P47" s="47">
        <f t="shared" ca="1" si="2"/>
        <v>0</v>
      </c>
    </row>
    <row r="48" spans="12:16" s="23" customFormat="1" ht="13.8">
      <c r="L48" s="33">
        <v>45</v>
      </c>
      <c r="M48" s="23">
        <f ca="1"/>
        <v>27196.664966047381</v>
      </c>
      <c r="N48" s="25">
        <f t="shared" si="0"/>
        <v>31343.917000000001</v>
      </c>
      <c r="O48" s="25">
        <f t="shared" ca="1" si="1"/>
        <v>1</v>
      </c>
      <c r="P48" s="47">
        <f t="shared" ca="1" si="2"/>
        <v>0.13231441475398942</v>
      </c>
    </row>
    <row r="49" spans="12:16" s="23" customFormat="1" ht="13.8">
      <c r="L49" s="23">
        <v>46</v>
      </c>
      <c r="M49" s="23">
        <f ca="1"/>
        <v>40035.420104717494</v>
      </c>
      <c r="N49" s="25">
        <f t="shared" si="0"/>
        <v>31343.917000000001</v>
      </c>
      <c r="O49" s="25">
        <f t="shared" ca="1" si="1"/>
        <v>0</v>
      </c>
      <c r="P49" s="47">
        <f t="shared" ca="1" si="2"/>
        <v>0</v>
      </c>
    </row>
    <row r="50" spans="12:16" s="23" customFormat="1" ht="13.8">
      <c r="L50" s="33">
        <v>47</v>
      </c>
      <c r="M50" s="23">
        <f ca="1"/>
        <v>40959.597311255005</v>
      </c>
      <c r="N50" s="25">
        <f t="shared" si="0"/>
        <v>31343.917000000001</v>
      </c>
      <c r="O50" s="25">
        <f t="shared" ca="1" si="1"/>
        <v>0</v>
      </c>
      <c r="P50" s="47">
        <f t="shared" ca="1" si="2"/>
        <v>0</v>
      </c>
    </row>
    <row r="51" spans="12:16" s="23" customFormat="1" ht="13.8">
      <c r="L51" s="23">
        <v>48</v>
      </c>
      <c r="M51" s="23">
        <f ca="1"/>
        <v>67091.797754758823</v>
      </c>
      <c r="N51" s="25">
        <f t="shared" si="0"/>
        <v>31343.917000000001</v>
      </c>
      <c r="O51" s="25">
        <f t="shared" ca="1" si="1"/>
        <v>0</v>
      </c>
      <c r="P51" s="47">
        <f t="shared" ca="1" si="2"/>
        <v>0</v>
      </c>
    </row>
    <row r="52" spans="12:16" s="23" customFormat="1" ht="13.8">
      <c r="L52" s="33">
        <v>49</v>
      </c>
      <c r="M52" s="23">
        <f ca="1"/>
        <v>55794.374006008431</v>
      </c>
      <c r="N52" s="25">
        <f t="shared" si="0"/>
        <v>31343.917000000001</v>
      </c>
      <c r="O52" s="25">
        <f t="shared" ca="1" si="1"/>
        <v>0</v>
      </c>
      <c r="P52" s="47">
        <f t="shared" ca="1" si="2"/>
        <v>0</v>
      </c>
    </row>
    <row r="53" spans="12:16" s="23" customFormat="1" ht="13.8">
      <c r="L53" s="23">
        <v>50</v>
      </c>
      <c r="M53" s="23">
        <f ca="1"/>
        <v>56812.761050739959</v>
      </c>
      <c r="N53" s="25">
        <f t="shared" si="0"/>
        <v>31343.917000000001</v>
      </c>
      <c r="O53" s="25">
        <f t="shared" ca="1" si="1"/>
        <v>0</v>
      </c>
      <c r="P53" s="47">
        <f t="shared" ca="1" si="2"/>
        <v>0</v>
      </c>
    </row>
    <row r="54" spans="12:16" s="23" customFormat="1" ht="13.8">
      <c r="L54" s="33">
        <v>51</v>
      </c>
      <c r="M54" s="23">
        <f ca="1"/>
        <v>59372.826780264186</v>
      </c>
      <c r="N54" s="25">
        <f t="shared" si="0"/>
        <v>31343.917000000001</v>
      </c>
      <c r="O54" s="25">
        <f t="shared" ca="1" si="1"/>
        <v>0</v>
      </c>
      <c r="P54" s="47">
        <f t="shared" ca="1" si="2"/>
        <v>0</v>
      </c>
    </row>
    <row r="55" spans="12:16" s="23" customFormat="1" ht="13.8">
      <c r="L55" s="23">
        <v>52</v>
      </c>
      <c r="M55" s="23">
        <f ca="1"/>
        <v>36993.194616283836</v>
      </c>
      <c r="N55" s="25">
        <f t="shared" si="0"/>
        <v>31343.917000000001</v>
      </c>
      <c r="O55" s="25">
        <f t="shared" ca="1" si="1"/>
        <v>0</v>
      </c>
      <c r="P55" s="47">
        <f t="shared" ca="1" si="2"/>
        <v>0</v>
      </c>
    </row>
    <row r="56" spans="12:16" s="23" customFormat="1" ht="13.8">
      <c r="L56" s="33">
        <v>53</v>
      </c>
      <c r="M56" s="23">
        <f ca="1"/>
        <v>36651.948004914317</v>
      </c>
      <c r="N56" s="25">
        <f t="shared" si="0"/>
        <v>31343.917000000001</v>
      </c>
      <c r="O56" s="25">
        <f t="shared" ca="1" si="1"/>
        <v>0</v>
      </c>
      <c r="P56" s="47">
        <f t="shared" ca="1" si="2"/>
        <v>0</v>
      </c>
    </row>
    <row r="57" spans="12:16" s="23" customFormat="1" ht="13.8">
      <c r="L57" s="23">
        <v>54</v>
      </c>
      <c r="M57" s="23">
        <f ca="1"/>
        <v>64245.270443927919</v>
      </c>
      <c r="N57" s="25">
        <f t="shared" si="0"/>
        <v>31343.917000000001</v>
      </c>
      <c r="O57" s="25">
        <f t="shared" ca="1" si="1"/>
        <v>0</v>
      </c>
      <c r="P57" s="47">
        <f t="shared" ca="1" si="2"/>
        <v>0</v>
      </c>
    </row>
    <row r="58" spans="12:16" s="23" customFormat="1" ht="13.8">
      <c r="L58" s="33">
        <v>55</v>
      </c>
      <c r="M58" s="23">
        <f ca="1"/>
        <v>53909.046735723321</v>
      </c>
      <c r="N58" s="25">
        <f t="shared" si="0"/>
        <v>31343.917000000001</v>
      </c>
      <c r="O58" s="25">
        <f t="shared" ca="1" si="1"/>
        <v>0</v>
      </c>
      <c r="P58" s="47">
        <f t="shared" ca="1" si="2"/>
        <v>0</v>
      </c>
    </row>
    <row r="59" spans="12:16" s="23" customFormat="1" ht="13.8">
      <c r="L59" s="23">
        <v>56</v>
      </c>
      <c r="M59" s="23">
        <f ca="1"/>
        <v>84130.792430735557</v>
      </c>
      <c r="N59" s="25">
        <f t="shared" si="0"/>
        <v>31343.917000000001</v>
      </c>
      <c r="O59" s="25">
        <f t="shared" ca="1" si="1"/>
        <v>0</v>
      </c>
      <c r="P59" s="47">
        <f t="shared" ca="1" si="2"/>
        <v>0</v>
      </c>
    </row>
    <row r="60" spans="12:16" s="23" customFormat="1" ht="13.8">
      <c r="L60" s="33">
        <v>57</v>
      </c>
      <c r="M60" s="23">
        <f ca="1"/>
        <v>46275.570343767511</v>
      </c>
      <c r="N60" s="25">
        <f t="shared" si="0"/>
        <v>31343.917000000001</v>
      </c>
      <c r="O60" s="25">
        <f t="shared" ca="1" si="1"/>
        <v>0</v>
      </c>
      <c r="P60" s="47">
        <f t="shared" ca="1" si="2"/>
        <v>0</v>
      </c>
    </row>
    <row r="61" spans="12:16" s="23" customFormat="1" ht="13.8">
      <c r="L61" s="23">
        <v>58</v>
      </c>
      <c r="M61" s="23">
        <f ca="1"/>
        <v>21902.282422458593</v>
      </c>
      <c r="N61" s="25">
        <f t="shared" si="0"/>
        <v>31343.917000000001</v>
      </c>
      <c r="O61" s="25">
        <f t="shared" ca="1" si="1"/>
        <v>1</v>
      </c>
      <c r="P61" s="47">
        <f t="shared" ca="1" si="2"/>
        <v>0.3012270156771219</v>
      </c>
    </row>
    <row r="62" spans="12:16" s="23" customFormat="1" ht="13.8">
      <c r="L62" s="33">
        <v>59</v>
      </c>
      <c r="M62" s="23">
        <f ca="1"/>
        <v>53538.23273678952</v>
      </c>
      <c r="N62" s="25">
        <f t="shared" si="0"/>
        <v>31343.917000000001</v>
      </c>
      <c r="O62" s="25">
        <f t="shared" ca="1" si="1"/>
        <v>0</v>
      </c>
      <c r="P62" s="47">
        <f t="shared" ca="1" si="2"/>
        <v>0</v>
      </c>
    </row>
    <row r="63" spans="12:16" s="23" customFormat="1" ht="13.8">
      <c r="L63" s="23">
        <v>60</v>
      </c>
      <c r="M63" s="23">
        <f ca="1"/>
        <v>53968.252723128986</v>
      </c>
      <c r="N63" s="25">
        <f t="shared" si="0"/>
        <v>31343.917000000001</v>
      </c>
      <c r="O63" s="25">
        <f t="shared" ca="1" si="1"/>
        <v>0</v>
      </c>
      <c r="P63" s="47">
        <f t="shared" ca="1" si="2"/>
        <v>0</v>
      </c>
    </row>
    <row r="64" spans="12:16" s="23" customFormat="1" ht="13.8">
      <c r="L64" s="33">
        <v>61</v>
      </c>
      <c r="M64" s="23">
        <f ca="1"/>
        <v>49488.337864806686</v>
      </c>
      <c r="N64" s="25">
        <f t="shared" si="0"/>
        <v>31343.917000000001</v>
      </c>
      <c r="O64" s="25">
        <f t="shared" ca="1" si="1"/>
        <v>0</v>
      </c>
      <c r="P64" s="47">
        <f t="shared" ca="1" si="2"/>
        <v>0</v>
      </c>
    </row>
    <row r="65" spans="12:16" s="23" customFormat="1" ht="13.8">
      <c r="L65" s="23">
        <v>62</v>
      </c>
      <c r="M65" s="23">
        <f ca="1"/>
        <v>66489.899441948379</v>
      </c>
      <c r="N65" s="25">
        <f t="shared" si="0"/>
        <v>31343.917000000001</v>
      </c>
      <c r="O65" s="25">
        <f t="shared" ca="1" si="1"/>
        <v>0</v>
      </c>
      <c r="P65" s="47">
        <f t="shared" ca="1" si="2"/>
        <v>0</v>
      </c>
    </row>
    <row r="66" spans="12:16" s="23" customFormat="1" ht="13.8">
      <c r="L66" s="33">
        <v>63</v>
      </c>
      <c r="M66" s="23">
        <f ca="1"/>
        <v>48068.225386740844</v>
      </c>
      <c r="N66" s="25">
        <f t="shared" si="0"/>
        <v>31343.917000000001</v>
      </c>
      <c r="O66" s="25">
        <f t="shared" ca="1" si="1"/>
        <v>0</v>
      </c>
      <c r="P66" s="47">
        <f t="shared" ca="1" si="2"/>
        <v>0</v>
      </c>
    </row>
    <row r="67" spans="12:16" s="23" customFormat="1" ht="13.8">
      <c r="L67" s="23">
        <v>64</v>
      </c>
      <c r="M67" s="23">
        <f ca="1"/>
        <v>53299.288923430271</v>
      </c>
      <c r="N67" s="25">
        <f t="shared" si="0"/>
        <v>31343.917000000001</v>
      </c>
      <c r="O67" s="25">
        <f t="shared" ca="1" si="1"/>
        <v>0</v>
      </c>
      <c r="P67" s="47">
        <f t="shared" ca="1" si="2"/>
        <v>0</v>
      </c>
    </row>
    <row r="68" spans="12:16" s="23" customFormat="1" ht="13.8">
      <c r="L68" s="33">
        <v>65</v>
      </c>
      <c r="M68" s="23">
        <f ca="1"/>
        <v>105173.14823400319</v>
      </c>
      <c r="N68" s="25">
        <f t="shared" ref="N68:N131" si="3">($C$23+$E$23)*1.1</f>
        <v>31343.917000000001</v>
      </c>
      <c r="O68" s="25">
        <f t="shared" ref="O68:O131" ca="1" si="4">IF(M68&lt;N68,1,0)</f>
        <v>0</v>
      </c>
      <c r="P68" s="47">
        <f t="shared" ca="1" si="2"/>
        <v>0</v>
      </c>
    </row>
    <row r="69" spans="12:16" s="23" customFormat="1" ht="13.8">
      <c r="L69" s="23">
        <v>66</v>
      </c>
      <c r="M69" s="23">
        <f ca="1"/>
        <v>54498.341143519785</v>
      </c>
      <c r="N69" s="25">
        <f t="shared" si="3"/>
        <v>31343.917000000001</v>
      </c>
      <c r="O69" s="25">
        <f t="shared" ca="1" si="4"/>
        <v>0</v>
      </c>
      <c r="P69" s="47">
        <f t="shared" ref="P69:P132" ca="1" si="5">MAX((N69-M69)/N69,0)</f>
        <v>0</v>
      </c>
    </row>
    <row r="70" spans="12:16" s="23" customFormat="1" ht="13.8">
      <c r="L70" s="33">
        <v>67</v>
      </c>
      <c r="M70" s="23">
        <f ca="1"/>
        <v>45722.046233547648</v>
      </c>
      <c r="N70" s="25">
        <f t="shared" si="3"/>
        <v>31343.917000000001</v>
      </c>
      <c r="O70" s="25">
        <f t="shared" ca="1" si="4"/>
        <v>0</v>
      </c>
      <c r="P70" s="47">
        <f t="shared" ca="1" si="5"/>
        <v>0</v>
      </c>
    </row>
    <row r="71" spans="12:16" s="23" customFormat="1" ht="13.8">
      <c r="L71" s="23">
        <v>68</v>
      </c>
      <c r="M71" s="23">
        <f ca="1"/>
        <v>58597.449148258398</v>
      </c>
      <c r="N71" s="25">
        <f t="shared" si="3"/>
        <v>31343.917000000001</v>
      </c>
      <c r="O71" s="25">
        <f t="shared" ca="1" si="4"/>
        <v>0</v>
      </c>
      <c r="P71" s="47">
        <f t="shared" ca="1" si="5"/>
        <v>0</v>
      </c>
    </row>
    <row r="72" spans="12:16" s="23" customFormat="1" ht="13.8">
      <c r="L72" s="33">
        <v>69</v>
      </c>
      <c r="M72" s="23">
        <f ca="1"/>
        <v>85679.463818727701</v>
      </c>
      <c r="N72" s="25">
        <f t="shared" si="3"/>
        <v>31343.917000000001</v>
      </c>
      <c r="O72" s="25">
        <f t="shared" ca="1" si="4"/>
        <v>0</v>
      </c>
      <c r="P72" s="47">
        <f t="shared" ca="1" si="5"/>
        <v>0</v>
      </c>
    </row>
    <row r="73" spans="12:16" s="23" customFormat="1" ht="13.8">
      <c r="L73" s="23">
        <v>70</v>
      </c>
      <c r="M73" s="23">
        <f ca="1"/>
        <v>52501.777711708848</v>
      </c>
      <c r="N73" s="25">
        <f t="shared" si="3"/>
        <v>31343.917000000001</v>
      </c>
      <c r="O73" s="25">
        <f t="shared" ca="1" si="4"/>
        <v>0</v>
      </c>
      <c r="P73" s="47">
        <f t="shared" ca="1" si="5"/>
        <v>0</v>
      </c>
    </row>
    <row r="74" spans="12:16" s="23" customFormat="1" ht="13.8">
      <c r="L74" s="33">
        <v>71</v>
      </c>
      <c r="M74" s="23">
        <f ca="1"/>
        <v>47092.411975229712</v>
      </c>
      <c r="N74" s="25">
        <f t="shared" si="3"/>
        <v>31343.917000000001</v>
      </c>
      <c r="O74" s="25">
        <f t="shared" ca="1" si="4"/>
        <v>0</v>
      </c>
      <c r="P74" s="47">
        <f t="shared" ca="1" si="5"/>
        <v>0</v>
      </c>
    </row>
    <row r="75" spans="12:16" s="23" customFormat="1" ht="13.8">
      <c r="L75" s="23">
        <v>72</v>
      </c>
      <c r="M75" s="23">
        <f ca="1"/>
        <v>27672.276149905822</v>
      </c>
      <c r="N75" s="25">
        <f t="shared" si="3"/>
        <v>31343.917000000001</v>
      </c>
      <c r="O75" s="25">
        <f t="shared" ca="1" si="4"/>
        <v>1</v>
      </c>
      <c r="P75" s="47">
        <f t="shared" ca="1" si="5"/>
        <v>0.11714045982492167</v>
      </c>
    </row>
    <row r="76" spans="12:16" s="23" customFormat="1" ht="13.8">
      <c r="L76" s="33">
        <v>73</v>
      </c>
      <c r="M76" s="23">
        <f ca="1"/>
        <v>39664.371216743719</v>
      </c>
      <c r="N76" s="25">
        <f t="shared" si="3"/>
        <v>31343.917000000001</v>
      </c>
      <c r="O76" s="25">
        <f t="shared" ca="1" si="4"/>
        <v>0</v>
      </c>
      <c r="P76" s="47">
        <f t="shared" ca="1" si="5"/>
        <v>0</v>
      </c>
    </row>
    <row r="77" spans="12:16" s="23" customFormat="1" ht="13.8">
      <c r="L77" s="23">
        <v>74</v>
      </c>
      <c r="M77" s="23">
        <f ca="1"/>
        <v>59394.962504870418</v>
      </c>
      <c r="N77" s="25">
        <f t="shared" si="3"/>
        <v>31343.917000000001</v>
      </c>
      <c r="O77" s="25">
        <f t="shared" ca="1" si="4"/>
        <v>0</v>
      </c>
      <c r="P77" s="47">
        <f t="shared" ca="1" si="5"/>
        <v>0</v>
      </c>
    </row>
    <row r="78" spans="12:16" s="23" customFormat="1" ht="13.8">
      <c r="L78" s="33">
        <v>75</v>
      </c>
      <c r="M78" s="23">
        <f ca="1"/>
        <v>38858.798822762132</v>
      </c>
      <c r="N78" s="25">
        <f t="shared" si="3"/>
        <v>31343.917000000001</v>
      </c>
      <c r="O78" s="25">
        <f t="shared" ca="1" si="4"/>
        <v>0</v>
      </c>
      <c r="P78" s="47">
        <f t="shared" ca="1" si="5"/>
        <v>0</v>
      </c>
    </row>
    <row r="79" spans="12:16" s="23" customFormat="1" ht="13.8">
      <c r="L79" s="23">
        <v>76</v>
      </c>
      <c r="M79" s="23">
        <f ca="1"/>
        <v>5546.9374658794441</v>
      </c>
      <c r="N79" s="25">
        <f t="shared" si="3"/>
        <v>31343.917000000001</v>
      </c>
      <c r="O79" s="25">
        <f t="shared" ca="1" si="4"/>
        <v>1</v>
      </c>
      <c r="P79" s="47">
        <f t="shared" ca="1" si="5"/>
        <v>0.82302985724855504</v>
      </c>
    </row>
    <row r="80" spans="12:16" s="23" customFormat="1" ht="13.8">
      <c r="L80" s="33">
        <v>77</v>
      </c>
      <c r="M80" s="23">
        <f ca="1"/>
        <v>61270.38042086699</v>
      </c>
      <c r="N80" s="25">
        <f t="shared" si="3"/>
        <v>31343.917000000001</v>
      </c>
      <c r="O80" s="25">
        <f t="shared" ca="1" si="4"/>
        <v>0</v>
      </c>
      <c r="P80" s="47">
        <f t="shared" ca="1" si="5"/>
        <v>0</v>
      </c>
    </row>
    <row r="81" spans="12:16" s="23" customFormat="1" ht="13.8">
      <c r="L81" s="23">
        <v>78</v>
      </c>
      <c r="M81" s="23">
        <f ca="1"/>
        <v>21288.257136669479</v>
      </c>
      <c r="N81" s="25">
        <f t="shared" si="3"/>
        <v>31343.917000000001</v>
      </c>
      <c r="O81" s="25">
        <f t="shared" ca="1" si="4"/>
        <v>1</v>
      </c>
      <c r="P81" s="47">
        <f t="shared" ca="1" si="5"/>
        <v>0.32081695032980473</v>
      </c>
    </row>
    <row r="82" spans="12:16" s="23" customFormat="1" ht="13.8">
      <c r="L82" s="33">
        <v>79</v>
      </c>
      <c r="M82" s="23">
        <f ca="1"/>
        <v>24413.908504863226</v>
      </c>
      <c r="N82" s="25">
        <f t="shared" si="3"/>
        <v>31343.917000000001</v>
      </c>
      <c r="O82" s="25">
        <f t="shared" ca="1" si="4"/>
        <v>1</v>
      </c>
      <c r="P82" s="47">
        <f t="shared" ca="1" si="5"/>
        <v>0.22109580289970698</v>
      </c>
    </row>
    <row r="83" spans="12:16" s="23" customFormat="1" ht="13.8">
      <c r="L83" s="23">
        <v>80</v>
      </c>
      <c r="M83" s="23">
        <f ca="1"/>
        <v>33284.816627845168</v>
      </c>
      <c r="N83" s="25">
        <f t="shared" si="3"/>
        <v>31343.917000000001</v>
      </c>
      <c r="O83" s="25">
        <f t="shared" ca="1" si="4"/>
        <v>0</v>
      </c>
      <c r="P83" s="47">
        <f t="shared" ca="1" si="5"/>
        <v>0</v>
      </c>
    </row>
    <row r="84" spans="12:16" s="23" customFormat="1" ht="13.8">
      <c r="L84" s="33">
        <v>81</v>
      </c>
      <c r="M84" s="23">
        <f ca="1"/>
        <v>45692.395617934832</v>
      </c>
      <c r="N84" s="25">
        <f t="shared" si="3"/>
        <v>31343.917000000001</v>
      </c>
      <c r="O84" s="25">
        <f t="shared" ca="1" si="4"/>
        <v>0</v>
      </c>
      <c r="P84" s="47">
        <f t="shared" ca="1" si="5"/>
        <v>0</v>
      </c>
    </row>
    <row r="85" spans="12:16" s="23" customFormat="1" ht="13.8">
      <c r="L85" s="23">
        <v>82</v>
      </c>
      <c r="M85" s="23">
        <f ca="1"/>
        <v>61973.535912416562</v>
      </c>
      <c r="N85" s="25">
        <f t="shared" si="3"/>
        <v>31343.917000000001</v>
      </c>
      <c r="O85" s="25">
        <f t="shared" ca="1" si="4"/>
        <v>0</v>
      </c>
      <c r="P85" s="47">
        <f t="shared" ca="1" si="5"/>
        <v>0</v>
      </c>
    </row>
    <row r="86" spans="12:16" s="23" customFormat="1" ht="13.8">
      <c r="L86" s="33">
        <v>83</v>
      </c>
      <c r="M86" s="23">
        <f ca="1"/>
        <v>71963.935907745108</v>
      </c>
      <c r="N86" s="25">
        <f t="shared" si="3"/>
        <v>31343.917000000001</v>
      </c>
      <c r="O86" s="25">
        <f t="shared" ca="1" si="4"/>
        <v>0</v>
      </c>
      <c r="P86" s="47">
        <f t="shared" ca="1" si="5"/>
        <v>0</v>
      </c>
    </row>
    <row r="87" spans="12:16" s="23" customFormat="1" ht="13.8">
      <c r="L87" s="23">
        <v>84</v>
      </c>
      <c r="M87" s="23">
        <f ca="1"/>
        <v>31411.2583654765</v>
      </c>
      <c r="N87" s="25">
        <f t="shared" si="3"/>
        <v>31343.917000000001</v>
      </c>
      <c r="O87" s="25">
        <f t="shared" ca="1" si="4"/>
        <v>0</v>
      </c>
      <c r="P87" s="47">
        <f t="shared" ca="1" si="5"/>
        <v>0</v>
      </c>
    </row>
    <row r="88" spans="12:16" s="23" customFormat="1" ht="13.8">
      <c r="L88" s="33">
        <v>85</v>
      </c>
      <c r="M88" s="23">
        <f ca="1"/>
        <v>30703.829141406732</v>
      </c>
      <c r="N88" s="25">
        <f t="shared" si="3"/>
        <v>31343.917000000001</v>
      </c>
      <c r="O88" s="25">
        <f t="shared" ca="1" si="4"/>
        <v>1</v>
      </c>
      <c r="P88" s="47">
        <f t="shared" ca="1" si="5"/>
        <v>2.0421438028733602E-2</v>
      </c>
    </row>
    <row r="89" spans="12:16" s="23" customFormat="1" ht="13.8">
      <c r="L89" s="23">
        <v>86</v>
      </c>
      <c r="M89" s="23">
        <f ca="1"/>
        <v>43875.257962766445</v>
      </c>
      <c r="N89" s="25">
        <f t="shared" si="3"/>
        <v>31343.917000000001</v>
      </c>
      <c r="O89" s="25">
        <f t="shared" ca="1" si="4"/>
        <v>0</v>
      </c>
      <c r="P89" s="47">
        <f t="shared" ca="1" si="5"/>
        <v>0</v>
      </c>
    </row>
    <row r="90" spans="12:16" s="23" customFormat="1" ht="13.8">
      <c r="L90" s="33">
        <v>87</v>
      </c>
      <c r="M90" s="23">
        <f ca="1"/>
        <v>43662.994013571435</v>
      </c>
      <c r="N90" s="25">
        <f t="shared" si="3"/>
        <v>31343.917000000001</v>
      </c>
      <c r="O90" s="25">
        <f t="shared" ca="1" si="4"/>
        <v>0</v>
      </c>
      <c r="P90" s="47">
        <f t="shared" ca="1" si="5"/>
        <v>0</v>
      </c>
    </row>
    <row r="91" spans="12:16" s="23" customFormat="1" ht="13.8">
      <c r="L91" s="23">
        <v>88</v>
      </c>
      <c r="M91" s="23">
        <f ca="1"/>
        <v>38830.797828663177</v>
      </c>
      <c r="N91" s="25">
        <f t="shared" si="3"/>
        <v>31343.917000000001</v>
      </c>
      <c r="O91" s="25">
        <f t="shared" ca="1" si="4"/>
        <v>0</v>
      </c>
      <c r="P91" s="47">
        <f t="shared" ca="1" si="5"/>
        <v>0</v>
      </c>
    </row>
    <row r="92" spans="12:16" s="23" customFormat="1" ht="13.8">
      <c r="L92" s="33">
        <v>89</v>
      </c>
      <c r="M92" s="23">
        <f ca="1"/>
        <v>15226.697433630123</v>
      </c>
      <c r="N92" s="25">
        <f t="shared" si="3"/>
        <v>31343.917000000001</v>
      </c>
      <c r="O92" s="25">
        <f t="shared" ca="1" si="4"/>
        <v>1</v>
      </c>
      <c r="P92" s="47">
        <f t="shared" ca="1" si="5"/>
        <v>0.51420566122510714</v>
      </c>
    </row>
    <row r="93" spans="12:16" s="23" customFormat="1" ht="13.8">
      <c r="L93" s="23">
        <v>90</v>
      </c>
      <c r="M93" s="23">
        <f ca="1"/>
        <v>54611.093037379527</v>
      </c>
      <c r="N93" s="25">
        <f t="shared" si="3"/>
        <v>31343.917000000001</v>
      </c>
      <c r="O93" s="25">
        <f t="shared" ca="1" si="4"/>
        <v>0</v>
      </c>
      <c r="P93" s="47">
        <f t="shared" ca="1" si="5"/>
        <v>0</v>
      </c>
    </row>
    <row r="94" spans="12:16" s="23" customFormat="1" ht="13.8">
      <c r="L94" s="33">
        <v>91</v>
      </c>
      <c r="M94" s="23">
        <f ca="1"/>
        <v>42613.713138019964</v>
      </c>
      <c r="N94" s="25">
        <f t="shared" si="3"/>
        <v>31343.917000000001</v>
      </c>
      <c r="O94" s="25">
        <f t="shared" ca="1" si="4"/>
        <v>0</v>
      </c>
      <c r="P94" s="47">
        <f t="shared" ca="1" si="5"/>
        <v>0</v>
      </c>
    </row>
    <row r="95" spans="12:16" s="23" customFormat="1" ht="13.8">
      <c r="L95" s="23">
        <v>92</v>
      </c>
      <c r="M95" s="23">
        <f ca="1"/>
        <v>70035.62510265215</v>
      </c>
      <c r="N95" s="25">
        <f t="shared" si="3"/>
        <v>31343.917000000001</v>
      </c>
      <c r="O95" s="25">
        <f t="shared" ca="1" si="4"/>
        <v>0</v>
      </c>
      <c r="P95" s="47">
        <f t="shared" ca="1" si="5"/>
        <v>0</v>
      </c>
    </row>
    <row r="96" spans="12:16" s="23" customFormat="1" ht="13.8">
      <c r="L96" s="33">
        <v>93</v>
      </c>
      <c r="M96" s="23">
        <f ca="1"/>
        <v>33333.28691889278</v>
      </c>
      <c r="N96" s="25">
        <f t="shared" si="3"/>
        <v>31343.917000000001</v>
      </c>
      <c r="O96" s="25">
        <f t="shared" ca="1" si="4"/>
        <v>0</v>
      </c>
      <c r="P96" s="47">
        <f t="shared" ca="1" si="5"/>
        <v>0</v>
      </c>
    </row>
    <row r="97" spans="12:16" s="23" customFormat="1" ht="13.8">
      <c r="L97" s="23">
        <v>94</v>
      </c>
      <c r="M97" s="23">
        <f ca="1"/>
        <v>52613.717416732419</v>
      </c>
      <c r="N97" s="25">
        <f t="shared" si="3"/>
        <v>31343.917000000001</v>
      </c>
      <c r="O97" s="25">
        <f t="shared" ca="1" si="4"/>
        <v>0</v>
      </c>
      <c r="P97" s="47">
        <f t="shared" ca="1" si="5"/>
        <v>0</v>
      </c>
    </row>
    <row r="98" spans="12:16" s="23" customFormat="1" ht="13.8">
      <c r="L98" s="33">
        <v>95</v>
      </c>
      <c r="M98" s="23">
        <f ca="1"/>
        <v>82165.109327782397</v>
      </c>
      <c r="N98" s="25">
        <f t="shared" si="3"/>
        <v>31343.917000000001</v>
      </c>
      <c r="O98" s="25">
        <f t="shared" ca="1" si="4"/>
        <v>0</v>
      </c>
      <c r="P98" s="47">
        <f t="shared" ca="1" si="5"/>
        <v>0</v>
      </c>
    </row>
    <row r="99" spans="12:16" s="23" customFormat="1" ht="13.8">
      <c r="L99" s="23">
        <v>96</v>
      </c>
      <c r="M99" s="23">
        <f ca="1"/>
        <v>-2917.4130647413308</v>
      </c>
      <c r="N99" s="25">
        <f t="shared" si="3"/>
        <v>31343.917000000001</v>
      </c>
      <c r="O99" s="25">
        <f t="shared" ca="1" si="4"/>
        <v>1</v>
      </c>
      <c r="P99" s="47">
        <f t="shared" ca="1" si="5"/>
        <v>1.0930774882010226</v>
      </c>
    </row>
    <row r="100" spans="12:16" s="23" customFormat="1" ht="13.8">
      <c r="L100" s="33">
        <v>97</v>
      </c>
      <c r="M100" s="23">
        <f ca="1"/>
        <v>36736.163524591539</v>
      </c>
      <c r="N100" s="25">
        <f t="shared" si="3"/>
        <v>31343.917000000001</v>
      </c>
      <c r="O100" s="25">
        <f t="shared" ca="1" si="4"/>
        <v>0</v>
      </c>
      <c r="P100" s="47">
        <f t="shared" ca="1" si="5"/>
        <v>0</v>
      </c>
    </row>
    <row r="101" spans="12:16" s="23" customFormat="1" ht="13.8">
      <c r="L101" s="23">
        <v>98</v>
      </c>
      <c r="M101" s="23">
        <f ca="1"/>
        <v>30083.089710136061</v>
      </c>
      <c r="N101" s="25">
        <f t="shared" si="3"/>
        <v>31343.917000000001</v>
      </c>
      <c r="O101" s="25">
        <f t="shared" ca="1" si="4"/>
        <v>1</v>
      </c>
      <c r="P101" s="47">
        <f t="shared" ca="1" si="5"/>
        <v>4.0225581565441891E-2</v>
      </c>
    </row>
    <row r="102" spans="12:16" s="23" customFormat="1" ht="13.8">
      <c r="L102" s="33">
        <v>99</v>
      </c>
      <c r="M102" s="23">
        <f ca="1"/>
        <v>24641.656274037883</v>
      </c>
      <c r="N102" s="25">
        <f t="shared" si="3"/>
        <v>31343.917000000001</v>
      </c>
      <c r="O102" s="25">
        <f t="shared" ca="1" si="4"/>
        <v>1</v>
      </c>
      <c r="P102" s="47">
        <f t="shared" ca="1" si="5"/>
        <v>0.21382971139063819</v>
      </c>
    </row>
    <row r="103" spans="12:16" s="23" customFormat="1" ht="13.8">
      <c r="L103" s="23">
        <v>100</v>
      </c>
      <c r="M103" s="23">
        <f ca="1"/>
        <v>29258.972953469867</v>
      </c>
      <c r="N103" s="25">
        <f t="shared" si="3"/>
        <v>31343.917000000001</v>
      </c>
      <c r="O103" s="25">
        <f t="shared" ca="1" si="4"/>
        <v>1</v>
      </c>
      <c r="P103" s="47">
        <f t="shared" ca="1" si="5"/>
        <v>6.651829911782034E-2</v>
      </c>
    </row>
    <row r="104" spans="12:16" s="23" customFormat="1" ht="13.8">
      <c r="L104" s="33">
        <v>101</v>
      </c>
      <c r="M104" s="23">
        <f ca="1"/>
        <v>50272.170068950611</v>
      </c>
      <c r="N104" s="25">
        <f t="shared" si="3"/>
        <v>31343.917000000001</v>
      </c>
      <c r="O104" s="25">
        <f t="shared" ca="1" si="4"/>
        <v>0</v>
      </c>
      <c r="P104" s="47">
        <f t="shared" ca="1" si="5"/>
        <v>0</v>
      </c>
    </row>
    <row r="105" spans="12:16" s="23" customFormat="1" ht="13.8">
      <c r="L105" s="23">
        <v>102</v>
      </c>
      <c r="M105" s="23">
        <f ca="1"/>
        <v>51371.246519832814</v>
      </c>
      <c r="N105" s="25">
        <f t="shared" si="3"/>
        <v>31343.917000000001</v>
      </c>
      <c r="O105" s="25">
        <f t="shared" ca="1" si="4"/>
        <v>0</v>
      </c>
      <c r="P105" s="47">
        <f t="shared" ca="1" si="5"/>
        <v>0</v>
      </c>
    </row>
    <row r="106" spans="12:16" s="23" customFormat="1" ht="13.8">
      <c r="L106" s="33">
        <v>103</v>
      </c>
      <c r="M106" s="23">
        <f ca="1"/>
        <v>62226.662052520456</v>
      </c>
      <c r="N106" s="25">
        <f t="shared" si="3"/>
        <v>31343.917000000001</v>
      </c>
      <c r="O106" s="25">
        <f t="shared" ca="1" si="4"/>
        <v>0</v>
      </c>
      <c r="P106" s="47">
        <f t="shared" ca="1" si="5"/>
        <v>0</v>
      </c>
    </row>
    <row r="107" spans="12:16" s="23" customFormat="1" ht="13.8">
      <c r="L107" s="23">
        <v>104</v>
      </c>
      <c r="M107" s="23">
        <f ca="1"/>
        <v>40502.359170876538</v>
      </c>
      <c r="N107" s="25">
        <f t="shared" si="3"/>
        <v>31343.917000000001</v>
      </c>
      <c r="O107" s="25">
        <f t="shared" ca="1" si="4"/>
        <v>0</v>
      </c>
      <c r="P107" s="47">
        <f t="shared" ca="1" si="5"/>
        <v>0</v>
      </c>
    </row>
    <row r="108" spans="12:16" s="23" customFormat="1" ht="13.8">
      <c r="L108" s="33">
        <v>105</v>
      </c>
      <c r="M108" s="23">
        <f ca="1"/>
        <v>30461.370355986412</v>
      </c>
      <c r="N108" s="25">
        <f t="shared" si="3"/>
        <v>31343.917000000001</v>
      </c>
      <c r="O108" s="25">
        <f t="shared" ca="1" si="4"/>
        <v>1</v>
      </c>
      <c r="P108" s="47">
        <f t="shared" ca="1" si="5"/>
        <v>2.815687152354282E-2</v>
      </c>
    </row>
    <row r="109" spans="12:16" s="23" customFormat="1" ht="13.8">
      <c r="L109" s="23">
        <v>106</v>
      </c>
      <c r="M109" s="23">
        <f ca="1"/>
        <v>36749.075344004559</v>
      </c>
      <c r="N109" s="25">
        <f t="shared" si="3"/>
        <v>31343.917000000001</v>
      </c>
      <c r="O109" s="25">
        <f t="shared" ca="1" si="4"/>
        <v>0</v>
      </c>
      <c r="P109" s="47">
        <f t="shared" ca="1" si="5"/>
        <v>0</v>
      </c>
    </row>
    <row r="110" spans="12:16" s="23" customFormat="1" ht="13.8">
      <c r="L110" s="33">
        <v>107</v>
      </c>
      <c r="M110" s="23">
        <f ca="1"/>
        <v>49969.599860912575</v>
      </c>
      <c r="N110" s="25">
        <f t="shared" si="3"/>
        <v>31343.917000000001</v>
      </c>
      <c r="O110" s="25">
        <f t="shared" ca="1" si="4"/>
        <v>0</v>
      </c>
      <c r="P110" s="47">
        <f t="shared" ca="1" si="5"/>
        <v>0</v>
      </c>
    </row>
    <row r="111" spans="12:16" s="23" customFormat="1" ht="13.8">
      <c r="L111" s="23">
        <v>108</v>
      </c>
      <c r="M111" s="23">
        <f ca="1"/>
        <v>22130.391345285392</v>
      </c>
      <c r="N111" s="25">
        <f t="shared" si="3"/>
        <v>31343.917000000001</v>
      </c>
      <c r="O111" s="25">
        <f t="shared" ca="1" si="4"/>
        <v>1</v>
      </c>
      <c r="P111" s="47">
        <f t="shared" ca="1" si="5"/>
        <v>0.29394940187962498</v>
      </c>
    </row>
    <row r="112" spans="12:16" s="23" customFormat="1" ht="13.8">
      <c r="L112" s="33">
        <v>109</v>
      </c>
      <c r="M112" s="23">
        <f ca="1"/>
        <v>34008.820991934044</v>
      </c>
      <c r="N112" s="25">
        <f t="shared" si="3"/>
        <v>31343.917000000001</v>
      </c>
      <c r="O112" s="25">
        <f t="shared" ca="1" si="4"/>
        <v>0</v>
      </c>
      <c r="P112" s="47">
        <f t="shared" ca="1" si="5"/>
        <v>0</v>
      </c>
    </row>
    <row r="113" spans="12:16" s="23" customFormat="1" ht="13.8">
      <c r="L113" s="23">
        <v>110</v>
      </c>
      <c r="M113" s="23">
        <f ca="1"/>
        <v>20775.161246165058</v>
      </c>
      <c r="N113" s="25">
        <f t="shared" si="3"/>
        <v>31343.917000000001</v>
      </c>
      <c r="O113" s="25">
        <f t="shared" ca="1" si="4"/>
        <v>1</v>
      </c>
      <c r="P113" s="47">
        <f t="shared" ca="1" si="5"/>
        <v>0.33718682173114939</v>
      </c>
    </row>
    <row r="114" spans="12:16" s="23" customFormat="1" ht="13.8">
      <c r="L114" s="33">
        <v>111</v>
      </c>
      <c r="M114" s="23">
        <f ca="1"/>
        <v>68131.617459194124</v>
      </c>
      <c r="N114" s="25">
        <f t="shared" si="3"/>
        <v>31343.917000000001</v>
      </c>
      <c r="O114" s="25">
        <f t="shared" ca="1" si="4"/>
        <v>0</v>
      </c>
      <c r="P114" s="47">
        <f t="shared" ca="1" si="5"/>
        <v>0</v>
      </c>
    </row>
    <row r="115" spans="12:16" s="23" customFormat="1" ht="13.8">
      <c r="L115" s="23">
        <v>112</v>
      </c>
      <c r="M115" s="23">
        <f ca="1"/>
        <v>9626.4057912875141</v>
      </c>
      <c r="N115" s="25">
        <f t="shared" si="3"/>
        <v>31343.917000000001</v>
      </c>
      <c r="O115" s="25">
        <f t="shared" ca="1" si="4"/>
        <v>1</v>
      </c>
      <c r="P115" s="47">
        <f t="shared" ca="1" si="5"/>
        <v>0.6928780218730316</v>
      </c>
    </row>
    <row r="116" spans="12:16" s="23" customFormat="1" ht="13.8">
      <c r="L116" s="33">
        <v>113</v>
      </c>
      <c r="M116" s="23">
        <f ca="1"/>
        <v>39979.496804840193</v>
      </c>
      <c r="N116" s="25">
        <f t="shared" si="3"/>
        <v>31343.917000000001</v>
      </c>
      <c r="O116" s="25">
        <f t="shared" ca="1" si="4"/>
        <v>0</v>
      </c>
      <c r="P116" s="47">
        <f t="shared" ca="1" si="5"/>
        <v>0</v>
      </c>
    </row>
    <row r="117" spans="12:16" s="23" customFormat="1" ht="13.8">
      <c r="L117" s="23">
        <v>114</v>
      </c>
      <c r="M117" s="23">
        <f ca="1"/>
        <v>36521.26629388224</v>
      </c>
      <c r="N117" s="25">
        <f t="shared" si="3"/>
        <v>31343.917000000001</v>
      </c>
      <c r="O117" s="25">
        <f t="shared" ca="1" si="4"/>
        <v>0</v>
      </c>
      <c r="P117" s="47">
        <f t="shared" ca="1" si="5"/>
        <v>0</v>
      </c>
    </row>
    <row r="118" spans="12:16" s="23" customFormat="1" ht="13.8">
      <c r="L118" s="33">
        <v>115</v>
      </c>
      <c r="M118" s="23">
        <f ca="1"/>
        <v>65936.40731383457</v>
      </c>
      <c r="N118" s="25">
        <f t="shared" si="3"/>
        <v>31343.917000000001</v>
      </c>
      <c r="O118" s="25">
        <f t="shared" ca="1" si="4"/>
        <v>0</v>
      </c>
      <c r="P118" s="47">
        <f t="shared" ca="1" si="5"/>
        <v>0</v>
      </c>
    </row>
    <row r="119" spans="12:16" s="23" customFormat="1" ht="13.8">
      <c r="L119" s="23">
        <v>116</v>
      </c>
      <c r="M119" s="23">
        <f ca="1"/>
        <v>77873.549436314453</v>
      </c>
      <c r="N119" s="25">
        <f t="shared" si="3"/>
        <v>31343.917000000001</v>
      </c>
      <c r="O119" s="25">
        <f t="shared" ca="1" si="4"/>
        <v>0</v>
      </c>
      <c r="P119" s="47">
        <f t="shared" ca="1" si="5"/>
        <v>0</v>
      </c>
    </row>
    <row r="120" spans="12:16" s="23" customFormat="1" ht="13.8">
      <c r="L120" s="33">
        <v>117</v>
      </c>
      <c r="M120" s="23">
        <f ca="1"/>
        <v>76639.44935686895</v>
      </c>
      <c r="N120" s="25">
        <f t="shared" si="3"/>
        <v>31343.917000000001</v>
      </c>
      <c r="O120" s="25">
        <f t="shared" ca="1" si="4"/>
        <v>0</v>
      </c>
      <c r="P120" s="47">
        <f t="shared" ca="1" si="5"/>
        <v>0</v>
      </c>
    </row>
    <row r="121" spans="12:16" s="23" customFormat="1" ht="13.8">
      <c r="L121" s="23">
        <v>118</v>
      </c>
      <c r="M121" s="23">
        <f ca="1"/>
        <v>51141.532040707207</v>
      </c>
      <c r="N121" s="25">
        <f t="shared" si="3"/>
        <v>31343.917000000001</v>
      </c>
      <c r="O121" s="25">
        <f t="shared" ca="1" si="4"/>
        <v>0</v>
      </c>
      <c r="P121" s="47">
        <f t="shared" ca="1" si="5"/>
        <v>0</v>
      </c>
    </row>
    <row r="122" spans="12:16" s="23" customFormat="1" ht="13.8">
      <c r="L122" s="33">
        <v>119</v>
      </c>
      <c r="M122" s="23">
        <f ca="1"/>
        <v>44348.865734459156</v>
      </c>
      <c r="N122" s="25">
        <f t="shared" si="3"/>
        <v>31343.917000000001</v>
      </c>
      <c r="O122" s="25">
        <f t="shared" ca="1" si="4"/>
        <v>0</v>
      </c>
      <c r="P122" s="47">
        <f t="shared" ca="1" si="5"/>
        <v>0</v>
      </c>
    </row>
    <row r="123" spans="12:16" s="23" customFormat="1" ht="13.8">
      <c r="L123" s="23">
        <v>120</v>
      </c>
      <c r="M123" s="23">
        <f ca="1"/>
        <v>82367.296082399349</v>
      </c>
      <c r="N123" s="25">
        <f t="shared" si="3"/>
        <v>31343.917000000001</v>
      </c>
      <c r="O123" s="25">
        <f t="shared" ca="1" si="4"/>
        <v>0</v>
      </c>
      <c r="P123" s="47">
        <f t="shared" ca="1" si="5"/>
        <v>0</v>
      </c>
    </row>
    <row r="124" spans="12:16" s="23" customFormat="1" ht="13.8">
      <c r="L124" s="33">
        <v>121</v>
      </c>
      <c r="M124" s="23">
        <f ca="1"/>
        <v>37342.06573157369</v>
      </c>
      <c r="N124" s="25">
        <f t="shared" si="3"/>
        <v>31343.917000000001</v>
      </c>
      <c r="O124" s="25">
        <f t="shared" ca="1" si="4"/>
        <v>0</v>
      </c>
      <c r="P124" s="47">
        <f t="shared" ca="1" si="5"/>
        <v>0</v>
      </c>
    </row>
    <row r="125" spans="12:16" s="23" customFormat="1" ht="13.8">
      <c r="L125" s="23">
        <v>122</v>
      </c>
      <c r="M125" s="23">
        <f ca="1"/>
        <v>21799.354739776147</v>
      </c>
      <c r="N125" s="25">
        <f t="shared" si="3"/>
        <v>31343.917000000001</v>
      </c>
      <c r="O125" s="25">
        <f t="shared" ca="1" si="4"/>
        <v>1</v>
      </c>
      <c r="P125" s="47">
        <f t="shared" ca="1" si="5"/>
        <v>0.3045108325237032</v>
      </c>
    </row>
    <row r="126" spans="12:16" s="23" customFormat="1" ht="13.8">
      <c r="L126" s="33">
        <v>123</v>
      </c>
      <c r="M126" s="23">
        <f ca="1"/>
        <v>37938.624115087267</v>
      </c>
      <c r="N126" s="25">
        <f t="shared" si="3"/>
        <v>31343.917000000001</v>
      </c>
      <c r="O126" s="25">
        <f t="shared" ca="1" si="4"/>
        <v>0</v>
      </c>
      <c r="P126" s="47">
        <f t="shared" ca="1" si="5"/>
        <v>0</v>
      </c>
    </row>
    <row r="127" spans="12:16" s="23" customFormat="1" ht="13.8">
      <c r="L127" s="23">
        <v>124</v>
      </c>
      <c r="M127" s="23">
        <f ca="1"/>
        <v>86626.983192455329</v>
      </c>
      <c r="N127" s="25">
        <f t="shared" si="3"/>
        <v>31343.917000000001</v>
      </c>
      <c r="O127" s="25">
        <f t="shared" ca="1" si="4"/>
        <v>0</v>
      </c>
      <c r="P127" s="47">
        <f t="shared" ca="1" si="5"/>
        <v>0</v>
      </c>
    </row>
    <row r="128" spans="12:16" s="23" customFormat="1" ht="13.8">
      <c r="L128" s="33">
        <v>125</v>
      </c>
      <c r="M128" s="23">
        <f ca="1"/>
        <v>64163.091584276524</v>
      </c>
      <c r="N128" s="25">
        <f t="shared" si="3"/>
        <v>31343.917000000001</v>
      </c>
      <c r="O128" s="25">
        <f t="shared" ca="1" si="4"/>
        <v>0</v>
      </c>
      <c r="P128" s="47">
        <f t="shared" ca="1" si="5"/>
        <v>0</v>
      </c>
    </row>
    <row r="129" spans="12:16" s="23" customFormat="1" ht="13.8">
      <c r="L129" s="23">
        <v>126</v>
      </c>
      <c r="M129" s="23">
        <f ca="1"/>
        <v>36871.928956512071</v>
      </c>
      <c r="N129" s="25">
        <f t="shared" si="3"/>
        <v>31343.917000000001</v>
      </c>
      <c r="O129" s="25">
        <f t="shared" ca="1" si="4"/>
        <v>0</v>
      </c>
      <c r="P129" s="47">
        <f t="shared" ca="1" si="5"/>
        <v>0</v>
      </c>
    </row>
    <row r="130" spans="12:16" s="23" customFormat="1" ht="13.8">
      <c r="L130" s="33">
        <v>127</v>
      </c>
      <c r="M130" s="23">
        <f ca="1"/>
        <v>36984.827268163142</v>
      </c>
      <c r="N130" s="25">
        <f t="shared" si="3"/>
        <v>31343.917000000001</v>
      </c>
      <c r="O130" s="25">
        <f t="shared" ca="1" si="4"/>
        <v>0</v>
      </c>
      <c r="P130" s="47">
        <f t="shared" ca="1" si="5"/>
        <v>0</v>
      </c>
    </row>
    <row r="131" spans="12:16" s="23" customFormat="1" ht="13.8">
      <c r="L131" s="23">
        <v>128</v>
      </c>
      <c r="M131" s="23">
        <f ca="1"/>
        <v>53417.009881299324</v>
      </c>
      <c r="N131" s="25">
        <f t="shared" si="3"/>
        <v>31343.917000000001</v>
      </c>
      <c r="O131" s="25">
        <f t="shared" ca="1" si="4"/>
        <v>0</v>
      </c>
      <c r="P131" s="47">
        <f t="shared" ca="1" si="5"/>
        <v>0</v>
      </c>
    </row>
    <row r="132" spans="12:16" s="23" customFormat="1" ht="13.8">
      <c r="L132" s="33">
        <v>129</v>
      </c>
      <c r="M132" s="23">
        <f ca="1"/>
        <v>21568.245365657014</v>
      </c>
      <c r="N132" s="25">
        <f t="shared" ref="N132:N195" si="6">($C$23+$E$23)*1.1</f>
        <v>31343.917000000001</v>
      </c>
      <c r="O132" s="25">
        <f t="shared" ref="O132:O195" ca="1" si="7">IF(M132&lt;N132,1,0)</f>
        <v>1</v>
      </c>
      <c r="P132" s="47">
        <f t="shared" ca="1" si="5"/>
        <v>0.31188417307074245</v>
      </c>
    </row>
    <row r="133" spans="12:16" s="23" customFormat="1" ht="13.8">
      <c r="L133" s="23">
        <v>130</v>
      </c>
      <c r="M133" s="23">
        <f ca="1"/>
        <v>49782.691221640482</v>
      </c>
      <c r="N133" s="25">
        <f t="shared" si="6"/>
        <v>31343.917000000001</v>
      </c>
      <c r="O133" s="25">
        <f t="shared" ca="1" si="7"/>
        <v>0</v>
      </c>
      <c r="P133" s="47">
        <f t="shared" ref="P133:P196" ca="1" si="8">MAX((N133-M133)/N133,0)</f>
        <v>0</v>
      </c>
    </row>
    <row r="134" spans="12:16" s="23" customFormat="1" ht="13.8">
      <c r="L134" s="33">
        <v>131</v>
      </c>
      <c r="M134" s="23">
        <f ca="1"/>
        <v>46339.027200205142</v>
      </c>
      <c r="N134" s="25">
        <f t="shared" si="6"/>
        <v>31343.917000000001</v>
      </c>
      <c r="O134" s="25">
        <f t="shared" ca="1" si="7"/>
        <v>0</v>
      </c>
      <c r="P134" s="47">
        <f t="shared" ca="1" si="8"/>
        <v>0</v>
      </c>
    </row>
    <row r="135" spans="12:16" s="23" customFormat="1" ht="13.8">
      <c r="L135" s="23">
        <v>132</v>
      </c>
      <c r="M135" s="23">
        <f ca="1"/>
        <v>68938.787996288767</v>
      </c>
      <c r="N135" s="25">
        <f t="shared" si="6"/>
        <v>31343.917000000001</v>
      </c>
      <c r="O135" s="25">
        <f t="shared" ca="1" si="7"/>
        <v>0</v>
      </c>
      <c r="P135" s="47">
        <f t="shared" ca="1" si="8"/>
        <v>0</v>
      </c>
    </row>
    <row r="136" spans="12:16" s="23" customFormat="1" ht="13.8">
      <c r="L136" s="33">
        <v>133</v>
      </c>
      <c r="M136" s="23">
        <f ca="1"/>
        <v>34674.408484202046</v>
      </c>
      <c r="N136" s="25">
        <f t="shared" si="6"/>
        <v>31343.917000000001</v>
      </c>
      <c r="O136" s="25">
        <f t="shared" ca="1" si="7"/>
        <v>0</v>
      </c>
      <c r="P136" s="47">
        <f t="shared" ca="1" si="8"/>
        <v>0</v>
      </c>
    </row>
    <row r="137" spans="12:16" s="23" customFormat="1" ht="13.8">
      <c r="L137" s="23">
        <v>134</v>
      </c>
      <c r="M137" s="23">
        <f ca="1"/>
        <v>36803.90076380055</v>
      </c>
      <c r="N137" s="25">
        <f t="shared" si="6"/>
        <v>31343.917000000001</v>
      </c>
      <c r="O137" s="25">
        <f t="shared" ca="1" si="7"/>
        <v>0</v>
      </c>
      <c r="P137" s="47">
        <f t="shared" ca="1" si="8"/>
        <v>0</v>
      </c>
    </row>
    <row r="138" spans="12:16" s="23" customFormat="1" ht="13.8">
      <c r="L138" s="33">
        <v>135</v>
      </c>
      <c r="M138" s="23">
        <f ca="1"/>
        <v>25843.440135054243</v>
      </c>
      <c r="N138" s="25">
        <f t="shared" si="6"/>
        <v>31343.917000000001</v>
      </c>
      <c r="O138" s="25">
        <f t="shared" ca="1" si="7"/>
        <v>1</v>
      </c>
      <c r="P138" s="47">
        <f t="shared" ca="1" si="8"/>
        <v>0.17548785829626073</v>
      </c>
    </row>
    <row r="139" spans="12:16" s="23" customFormat="1" ht="13.8">
      <c r="L139" s="23">
        <v>136</v>
      </c>
      <c r="M139" s="23">
        <f ca="1"/>
        <v>62703.421793759873</v>
      </c>
      <c r="N139" s="25">
        <f t="shared" si="6"/>
        <v>31343.917000000001</v>
      </c>
      <c r="O139" s="25">
        <f t="shared" ca="1" si="7"/>
        <v>0</v>
      </c>
      <c r="P139" s="47">
        <f t="shared" ca="1" si="8"/>
        <v>0</v>
      </c>
    </row>
    <row r="140" spans="12:16" s="23" customFormat="1" ht="13.8">
      <c r="L140" s="33">
        <v>137</v>
      </c>
      <c r="M140" s="23">
        <f ca="1"/>
        <v>28195.936454195773</v>
      </c>
      <c r="N140" s="25">
        <f t="shared" si="6"/>
        <v>31343.917000000001</v>
      </c>
      <c r="O140" s="25">
        <f t="shared" ca="1" si="7"/>
        <v>1</v>
      </c>
      <c r="P140" s="47">
        <f t="shared" ca="1" si="8"/>
        <v>0.10043354012851131</v>
      </c>
    </row>
    <row r="141" spans="12:16" s="23" customFormat="1" ht="13.8">
      <c r="L141" s="23">
        <v>138</v>
      </c>
      <c r="M141" s="23">
        <f ca="1"/>
        <v>25756.458640957517</v>
      </c>
      <c r="N141" s="25">
        <f t="shared" si="6"/>
        <v>31343.917000000001</v>
      </c>
      <c r="O141" s="25">
        <f t="shared" ca="1" si="7"/>
        <v>1</v>
      </c>
      <c r="P141" s="47">
        <f t="shared" ca="1" si="8"/>
        <v>0.17826292607406038</v>
      </c>
    </row>
    <row r="142" spans="12:16" s="23" customFormat="1" ht="13.8">
      <c r="L142" s="33">
        <v>139</v>
      </c>
      <c r="M142" s="23">
        <f ca="1"/>
        <v>12996.22087714862</v>
      </c>
      <c r="N142" s="25">
        <f t="shared" si="6"/>
        <v>31343.917000000001</v>
      </c>
      <c r="O142" s="25">
        <f t="shared" ca="1" si="7"/>
        <v>1</v>
      </c>
      <c r="P142" s="47">
        <f t="shared" ca="1" si="8"/>
        <v>0.58536704658997729</v>
      </c>
    </row>
    <row r="143" spans="12:16" s="23" customFormat="1" ht="13.8">
      <c r="L143" s="23">
        <v>140</v>
      </c>
      <c r="M143" s="23">
        <f ca="1"/>
        <v>62394.98426911563</v>
      </c>
      <c r="N143" s="25">
        <f t="shared" si="6"/>
        <v>31343.917000000001</v>
      </c>
      <c r="O143" s="25">
        <f t="shared" ca="1" si="7"/>
        <v>0</v>
      </c>
      <c r="P143" s="47">
        <f t="shared" ca="1" si="8"/>
        <v>0</v>
      </c>
    </row>
    <row r="144" spans="12:16" s="23" customFormat="1" ht="13.8">
      <c r="L144" s="33">
        <v>141</v>
      </c>
      <c r="M144" s="23">
        <f ca="1"/>
        <v>74083.166329445899</v>
      </c>
      <c r="N144" s="25">
        <f t="shared" si="6"/>
        <v>31343.917000000001</v>
      </c>
      <c r="O144" s="25">
        <f t="shared" ca="1" si="7"/>
        <v>0</v>
      </c>
      <c r="P144" s="47">
        <f t="shared" ca="1" si="8"/>
        <v>0</v>
      </c>
    </row>
    <row r="145" spans="12:16" s="23" customFormat="1" ht="13.8">
      <c r="L145" s="23">
        <v>142</v>
      </c>
      <c r="M145" s="23">
        <f ca="1"/>
        <v>40809.552171992764</v>
      </c>
      <c r="N145" s="25">
        <f t="shared" si="6"/>
        <v>31343.917000000001</v>
      </c>
      <c r="O145" s="25">
        <f t="shared" ca="1" si="7"/>
        <v>0</v>
      </c>
      <c r="P145" s="47">
        <f t="shared" ca="1" si="8"/>
        <v>0</v>
      </c>
    </row>
    <row r="146" spans="12:16" s="23" customFormat="1" ht="13.8">
      <c r="L146" s="33">
        <v>143</v>
      </c>
      <c r="M146" s="23">
        <f ca="1"/>
        <v>23129.379525682893</v>
      </c>
      <c r="N146" s="25">
        <f t="shared" si="6"/>
        <v>31343.917000000001</v>
      </c>
      <c r="O146" s="25">
        <f t="shared" ca="1" si="7"/>
        <v>1</v>
      </c>
      <c r="P146" s="47">
        <f t="shared" ca="1" si="8"/>
        <v>0.26207756593782161</v>
      </c>
    </row>
    <row r="147" spans="12:16" s="23" customFormat="1" ht="13.8">
      <c r="L147" s="23">
        <v>144</v>
      </c>
      <c r="M147" s="23">
        <f ca="1"/>
        <v>55306.731853735626</v>
      </c>
      <c r="N147" s="25">
        <f t="shared" si="6"/>
        <v>31343.917000000001</v>
      </c>
      <c r="O147" s="25">
        <f t="shared" ca="1" si="7"/>
        <v>0</v>
      </c>
      <c r="P147" s="47">
        <f t="shared" ca="1" si="8"/>
        <v>0</v>
      </c>
    </row>
    <row r="148" spans="12:16" s="23" customFormat="1" ht="13.8">
      <c r="L148" s="33">
        <v>145</v>
      </c>
      <c r="M148" s="23">
        <f ca="1"/>
        <v>26955.060691421961</v>
      </c>
      <c r="N148" s="25">
        <f t="shared" si="6"/>
        <v>31343.917000000001</v>
      </c>
      <c r="O148" s="25">
        <f t="shared" ca="1" si="7"/>
        <v>1</v>
      </c>
      <c r="P148" s="47">
        <f t="shared" ca="1" si="8"/>
        <v>0.14002258583628971</v>
      </c>
    </row>
    <row r="149" spans="12:16" s="23" customFormat="1" ht="13.8">
      <c r="L149" s="23">
        <v>146</v>
      </c>
      <c r="M149" s="23">
        <f ca="1"/>
        <v>65626.042276573906</v>
      </c>
      <c r="N149" s="25">
        <f t="shared" si="6"/>
        <v>31343.917000000001</v>
      </c>
      <c r="O149" s="25">
        <f t="shared" ca="1" si="7"/>
        <v>0</v>
      </c>
      <c r="P149" s="47">
        <f t="shared" ca="1" si="8"/>
        <v>0</v>
      </c>
    </row>
    <row r="150" spans="12:16" s="23" customFormat="1" ht="13.8">
      <c r="L150" s="33">
        <v>147</v>
      </c>
      <c r="M150" s="23">
        <f ca="1"/>
        <v>48311.33984759044</v>
      </c>
      <c r="N150" s="25">
        <f t="shared" si="6"/>
        <v>31343.917000000001</v>
      </c>
      <c r="O150" s="25">
        <f t="shared" ca="1" si="7"/>
        <v>0</v>
      </c>
      <c r="P150" s="47">
        <f t="shared" ca="1" si="8"/>
        <v>0</v>
      </c>
    </row>
    <row r="151" spans="12:16" s="23" customFormat="1" ht="13.8">
      <c r="L151" s="23">
        <v>148</v>
      </c>
      <c r="M151" s="23">
        <f ca="1"/>
        <v>62755.033981780871</v>
      </c>
      <c r="N151" s="25">
        <f t="shared" si="6"/>
        <v>31343.917000000001</v>
      </c>
      <c r="O151" s="25">
        <f t="shared" ca="1" si="7"/>
        <v>0</v>
      </c>
      <c r="P151" s="47">
        <f t="shared" ca="1" si="8"/>
        <v>0</v>
      </c>
    </row>
    <row r="152" spans="12:16" s="23" customFormat="1" ht="13.8">
      <c r="L152" s="33">
        <v>149</v>
      </c>
      <c r="M152" s="23">
        <f ca="1"/>
        <v>35045.445743223405</v>
      </c>
      <c r="N152" s="25">
        <f t="shared" si="6"/>
        <v>31343.917000000001</v>
      </c>
      <c r="O152" s="25">
        <f t="shared" ca="1" si="7"/>
        <v>0</v>
      </c>
      <c r="P152" s="47">
        <f t="shared" ca="1" si="8"/>
        <v>0</v>
      </c>
    </row>
    <row r="153" spans="12:16" s="23" customFormat="1" ht="13.8">
      <c r="L153" s="23">
        <v>150</v>
      </c>
      <c r="M153" s="23">
        <f ca="1"/>
        <v>2260.51398699738</v>
      </c>
      <c r="N153" s="25">
        <f t="shared" si="6"/>
        <v>31343.917000000001</v>
      </c>
      <c r="O153" s="25">
        <f t="shared" ca="1" si="7"/>
        <v>1</v>
      </c>
      <c r="P153" s="47">
        <f t="shared" ca="1" si="8"/>
        <v>0.92788029693297813</v>
      </c>
    </row>
    <row r="154" spans="12:16" s="23" customFormat="1" ht="13.8">
      <c r="L154" s="33">
        <v>151</v>
      </c>
      <c r="M154" s="23">
        <f ca="1"/>
        <v>34438.585552804623</v>
      </c>
      <c r="N154" s="25">
        <f t="shared" si="6"/>
        <v>31343.917000000001</v>
      </c>
      <c r="O154" s="25">
        <f t="shared" ca="1" si="7"/>
        <v>0</v>
      </c>
      <c r="P154" s="47">
        <f t="shared" ca="1" si="8"/>
        <v>0</v>
      </c>
    </row>
    <row r="155" spans="12:16" s="23" customFormat="1" ht="13.8">
      <c r="L155" s="23">
        <v>152</v>
      </c>
      <c r="M155" s="23">
        <f ca="1"/>
        <v>46480.008221179101</v>
      </c>
      <c r="N155" s="25">
        <f t="shared" si="6"/>
        <v>31343.917000000001</v>
      </c>
      <c r="O155" s="25">
        <f t="shared" ca="1" si="7"/>
        <v>0</v>
      </c>
      <c r="P155" s="47">
        <f t="shared" ca="1" si="8"/>
        <v>0</v>
      </c>
    </row>
    <row r="156" spans="12:16" s="23" customFormat="1" ht="13.8">
      <c r="L156" s="33">
        <v>153</v>
      </c>
      <c r="M156" s="23">
        <f ca="1"/>
        <v>30507.913014396996</v>
      </c>
      <c r="N156" s="25">
        <f t="shared" si="6"/>
        <v>31343.917000000001</v>
      </c>
      <c r="O156" s="25">
        <f t="shared" ca="1" si="7"/>
        <v>1</v>
      </c>
      <c r="P156" s="47">
        <f t="shared" ca="1" si="8"/>
        <v>2.6671969097002306E-2</v>
      </c>
    </row>
    <row r="157" spans="12:16" s="23" customFormat="1" ht="13.8">
      <c r="L157" s="23">
        <v>154</v>
      </c>
      <c r="M157" s="23">
        <f ca="1"/>
        <v>54835.963429000891</v>
      </c>
      <c r="N157" s="25">
        <f t="shared" si="6"/>
        <v>31343.917000000001</v>
      </c>
      <c r="O157" s="25">
        <f t="shared" ca="1" si="7"/>
        <v>0</v>
      </c>
      <c r="P157" s="47">
        <f t="shared" ca="1" si="8"/>
        <v>0</v>
      </c>
    </row>
    <row r="158" spans="12:16" s="23" customFormat="1" ht="13.8">
      <c r="L158" s="33">
        <v>155</v>
      </c>
      <c r="M158" s="23">
        <f ca="1"/>
        <v>69241.888232754034</v>
      </c>
      <c r="N158" s="25">
        <f t="shared" si="6"/>
        <v>31343.917000000001</v>
      </c>
      <c r="O158" s="25">
        <f t="shared" ca="1" si="7"/>
        <v>0</v>
      </c>
      <c r="P158" s="47">
        <f t="shared" ca="1" si="8"/>
        <v>0</v>
      </c>
    </row>
    <row r="159" spans="12:16" s="23" customFormat="1" ht="13.8">
      <c r="L159" s="23">
        <v>156</v>
      </c>
      <c r="M159" s="23">
        <f ca="1"/>
        <v>35550.952585898667</v>
      </c>
      <c r="N159" s="25">
        <f t="shared" si="6"/>
        <v>31343.917000000001</v>
      </c>
      <c r="O159" s="25">
        <f t="shared" ca="1" si="7"/>
        <v>0</v>
      </c>
      <c r="P159" s="47">
        <f t="shared" ca="1" si="8"/>
        <v>0</v>
      </c>
    </row>
    <row r="160" spans="12:16" s="23" customFormat="1" ht="13.8">
      <c r="L160" s="33">
        <v>157</v>
      </c>
      <c r="M160" s="23">
        <f ca="1"/>
        <v>51928.167854205662</v>
      </c>
      <c r="N160" s="25">
        <f t="shared" si="6"/>
        <v>31343.917000000001</v>
      </c>
      <c r="O160" s="25">
        <f t="shared" ca="1" si="7"/>
        <v>0</v>
      </c>
      <c r="P160" s="47">
        <f t="shared" ca="1" si="8"/>
        <v>0</v>
      </c>
    </row>
    <row r="161" spans="12:16" s="23" customFormat="1" ht="13.8">
      <c r="L161" s="23">
        <v>158</v>
      </c>
      <c r="M161" s="23">
        <f ca="1"/>
        <v>28636.002064109707</v>
      </c>
      <c r="N161" s="25">
        <f t="shared" si="6"/>
        <v>31343.917000000001</v>
      </c>
      <c r="O161" s="25">
        <f t="shared" ca="1" si="7"/>
        <v>1</v>
      </c>
      <c r="P161" s="47">
        <f t="shared" ca="1" si="8"/>
        <v>8.6393635354837559E-2</v>
      </c>
    </row>
    <row r="162" spans="12:16" s="23" customFormat="1" ht="13.8">
      <c r="L162" s="33">
        <v>159</v>
      </c>
      <c r="M162" s="23">
        <f ca="1"/>
        <v>27994.096812200987</v>
      </c>
      <c r="N162" s="25">
        <f t="shared" si="6"/>
        <v>31343.917000000001</v>
      </c>
      <c r="O162" s="25">
        <f t="shared" ca="1" si="7"/>
        <v>1</v>
      </c>
      <c r="P162" s="47">
        <f t="shared" ca="1" si="8"/>
        <v>0.10687305571282026</v>
      </c>
    </row>
    <row r="163" spans="12:16" s="23" customFormat="1" ht="13.8">
      <c r="L163" s="23">
        <v>160</v>
      </c>
      <c r="M163" s="23">
        <f ca="1"/>
        <v>58034.921342482347</v>
      </c>
      <c r="N163" s="25">
        <f t="shared" si="6"/>
        <v>31343.917000000001</v>
      </c>
      <c r="O163" s="25">
        <f t="shared" ca="1" si="7"/>
        <v>0</v>
      </c>
      <c r="P163" s="47">
        <f t="shared" ca="1" si="8"/>
        <v>0</v>
      </c>
    </row>
    <row r="164" spans="12:16" s="23" customFormat="1" ht="13.8">
      <c r="L164" s="33">
        <v>161</v>
      </c>
      <c r="M164" s="23">
        <f ca="1"/>
        <v>52836.823530291542</v>
      </c>
      <c r="N164" s="25">
        <f t="shared" si="6"/>
        <v>31343.917000000001</v>
      </c>
      <c r="O164" s="25">
        <f t="shared" ca="1" si="7"/>
        <v>0</v>
      </c>
      <c r="P164" s="47">
        <f t="shared" ca="1" si="8"/>
        <v>0</v>
      </c>
    </row>
    <row r="165" spans="12:16" s="23" customFormat="1" ht="13.8">
      <c r="L165" s="23">
        <v>162</v>
      </c>
      <c r="M165" s="23">
        <f ca="1"/>
        <v>37382.135335489518</v>
      </c>
      <c r="N165" s="25">
        <f t="shared" si="6"/>
        <v>31343.917000000001</v>
      </c>
      <c r="O165" s="25">
        <f t="shared" ca="1" si="7"/>
        <v>0</v>
      </c>
      <c r="P165" s="47">
        <f t="shared" ca="1" si="8"/>
        <v>0</v>
      </c>
    </row>
    <row r="166" spans="12:16" s="23" customFormat="1" ht="13.8">
      <c r="L166" s="33">
        <v>163</v>
      </c>
      <c r="M166" s="23">
        <f ca="1"/>
        <v>22335.095233711359</v>
      </c>
      <c r="N166" s="25">
        <f t="shared" si="6"/>
        <v>31343.917000000001</v>
      </c>
      <c r="O166" s="25">
        <f t="shared" ca="1" si="7"/>
        <v>1</v>
      </c>
      <c r="P166" s="47">
        <f t="shared" ca="1" si="8"/>
        <v>0.2874185050416207</v>
      </c>
    </row>
    <row r="167" spans="12:16" s="23" customFormat="1" ht="13.8">
      <c r="L167" s="23">
        <v>164</v>
      </c>
      <c r="M167" s="23">
        <f ca="1"/>
        <v>42516.10484138858</v>
      </c>
      <c r="N167" s="25">
        <f t="shared" si="6"/>
        <v>31343.917000000001</v>
      </c>
      <c r="O167" s="25">
        <f t="shared" ca="1" si="7"/>
        <v>0</v>
      </c>
      <c r="P167" s="47">
        <f t="shared" ca="1" si="8"/>
        <v>0</v>
      </c>
    </row>
    <row r="168" spans="12:16" s="23" customFormat="1" ht="13.8">
      <c r="L168" s="33">
        <v>165</v>
      </c>
      <c r="M168" s="23">
        <f ca="1"/>
        <v>35908.915249887556</v>
      </c>
      <c r="N168" s="25">
        <f t="shared" si="6"/>
        <v>31343.917000000001</v>
      </c>
      <c r="O168" s="25">
        <f t="shared" ca="1" si="7"/>
        <v>0</v>
      </c>
      <c r="P168" s="47">
        <f t="shared" ca="1" si="8"/>
        <v>0</v>
      </c>
    </row>
    <row r="169" spans="12:16" s="23" customFormat="1" ht="13.8">
      <c r="L169" s="23">
        <v>166</v>
      </c>
      <c r="M169" s="23">
        <f ca="1"/>
        <v>52795.422000243954</v>
      </c>
      <c r="N169" s="25">
        <f t="shared" si="6"/>
        <v>31343.917000000001</v>
      </c>
      <c r="O169" s="25">
        <f t="shared" ca="1" si="7"/>
        <v>0</v>
      </c>
      <c r="P169" s="47">
        <f t="shared" ca="1" si="8"/>
        <v>0</v>
      </c>
    </row>
    <row r="170" spans="12:16" s="23" customFormat="1" ht="13.8">
      <c r="L170" s="33">
        <v>167</v>
      </c>
      <c r="M170" s="23">
        <f ca="1"/>
        <v>35077.419110328978</v>
      </c>
      <c r="N170" s="25">
        <f t="shared" si="6"/>
        <v>31343.917000000001</v>
      </c>
      <c r="O170" s="25">
        <f t="shared" ca="1" si="7"/>
        <v>0</v>
      </c>
      <c r="P170" s="47">
        <f t="shared" ca="1" si="8"/>
        <v>0</v>
      </c>
    </row>
    <row r="171" spans="12:16" s="23" customFormat="1" ht="13.8">
      <c r="L171" s="23">
        <v>168</v>
      </c>
      <c r="M171" s="23">
        <f ca="1"/>
        <v>54724.814698182687</v>
      </c>
      <c r="N171" s="25">
        <f t="shared" si="6"/>
        <v>31343.917000000001</v>
      </c>
      <c r="O171" s="25">
        <f t="shared" ca="1" si="7"/>
        <v>0</v>
      </c>
      <c r="P171" s="47">
        <f t="shared" ca="1" si="8"/>
        <v>0</v>
      </c>
    </row>
    <row r="172" spans="12:16" s="23" customFormat="1" ht="13.8">
      <c r="L172" s="33">
        <v>169</v>
      </c>
      <c r="M172" s="23">
        <f ca="1"/>
        <v>69773.280554251221</v>
      </c>
      <c r="N172" s="25">
        <f t="shared" si="6"/>
        <v>31343.917000000001</v>
      </c>
      <c r="O172" s="25">
        <f t="shared" ca="1" si="7"/>
        <v>0</v>
      </c>
      <c r="P172" s="47">
        <f t="shared" ca="1" si="8"/>
        <v>0</v>
      </c>
    </row>
    <row r="173" spans="12:16" s="23" customFormat="1" ht="13.8">
      <c r="L173" s="23">
        <v>170</v>
      </c>
      <c r="M173" s="23">
        <f ca="1"/>
        <v>73175.58242459521</v>
      </c>
      <c r="N173" s="25">
        <f t="shared" si="6"/>
        <v>31343.917000000001</v>
      </c>
      <c r="O173" s="25">
        <f t="shared" ca="1" si="7"/>
        <v>0</v>
      </c>
      <c r="P173" s="47">
        <f t="shared" ca="1" si="8"/>
        <v>0</v>
      </c>
    </row>
    <row r="174" spans="12:16" s="23" customFormat="1" ht="13.8">
      <c r="L174" s="33">
        <v>171</v>
      </c>
      <c r="M174" s="23">
        <f ca="1"/>
        <v>37354.294026492025</v>
      </c>
      <c r="N174" s="25">
        <f t="shared" si="6"/>
        <v>31343.917000000001</v>
      </c>
      <c r="O174" s="25">
        <f t="shared" ca="1" si="7"/>
        <v>0</v>
      </c>
      <c r="P174" s="47">
        <f t="shared" ca="1" si="8"/>
        <v>0</v>
      </c>
    </row>
    <row r="175" spans="12:16" s="23" customFormat="1" ht="13.8">
      <c r="L175" s="23">
        <v>172</v>
      </c>
      <c r="M175" s="23">
        <f ca="1"/>
        <v>40709.917467767911</v>
      </c>
      <c r="N175" s="25">
        <f t="shared" si="6"/>
        <v>31343.917000000001</v>
      </c>
      <c r="O175" s="25">
        <f t="shared" ca="1" si="7"/>
        <v>0</v>
      </c>
      <c r="P175" s="47">
        <f t="shared" ca="1" si="8"/>
        <v>0</v>
      </c>
    </row>
    <row r="176" spans="12:16" s="23" customFormat="1" ht="13.8">
      <c r="L176" s="33">
        <v>173</v>
      </c>
      <c r="M176" s="23">
        <f ca="1"/>
        <v>34418.300327504221</v>
      </c>
      <c r="N176" s="25">
        <f t="shared" si="6"/>
        <v>31343.917000000001</v>
      </c>
      <c r="O176" s="25">
        <f t="shared" ca="1" si="7"/>
        <v>0</v>
      </c>
      <c r="P176" s="47">
        <f t="shared" ca="1" si="8"/>
        <v>0</v>
      </c>
    </row>
    <row r="177" spans="12:16" s="23" customFormat="1" ht="13.8">
      <c r="L177" s="23">
        <v>174</v>
      </c>
      <c r="M177" s="23">
        <f ca="1"/>
        <v>32854.235698862605</v>
      </c>
      <c r="N177" s="25">
        <f t="shared" si="6"/>
        <v>31343.917000000001</v>
      </c>
      <c r="O177" s="25">
        <f t="shared" ca="1" si="7"/>
        <v>0</v>
      </c>
      <c r="P177" s="47">
        <f t="shared" ca="1" si="8"/>
        <v>0</v>
      </c>
    </row>
    <row r="178" spans="12:16" s="23" customFormat="1" ht="13.8">
      <c r="L178" s="33">
        <v>175</v>
      </c>
      <c r="M178" s="23">
        <f ca="1"/>
        <v>37483.227890280985</v>
      </c>
      <c r="N178" s="25">
        <f t="shared" si="6"/>
        <v>31343.917000000001</v>
      </c>
      <c r="O178" s="25">
        <f t="shared" ca="1" si="7"/>
        <v>0</v>
      </c>
      <c r="P178" s="47">
        <f t="shared" ca="1" si="8"/>
        <v>0</v>
      </c>
    </row>
    <row r="179" spans="12:16" s="23" customFormat="1" ht="13.8">
      <c r="L179" s="23">
        <v>176</v>
      </c>
      <c r="M179" s="23">
        <f ca="1"/>
        <v>26542.005535897588</v>
      </c>
      <c r="N179" s="25">
        <f t="shared" si="6"/>
        <v>31343.917000000001</v>
      </c>
      <c r="O179" s="25">
        <f t="shared" ca="1" si="7"/>
        <v>1</v>
      </c>
      <c r="P179" s="47">
        <f t="shared" ca="1" si="8"/>
        <v>0.15320074590876478</v>
      </c>
    </row>
    <row r="180" spans="12:16" s="23" customFormat="1" ht="13.8">
      <c r="L180" s="33">
        <v>177</v>
      </c>
      <c r="M180" s="23">
        <f ca="1"/>
        <v>51469.029525147103</v>
      </c>
      <c r="N180" s="25">
        <f t="shared" si="6"/>
        <v>31343.917000000001</v>
      </c>
      <c r="O180" s="25">
        <f t="shared" ca="1" si="7"/>
        <v>0</v>
      </c>
      <c r="P180" s="47">
        <f t="shared" ca="1" si="8"/>
        <v>0</v>
      </c>
    </row>
    <row r="181" spans="12:16" s="23" customFormat="1" ht="13.8">
      <c r="L181" s="23">
        <v>178</v>
      </c>
      <c r="M181" s="23">
        <f ca="1"/>
        <v>33219.302007265978</v>
      </c>
      <c r="N181" s="25">
        <f t="shared" si="6"/>
        <v>31343.917000000001</v>
      </c>
      <c r="O181" s="25">
        <f t="shared" ca="1" si="7"/>
        <v>0</v>
      </c>
      <c r="P181" s="47">
        <f t="shared" ca="1" si="8"/>
        <v>0</v>
      </c>
    </row>
    <row r="182" spans="12:16" s="23" customFormat="1" ht="13.8">
      <c r="L182" s="33">
        <v>179</v>
      </c>
      <c r="M182" s="23">
        <f ca="1"/>
        <v>60966.044357954146</v>
      </c>
      <c r="N182" s="25">
        <f t="shared" si="6"/>
        <v>31343.917000000001</v>
      </c>
      <c r="O182" s="25">
        <f t="shared" ca="1" si="7"/>
        <v>0</v>
      </c>
      <c r="P182" s="47">
        <f t="shared" ca="1" si="8"/>
        <v>0</v>
      </c>
    </row>
    <row r="183" spans="12:16" s="23" customFormat="1" ht="13.8">
      <c r="L183" s="23">
        <v>180</v>
      </c>
      <c r="M183" s="23">
        <f ca="1"/>
        <v>67080.308846501444</v>
      </c>
      <c r="N183" s="25">
        <f t="shared" si="6"/>
        <v>31343.917000000001</v>
      </c>
      <c r="O183" s="25">
        <f t="shared" ca="1" si="7"/>
        <v>0</v>
      </c>
      <c r="P183" s="47">
        <f t="shared" ca="1" si="8"/>
        <v>0</v>
      </c>
    </row>
    <row r="184" spans="12:16" s="23" customFormat="1" ht="13.8">
      <c r="L184" s="33">
        <v>181</v>
      </c>
      <c r="M184" s="23">
        <f ca="1"/>
        <v>18768.755867102012</v>
      </c>
      <c r="N184" s="25">
        <f t="shared" si="6"/>
        <v>31343.917000000001</v>
      </c>
      <c r="O184" s="25">
        <f t="shared" ca="1" si="7"/>
        <v>1</v>
      </c>
      <c r="P184" s="47">
        <f t="shared" ca="1" si="8"/>
        <v>0.40119941400106401</v>
      </c>
    </row>
    <row r="185" spans="12:16" s="23" customFormat="1" ht="13.8">
      <c r="L185" s="23">
        <v>182</v>
      </c>
      <c r="M185" s="23">
        <f ca="1"/>
        <v>25141.025580397654</v>
      </c>
      <c r="N185" s="25">
        <f t="shared" si="6"/>
        <v>31343.917000000001</v>
      </c>
      <c r="O185" s="25">
        <f t="shared" ca="1" si="7"/>
        <v>1</v>
      </c>
      <c r="P185" s="47">
        <f t="shared" ca="1" si="8"/>
        <v>0.1978977745379541</v>
      </c>
    </row>
    <row r="186" spans="12:16" s="23" customFormat="1" ht="13.8">
      <c r="L186" s="33">
        <v>183</v>
      </c>
      <c r="M186" s="23">
        <f ca="1"/>
        <v>30721.992446146367</v>
      </c>
      <c r="N186" s="25">
        <f t="shared" si="6"/>
        <v>31343.917000000001</v>
      </c>
      <c r="O186" s="25">
        <f t="shared" ca="1" si="7"/>
        <v>1</v>
      </c>
      <c r="P186" s="47">
        <f t="shared" ca="1" si="8"/>
        <v>1.9841953826435742E-2</v>
      </c>
    </row>
    <row r="187" spans="12:16" s="23" customFormat="1" ht="13.8">
      <c r="L187" s="23">
        <v>184</v>
      </c>
      <c r="M187" s="23">
        <f ca="1"/>
        <v>34455.710820733482</v>
      </c>
      <c r="N187" s="25">
        <f t="shared" si="6"/>
        <v>31343.917000000001</v>
      </c>
      <c r="O187" s="25">
        <f t="shared" ca="1" si="7"/>
        <v>0</v>
      </c>
      <c r="P187" s="47">
        <f t="shared" ca="1" si="8"/>
        <v>0</v>
      </c>
    </row>
    <row r="188" spans="12:16" s="23" customFormat="1" ht="13.8">
      <c r="L188" s="33">
        <v>185</v>
      </c>
      <c r="M188" s="23">
        <f ca="1"/>
        <v>59181.771757482624</v>
      </c>
      <c r="N188" s="25">
        <f t="shared" si="6"/>
        <v>31343.917000000001</v>
      </c>
      <c r="O188" s="25">
        <f t="shared" ca="1" si="7"/>
        <v>0</v>
      </c>
      <c r="P188" s="47">
        <f t="shared" ca="1" si="8"/>
        <v>0</v>
      </c>
    </row>
    <row r="189" spans="12:16" s="23" customFormat="1" ht="13.8">
      <c r="L189" s="23">
        <v>186</v>
      </c>
      <c r="M189" s="23">
        <f ca="1"/>
        <v>43782.771237121073</v>
      </c>
      <c r="N189" s="25">
        <f t="shared" si="6"/>
        <v>31343.917000000001</v>
      </c>
      <c r="O189" s="25">
        <f t="shared" ca="1" si="7"/>
        <v>0</v>
      </c>
      <c r="P189" s="47">
        <f t="shared" ca="1" si="8"/>
        <v>0</v>
      </c>
    </row>
    <row r="190" spans="12:16" s="23" customFormat="1" ht="13.8">
      <c r="L190" s="33">
        <v>187</v>
      </c>
      <c r="M190" s="23">
        <f ca="1"/>
        <v>62657.633157967706</v>
      </c>
      <c r="N190" s="25">
        <f t="shared" si="6"/>
        <v>31343.917000000001</v>
      </c>
      <c r="O190" s="25">
        <f t="shared" ca="1" si="7"/>
        <v>0</v>
      </c>
      <c r="P190" s="47">
        <f t="shared" ca="1" si="8"/>
        <v>0</v>
      </c>
    </row>
    <row r="191" spans="12:16" s="23" customFormat="1" ht="13.8">
      <c r="L191" s="23">
        <v>188</v>
      </c>
      <c r="M191" s="23">
        <f ca="1"/>
        <v>22203.529161195951</v>
      </c>
      <c r="N191" s="25">
        <f t="shared" si="6"/>
        <v>31343.917000000001</v>
      </c>
      <c r="O191" s="25">
        <f t="shared" ca="1" si="7"/>
        <v>1</v>
      </c>
      <c r="P191" s="47">
        <f t="shared" ca="1" si="8"/>
        <v>0.29161600443250441</v>
      </c>
    </row>
    <row r="192" spans="12:16" s="23" customFormat="1" ht="13.8">
      <c r="L192" s="33">
        <v>189</v>
      </c>
      <c r="M192" s="23">
        <f ca="1"/>
        <v>51949.663848240605</v>
      </c>
      <c r="N192" s="25">
        <f t="shared" si="6"/>
        <v>31343.917000000001</v>
      </c>
      <c r="O192" s="25">
        <f t="shared" ca="1" si="7"/>
        <v>0</v>
      </c>
      <c r="P192" s="47">
        <f t="shared" ca="1" si="8"/>
        <v>0</v>
      </c>
    </row>
    <row r="193" spans="12:16" s="23" customFormat="1" ht="13.8">
      <c r="L193" s="23">
        <v>190</v>
      </c>
      <c r="M193" s="23">
        <f ca="1"/>
        <v>43271.191494086605</v>
      </c>
      <c r="N193" s="25">
        <f t="shared" si="6"/>
        <v>31343.917000000001</v>
      </c>
      <c r="O193" s="25">
        <f t="shared" ca="1" si="7"/>
        <v>0</v>
      </c>
      <c r="P193" s="47">
        <f t="shared" ca="1" si="8"/>
        <v>0</v>
      </c>
    </row>
    <row r="194" spans="12:16" s="23" customFormat="1" ht="13.8">
      <c r="L194" s="33">
        <v>191</v>
      </c>
      <c r="M194" s="23">
        <f ca="1"/>
        <v>38688.786777494461</v>
      </c>
      <c r="N194" s="25">
        <f t="shared" si="6"/>
        <v>31343.917000000001</v>
      </c>
      <c r="O194" s="25">
        <f t="shared" ca="1" si="7"/>
        <v>0</v>
      </c>
      <c r="P194" s="47">
        <f t="shared" ca="1" si="8"/>
        <v>0</v>
      </c>
    </row>
    <row r="195" spans="12:16" s="23" customFormat="1" ht="13.8">
      <c r="L195" s="23">
        <v>192</v>
      </c>
      <c r="M195" s="23">
        <f ca="1"/>
        <v>23195.708856265261</v>
      </c>
      <c r="N195" s="25">
        <f t="shared" si="6"/>
        <v>31343.917000000001</v>
      </c>
      <c r="O195" s="25">
        <f t="shared" ca="1" si="7"/>
        <v>1</v>
      </c>
      <c r="P195" s="47">
        <f t="shared" ca="1" si="8"/>
        <v>0.25996138720424572</v>
      </c>
    </row>
    <row r="196" spans="12:16" s="23" customFormat="1" ht="13.8">
      <c r="L196" s="33">
        <v>193</v>
      </c>
      <c r="M196" s="23">
        <f ca="1"/>
        <v>54021.097200303971</v>
      </c>
      <c r="N196" s="25">
        <f t="shared" ref="N196:N259" si="9">($C$23+$E$23)*1.1</f>
        <v>31343.917000000001</v>
      </c>
      <c r="O196" s="25">
        <f t="shared" ref="O196:O259" ca="1" si="10">IF(M196&lt;N196,1,0)</f>
        <v>0</v>
      </c>
      <c r="P196" s="47">
        <f t="shared" ca="1" si="8"/>
        <v>0</v>
      </c>
    </row>
    <row r="197" spans="12:16" s="23" customFormat="1" ht="13.8">
      <c r="L197" s="23">
        <v>194</v>
      </c>
      <c r="M197" s="23">
        <f ca="1"/>
        <v>21872.733257473832</v>
      </c>
      <c r="N197" s="25">
        <f t="shared" si="9"/>
        <v>31343.917000000001</v>
      </c>
      <c r="O197" s="25">
        <f t="shared" ca="1" si="10"/>
        <v>1</v>
      </c>
      <c r="P197" s="47">
        <f t="shared" ref="P197:P260" ca="1" si="11">MAX((N197-M197)/N197,0)</f>
        <v>0.30216975569856724</v>
      </c>
    </row>
    <row r="198" spans="12:16" s="23" customFormat="1" ht="13.8">
      <c r="L198" s="33">
        <v>195</v>
      </c>
      <c r="M198" s="23">
        <f ca="1"/>
        <v>53420.505433047445</v>
      </c>
      <c r="N198" s="25">
        <f t="shared" si="9"/>
        <v>31343.917000000001</v>
      </c>
      <c r="O198" s="25">
        <f t="shared" ca="1" si="10"/>
        <v>0</v>
      </c>
      <c r="P198" s="47">
        <f t="shared" ca="1" si="11"/>
        <v>0</v>
      </c>
    </row>
    <row r="199" spans="12:16" s="23" customFormat="1" ht="13.8">
      <c r="L199" s="23">
        <v>196</v>
      </c>
      <c r="M199" s="23">
        <f ca="1"/>
        <v>50708.435232104057</v>
      </c>
      <c r="N199" s="25">
        <f t="shared" si="9"/>
        <v>31343.917000000001</v>
      </c>
      <c r="O199" s="25">
        <f t="shared" ca="1" si="10"/>
        <v>0</v>
      </c>
      <c r="P199" s="47">
        <f t="shared" ca="1" si="11"/>
        <v>0</v>
      </c>
    </row>
    <row r="200" spans="12:16" s="23" customFormat="1" ht="13.8">
      <c r="L200" s="33">
        <v>197</v>
      </c>
      <c r="M200" s="23">
        <f ca="1"/>
        <v>44502.284171636849</v>
      </c>
      <c r="N200" s="25">
        <f t="shared" si="9"/>
        <v>31343.917000000001</v>
      </c>
      <c r="O200" s="25">
        <f t="shared" ca="1" si="10"/>
        <v>0</v>
      </c>
      <c r="P200" s="47">
        <f t="shared" ca="1" si="11"/>
        <v>0</v>
      </c>
    </row>
    <row r="201" spans="12:16" s="23" customFormat="1" ht="13.8">
      <c r="L201" s="23">
        <v>198</v>
      </c>
      <c r="M201" s="23">
        <f ca="1"/>
        <v>63187.350151159284</v>
      </c>
      <c r="N201" s="25">
        <f t="shared" si="9"/>
        <v>31343.917000000001</v>
      </c>
      <c r="O201" s="25">
        <f t="shared" ca="1" si="10"/>
        <v>0</v>
      </c>
      <c r="P201" s="47">
        <f t="shared" ca="1" si="11"/>
        <v>0</v>
      </c>
    </row>
    <row r="202" spans="12:16" s="23" customFormat="1" ht="13.8">
      <c r="L202" s="33">
        <v>199</v>
      </c>
      <c r="M202" s="23">
        <f ca="1"/>
        <v>11889.753474231808</v>
      </c>
      <c r="N202" s="25">
        <f t="shared" si="9"/>
        <v>31343.917000000001</v>
      </c>
      <c r="O202" s="25">
        <f t="shared" ca="1" si="10"/>
        <v>1</v>
      </c>
      <c r="P202" s="47">
        <f t="shared" ca="1" si="11"/>
        <v>0.62066791223854345</v>
      </c>
    </row>
    <row r="203" spans="12:16" s="23" customFormat="1" ht="13.8">
      <c r="L203" s="23">
        <v>200</v>
      </c>
      <c r="M203" s="23">
        <f ca="1"/>
        <v>59822.664923888609</v>
      </c>
      <c r="N203" s="25">
        <f t="shared" si="9"/>
        <v>31343.917000000001</v>
      </c>
      <c r="O203" s="25">
        <f t="shared" ca="1" si="10"/>
        <v>0</v>
      </c>
      <c r="P203" s="47">
        <f t="shared" ca="1" si="11"/>
        <v>0</v>
      </c>
    </row>
    <row r="204" spans="12:16" s="23" customFormat="1" ht="13.8">
      <c r="L204" s="33">
        <v>201</v>
      </c>
      <c r="M204" s="23">
        <f ca="1"/>
        <v>56042.286426962062</v>
      </c>
      <c r="N204" s="25">
        <f t="shared" si="9"/>
        <v>31343.917000000001</v>
      </c>
      <c r="O204" s="25">
        <f t="shared" ca="1" si="10"/>
        <v>0</v>
      </c>
      <c r="P204" s="47">
        <f t="shared" ca="1" si="11"/>
        <v>0</v>
      </c>
    </row>
    <row r="205" spans="12:16" s="23" customFormat="1" ht="13.8">
      <c r="L205" s="23">
        <v>202</v>
      </c>
      <c r="M205" s="23">
        <f ca="1"/>
        <v>42255.927605255667</v>
      </c>
      <c r="N205" s="25">
        <f t="shared" si="9"/>
        <v>31343.917000000001</v>
      </c>
      <c r="O205" s="25">
        <f t="shared" ca="1" si="10"/>
        <v>0</v>
      </c>
      <c r="P205" s="47">
        <f t="shared" ca="1" si="11"/>
        <v>0</v>
      </c>
    </row>
    <row r="206" spans="12:16" s="23" customFormat="1" ht="13.8">
      <c r="L206" s="33">
        <v>203</v>
      </c>
      <c r="M206" s="23">
        <f ca="1"/>
        <v>36967.515456425448</v>
      </c>
      <c r="N206" s="25">
        <f t="shared" si="9"/>
        <v>31343.917000000001</v>
      </c>
      <c r="O206" s="25">
        <f t="shared" ca="1" si="10"/>
        <v>0</v>
      </c>
      <c r="P206" s="47">
        <f t="shared" ca="1" si="11"/>
        <v>0</v>
      </c>
    </row>
    <row r="207" spans="12:16" s="23" customFormat="1" ht="13.8">
      <c r="L207" s="23">
        <v>204</v>
      </c>
      <c r="M207" s="23">
        <f ca="1"/>
        <v>50702.630519947379</v>
      </c>
      <c r="N207" s="25">
        <f t="shared" si="9"/>
        <v>31343.917000000001</v>
      </c>
      <c r="O207" s="25">
        <f t="shared" ca="1" si="10"/>
        <v>0</v>
      </c>
      <c r="P207" s="47">
        <f t="shared" ca="1" si="11"/>
        <v>0</v>
      </c>
    </row>
    <row r="208" spans="12:16" s="23" customFormat="1" ht="13.8">
      <c r="L208" s="33">
        <v>205</v>
      </c>
      <c r="M208" s="23">
        <f ca="1"/>
        <v>26573.49440884218</v>
      </c>
      <c r="N208" s="25">
        <f t="shared" si="9"/>
        <v>31343.917000000001</v>
      </c>
      <c r="O208" s="25">
        <f t="shared" ca="1" si="10"/>
        <v>1</v>
      </c>
      <c r="P208" s="47">
        <f t="shared" ca="1" si="11"/>
        <v>0.15219612121732651</v>
      </c>
    </row>
    <row r="209" spans="12:16" s="23" customFormat="1" ht="13.8">
      <c r="L209" s="23">
        <v>206</v>
      </c>
      <c r="M209" s="23">
        <f ca="1"/>
        <v>75652.828610809214</v>
      </c>
      <c r="N209" s="25">
        <f t="shared" si="9"/>
        <v>31343.917000000001</v>
      </c>
      <c r="O209" s="25">
        <f t="shared" ca="1" si="10"/>
        <v>0</v>
      </c>
      <c r="P209" s="47">
        <f t="shared" ca="1" si="11"/>
        <v>0</v>
      </c>
    </row>
    <row r="210" spans="12:16" s="23" customFormat="1" ht="13.8">
      <c r="L210" s="33">
        <v>207</v>
      </c>
      <c r="M210" s="23">
        <f ca="1"/>
        <v>44474.725540286148</v>
      </c>
      <c r="N210" s="25">
        <f t="shared" si="9"/>
        <v>31343.917000000001</v>
      </c>
      <c r="O210" s="25">
        <f t="shared" ca="1" si="10"/>
        <v>0</v>
      </c>
      <c r="P210" s="47">
        <f t="shared" ca="1" si="11"/>
        <v>0</v>
      </c>
    </row>
    <row r="211" spans="12:16" s="23" customFormat="1" ht="13.8">
      <c r="L211" s="23">
        <v>208</v>
      </c>
      <c r="M211" s="23">
        <f ca="1"/>
        <v>39361.899604782317</v>
      </c>
      <c r="N211" s="25">
        <f t="shared" si="9"/>
        <v>31343.917000000001</v>
      </c>
      <c r="O211" s="25">
        <f t="shared" ca="1" si="10"/>
        <v>0</v>
      </c>
      <c r="P211" s="47">
        <f t="shared" ca="1" si="11"/>
        <v>0</v>
      </c>
    </row>
    <row r="212" spans="12:16" s="23" customFormat="1" ht="13.8">
      <c r="L212" s="33">
        <v>209</v>
      </c>
      <c r="M212" s="23">
        <f ca="1"/>
        <v>69764.539527209025</v>
      </c>
      <c r="N212" s="25">
        <f t="shared" si="9"/>
        <v>31343.917000000001</v>
      </c>
      <c r="O212" s="25">
        <f t="shared" ca="1" si="10"/>
        <v>0</v>
      </c>
      <c r="P212" s="47">
        <f t="shared" ca="1" si="11"/>
        <v>0</v>
      </c>
    </row>
    <row r="213" spans="12:16" s="23" customFormat="1" ht="13.8">
      <c r="L213" s="23">
        <v>210</v>
      </c>
      <c r="M213" s="23">
        <f ca="1"/>
        <v>45539.647401327646</v>
      </c>
      <c r="N213" s="25">
        <f t="shared" si="9"/>
        <v>31343.917000000001</v>
      </c>
      <c r="O213" s="25">
        <f t="shared" ca="1" si="10"/>
        <v>0</v>
      </c>
      <c r="P213" s="47">
        <f t="shared" ca="1" si="11"/>
        <v>0</v>
      </c>
    </row>
    <row r="214" spans="12:16" s="23" customFormat="1" ht="13.8">
      <c r="L214" s="33">
        <v>211</v>
      </c>
      <c r="M214" s="23">
        <f ca="1"/>
        <v>37016.803891616168</v>
      </c>
      <c r="N214" s="25">
        <f t="shared" si="9"/>
        <v>31343.917000000001</v>
      </c>
      <c r="O214" s="25">
        <f t="shared" ca="1" si="10"/>
        <v>0</v>
      </c>
      <c r="P214" s="47">
        <f t="shared" ca="1" si="11"/>
        <v>0</v>
      </c>
    </row>
    <row r="215" spans="12:16" s="23" customFormat="1" ht="13.8">
      <c r="L215" s="23">
        <v>212</v>
      </c>
      <c r="M215" s="23">
        <f ca="1"/>
        <v>30704.168515792669</v>
      </c>
      <c r="N215" s="25">
        <f t="shared" si="9"/>
        <v>31343.917000000001</v>
      </c>
      <c r="O215" s="25">
        <f t="shared" ca="1" si="10"/>
        <v>1</v>
      </c>
      <c r="P215" s="47">
        <f t="shared" ca="1" si="11"/>
        <v>2.0410610588565935E-2</v>
      </c>
    </row>
    <row r="216" spans="12:16" s="23" customFormat="1" ht="13.8">
      <c r="L216" s="33">
        <v>213</v>
      </c>
      <c r="M216" s="23">
        <f ca="1"/>
        <v>44948.155311284376</v>
      </c>
      <c r="N216" s="25">
        <f t="shared" si="9"/>
        <v>31343.917000000001</v>
      </c>
      <c r="O216" s="25">
        <f t="shared" ca="1" si="10"/>
        <v>0</v>
      </c>
      <c r="P216" s="47">
        <f t="shared" ca="1" si="11"/>
        <v>0</v>
      </c>
    </row>
    <row r="217" spans="12:16" s="23" customFormat="1" ht="13.8">
      <c r="L217" s="23">
        <v>214</v>
      </c>
      <c r="M217" s="23">
        <f ca="1"/>
        <v>68939.631210697466</v>
      </c>
      <c r="N217" s="25">
        <f t="shared" si="9"/>
        <v>31343.917000000001</v>
      </c>
      <c r="O217" s="25">
        <f t="shared" ca="1" si="10"/>
        <v>0</v>
      </c>
      <c r="P217" s="47">
        <f t="shared" ca="1" si="11"/>
        <v>0</v>
      </c>
    </row>
    <row r="218" spans="12:16" s="23" customFormat="1" ht="13.8">
      <c r="L218" s="33">
        <v>215</v>
      </c>
      <c r="M218" s="23">
        <f ca="1"/>
        <v>27637.439960433414</v>
      </c>
      <c r="N218" s="25">
        <f t="shared" si="9"/>
        <v>31343.917000000001</v>
      </c>
      <c r="O218" s="25">
        <f t="shared" ca="1" si="10"/>
        <v>1</v>
      </c>
      <c r="P218" s="47">
        <f t="shared" ca="1" si="11"/>
        <v>0.11825187769501136</v>
      </c>
    </row>
    <row r="219" spans="12:16" s="23" customFormat="1" ht="13.8">
      <c r="L219" s="23">
        <v>216</v>
      </c>
      <c r="M219" s="23">
        <f ca="1"/>
        <v>53401.541440450739</v>
      </c>
      <c r="N219" s="25">
        <f t="shared" si="9"/>
        <v>31343.917000000001</v>
      </c>
      <c r="O219" s="25">
        <f t="shared" ca="1" si="10"/>
        <v>0</v>
      </c>
      <c r="P219" s="47">
        <f t="shared" ca="1" si="11"/>
        <v>0</v>
      </c>
    </row>
    <row r="220" spans="12:16" s="23" customFormat="1" ht="13.8">
      <c r="L220" s="33">
        <v>217</v>
      </c>
      <c r="M220" s="23">
        <f ca="1"/>
        <v>39781.304900996009</v>
      </c>
      <c r="N220" s="25">
        <f t="shared" si="9"/>
        <v>31343.917000000001</v>
      </c>
      <c r="O220" s="25">
        <f t="shared" ca="1" si="10"/>
        <v>0</v>
      </c>
      <c r="P220" s="47">
        <f t="shared" ca="1" si="11"/>
        <v>0</v>
      </c>
    </row>
    <row r="221" spans="12:16" s="23" customFormat="1" ht="13.8">
      <c r="L221" s="23">
        <v>218</v>
      </c>
      <c r="M221" s="23">
        <f ca="1"/>
        <v>52291.009365816324</v>
      </c>
      <c r="N221" s="25">
        <f t="shared" si="9"/>
        <v>31343.917000000001</v>
      </c>
      <c r="O221" s="25">
        <f t="shared" ca="1" si="10"/>
        <v>0</v>
      </c>
      <c r="P221" s="47">
        <f t="shared" ca="1" si="11"/>
        <v>0</v>
      </c>
    </row>
    <row r="222" spans="12:16" s="23" customFormat="1" ht="13.8">
      <c r="L222" s="33">
        <v>219</v>
      </c>
      <c r="M222" s="23">
        <f ca="1"/>
        <v>14914.060932982762</v>
      </c>
      <c r="N222" s="25">
        <f t="shared" si="9"/>
        <v>31343.917000000001</v>
      </c>
      <c r="O222" s="25">
        <f t="shared" ca="1" si="10"/>
        <v>1</v>
      </c>
      <c r="P222" s="47">
        <f t="shared" ca="1" si="11"/>
        <v>0.52418005276804547</v>
      </c>
    </row>
    <row r="223" spans="12:16" s="23" customFormat="1" ht="13.8">
      <c r="L223" s="23">
        <v>220</v>
      </c>
      <c r="M223" s="23">
        <f ca="1"/>
        <v>52387.133102395339</v>
      </c>
      <c r="N223" s="25">
        <f t="shared" si="9"/>
        <v>31343.917000000001</v>
      </c>
      <c r="O223" s="25">
        <f t="shared" ca="1" si="10"/>
        <v>0</v>
      </c>
      <c r="P223" s="47">
        <f t="shared" ca="1" si="11"/>
        <v>0</v>
      </c>
    </row>
    <row r="224" spans="12:16" s="23" customFormat="1" ht="13.8">
      <c r="L224" s="33">
        <v>221</v>
      </c>
      <c r="M224" s="23">
        <f ca="1"/>
        <v>33611.495173410774</v>
      </c>
      <c r="N224" s="25">
        <f t="shared" si="9"/>
        <v>31343.917000000001</v>
      </c>
      <c r="O224" s="25">
        <f t="shared" ca="1" si="10"/>
        <v>0</v>
      </c>
      <c r="P224" s="47">
        <f t="shared" ca="1" si="11"/>
        <v>0</v>
      </c>
    </row>
    <row r="225" spans="12:16" s="23" customFormat="1" ht="13.8">
      <c r="L225" s="23">
        <v>222</v>
      </c>
      <c r="M225" s="23">
        <f ca="1"/>
        <v>65292.157355426156</v>
      </c>
      <c r="N225" s="25">
        <f t="shared" si="9"/>
        <v>31343.917000000001</v>
      </c>
      <c r="O225" s="25">
        <f t="shared" ca="1" si="10"/>
        <v>0</v>
      </c>
      <c r="P225" s="47">
        <f t="shared" ca="1" si="11"/>
        <v>0</v>
      </c>
    </row>
    <row r="226" spans="12:16" s="23" customFormat="1" ht="13.8">
      <c r="L226" s="33">
        <v>223</v>
      </c>
      <c r="M226" s="23">
        <f ca="1"/>
        <v>23817.911565756036</v>
      </c>
      <c r="N226" s="25">
        <f t="shared" si="9"/>
        <v>31343.917000000001</v>
      </c>
      <c r="O226" s="25">
        <f t="shared" ca="1" si="10"/>
        <v>1</v>
      </c>
      <c r="P226" s="47">
        <f t="shared" ca="1" si="11"/>
        <v>0.2401105590677759</v>
      </c>
    </row>
    <row r="227" spans="12:16" s="23" customFormat="1" ht="13.8">
      <c r="L227" s="23">
        <v>224</v>
      </c>
      <c r="M227" s="23">
        <f ca="1"/>
        <v>37969.688959440493</v>
      </c>
      <c r="N227" s="25">
        <f t="shared" si="9"/>
        <v>31343.917000000001</v>
      </c>
      <c r="O227" s="25">
        <f t="shared" ca="1" si="10"/>
        <v>0</v>
      </c>
      <c r="P227" s="47">
        <f t="shared" ca="1" si="11"/>
        <v>0</v>
      </c>
    </row>
    <row r="228" spans="12:16" s="23" customFormat="1" ht="13.8">
      <c r="L228" s="33">
        <v>225</v>
      </c>
      <c r="M228" s="23">
        <f ca="1"/>
        <v>49354.376462875429</v>
      </c>
      <c r="N228" s="25">
        <f t="shared" si="9"/>
        <v>31343.917000000001</v>
      </c>
      <c r="O228" s="25">
        <f t="shared" ca="1" si="10"/>
        <v>0</v>
      </c>
      <c r="P228" s="47">
        <f t="shared" ca="1" si="11"/>
        <v>0</v>
      </c>
    </row>
    <row r="229" spans="12:16" s="23" customFormat="1" ht="13.8">
      <c r="L229" s="23">
        <v>226</v>
      </c>
      <c r="M229" s="23">
        <f ca="1"/>
        <v>42337.506035790182</v>
      </c>
      <c r="N229" s="25">
        <f t="shared" si="9"/>
        <v>31343.917000000001</v>
      </c>
      <c r="O229" s="25">
        <f t="shared" ca="1" si="10"/>
        <v>0</v>
      </c>
      <c r="P229" s="47">
        <f t="shared" ca="1" si="11"/>
        <v>0</v>
      </c>
    </row>
    <row r="230" spans="12:16" s="23" customFormat="1" ht="13.8">
      <c r="L230" s="33">
        <v>227</v>
      </c>
      <c r="M230" s="23">
        <f ca="1"/>
        <v>44877.914239013247</v>
      </c>
      <c r="N230" s="25">
        <f t="shared" si="9"/>
        <v>31343.917000000001</v>
      </c>
      <c r="O230" s="25">
        <f t="shared" ca="1" si="10"/>
        <v>0</v>
      </c>
      <c r="P230" s="47">
        <f t="shared" ca="1" si="11"/>
        <v>0</v>
      </c>
    </row>
    <row r="231" spans="12:16" s="23" customFormat="1" ht="13.8">
      <c r="L231" s="23">
        <v>228</v>
      </c>
      <c r="M231" s="23">
        <f ca="1"/>
        <v>37465.046577717971</v>
      </c>
      <c r="N231" s="25">
        <f t="shared" si="9"/>
        <v>31343.917000000001</v>
      </c>
      <c r="O231" s="25">
        <f t="shared" ca="1" si="10"/>
        <v>0</v>
      </c>
      <c r="P231" s="47">
        <f t="shared" ca="1" si="11"/>
        <v>0</v>
      </c>
    </row>
    <row r="232" spans="12:16" s="23" customFormat="1" ht="13.8">
      <c r="L232" s="33">
        <v>229</v>
      </c>
      <c r="M232" s="23">
        <f ca="1"/>
        <v>95772.077588751112</v>
      </c>
      <c r="N232" s="25">
        <f t="shared" si="9"/>
        <v>31343.917000000001</v>
      </c>
      <c r="O232" s="25">
        <f t="shared" ca="1" si="10"/>
        <v>0</v>
      </c>
      <c r="P232" s="47">
        <f t="shared" ca="1" si="11"/>
        <v>0</v>
      </c>
    </row>
    <row r="233" spans="12:16" s="23" customFormat="1" ht="13.8">
      <c r="L233" s="23">
        <v>230</v>
      </c>
      <c r="M233" s="23">
        <f ca="1"/>
        <v>64540.675114496902</v>
      </c>
      <c r="N233" s="25">
        <f t="shared" si="9"/>
        <v>31343.917000000001</v>
      </c>
      <c r="O233" s="25">
        <f t="shared" ca="1" si="10"/>
        <v>0</v>
      </c>
      <c r="P233" s="47">
        <f t="shared" ca="1" si="11"/>
        <v>0</v>
      </c>
    </row>
    <row r="234" spans="12:16" s="23" customFormat="1" ht="13.8">
      <c r="L234" s="33">
        <v>231</v>
      </c>
      <c r="M234" s="23">
        <f ca="1"/>
        <v>68863.058346568403</v>
      </c>
      <c r="N234" s="25">
        <f t="shared" si="9"/>
        <v>31343.917000000001</v>
      </c>
      <c r="O234" s="25">
        <f t="shared" ca="1" si="10"/>
        <v>0</v>
      </c>
      <c r="P234" s="47">
        <f t="shared" ca="1" si="11"/>
        <v>0</v>
      </c>
    </row>
    <row r="235" spans="12:16" s="23" customFormat="1" ht="13.8">
      <c r="L235" s="23">
        <v>232</v>
      </c>
      <c r="M235" s="23">
        <f ca="1"/>
        <v>59526.312288396184</v>
      </c>
      <c r="N235" s="25">
        <f t="shared" si="9"/>
        <v>31343.917000000001</v>
      </c>
      <c r="O235" s="25">
        <f t="shared" ca="1" si="10"/>
        <v>0</v>
      </c>
      <c r="P235" s="47">
        <f t="shared" ca="1" si="11"/>
        <v>0</v>
      </c>
    </row>
    <row r="236" spans="12:16" s="23" customFormat="1" ht="13.8">
      <c r="L236" s="33">
        <v>233</v>
      </c>
      <c r="M236" s="23">
        <f ca="1"/>
        <v>65861.011295350487</v>
      </c>
      <c r="N236" s="25">
        <f t="shared" si="9"/>
        <v>31343.917000000001</v>
      </c>
      <c r="O236" s="25">
        <f t="shared" ca="1" si="10"/>
        <v>0</v>
      </c>
      <c r="P236" s="47">
        <f t="shared" ca="1" si="11"/>
        <v>0</v>
      </c>
    </row>
    <row r="237" spans="12:16" s="23" customFormat="1" ht="13.8">
      <c r="L237" s="23">
        <v>234</v>
      </c>
      <c r="M237" s="23">
        <f ca="1"/>
        <v>58813.45689140835</v>
      </c>
      <c r="N237" s="25">
        <f t="shared" si="9"/>
        <v>31343.917000000001</v>
      </c>
      <c r="O237" s="25">
        <f t="shared" ca="1" si="10"/>
        <v>0</v>
      </c>
      <c r="P237" s="47">
        <f t="shared" ca="1" si="11"/>
        <v>0</v>
      </c>
    </row>
    <row r="238" spans="12:16" s="23" customFormat="1" ht="13.8">
      <c r="L238" s="33">
        <v>235</v>
      </c>
      <c r="M238" s="23">
        <f ca="1"/>
        <v>60534.931231746566</v>
      </c>
      <c r="N238" s="25">
        <f t="shared" si="9"/>
        <v>31343.917000000001</v>
      </c>
      <c r="O238" s="25">
        <f t="shared" ca="1" si="10"/>
        <v>0</v>
      </c>
      <c r="P238" s="47">
        <f t="shared" ca="1" si="11"/>
        <v>0</v>
      </c>
    </row>
    <row r="239" spans="12:16" s="23" customFormat="1" ht="13.8">
      <c r="L239" s="23">
        <v>236</v>
      </c>
      <c r="M239" s="23">
        <f ca="1"/>
        <v>53603.038349296832</v>
      </c>
      <c r="N239" s="25">
        <f t="shared" si="9"/>
        <v>31343.917000000001</v>
      </c>
      <c r="O239" s="25">
        <f t="shared" ca="1" si="10"/>
        <v>0</v>
      </c>
      <c r="P239" s="47">
        <f t="shared" ca="1" si="11"/>
        <v>0</v>
      </c>
    </row>
    <row r="240" spans="12:16" s="23" customFormat="1" ht="13.8">
      <c r="L240" s="33">
        <v>237</v>
      </c>
      <c r="M240" s="23">
        <f ca="1"/>
        <v>70965.900986933368</v>
      </c>
      <c r="N240" s="25">
        <f t="shared" si="9"/>
        <v>31343.917000000001</v>
      </c>
      <c r="O240" s="25">
        <f t="shared" ca="1" si="10"/>
        <v>0</v>
      </c>
      <c r="P240" s="47">
        <f t="shared" ca="1" si="11"/>
        <v>0</v>
      </c>
    </row>
    <row r="241" spans="12:16" s="23" customFormat="1" ht="13.8">
      <c r="L241" s="23">
        <v>238</v>
      </c>
      <c r="M241" s="23">
        <f ca="1"/>
        <v>47325.073778934668</v>
      </c>
      <c r="N241" s="25">
        <f t="shared" si="9"/>
        <v>31343.917000000001</v>
      </c>
      <c r="O241" s="25">
        <f t="shared" ca="1" si="10"/>
        <v>0</v>
      </c>
      <c r="P241" s="47">
        <f t="shared" ca="1" si="11"/>
        <v>0</v>
      </c>
    </row>
    <row r="242" spans="12:16" s="23" customFormat="1" ht="13.8">
      <c r="L242" s="33">
        <v>239</v>
      </c>
      <c r="M242" s="23">
        <f ca="1"/>
        <v>83412.783729080096</v>
      </c>
      <c r="N242" s="25">
        <f t="shared" si="9"/>
        <v>31343.917000000001</v>
      </c>
      <c r="O242" s="25">
        <f t="shared" ca="1" si="10"/>
        <v>0</v>
      </c>
      <c r="P242" s="47">
        <f t="shared" ca="1" si="11"/>
        <v>0</v>
      </c>
    </row>
    <row r="243" spans="12:16" s="23" customFormat="1" ht="13.8">
      <c r="L243" s="23">
        <v>240</v>
      </c>
      <c r="M243" s="23">
        <f ca="1"/>
        <v>28320.134985317607</v>
      </c>
      <c r="N243" s="25">
        <f t="shared" si="9"/>
        <v>31343.917000000001</v>
      </c>
      <c r="O243" s="25">
        <f t="shared" ca="1" si="10"/>
        <v>1</v>
      </c>
      <c r="P243" s="47">
        <f t="shared" ca="1" si="11"/>
        <v>9.6471095641377375E-2</v>
      </c>
    </row>
    <row r="244" spans="12:16" s="23" customFormat="1" ht="13.8">
      <c r="L244" s="33">
        <v>241</v>
      </c>
      <c r="M244" s="23">
        <f ca="1"/>
        <v>41293.307896286089</v>
      </c>
      <c r="N244" s="25">
        <f t="shared" si="9"/>
        <v>31343.917000000001</v>
      </c>
      <c r="O244" s="25">
        <f t="shared" ca="1" si="10"/>
        <v>0</v>
      </c>
      <c r="P244" s="47">
        <f t="shared" ca="1" si="11"/>
        <v>0</v>
      </c>
    </row>
    <row r="245" spans="12:16" s="23" customFormat="1" ht="13.8">
      <c r="L245" s="23">
        <v>242</v>
      </c>
      <c r="M245" s="23">
        <f ca="1"/>
        <v>44033.460080627927</v>
      </c>
      <c r="N245" s="25">
        <f t="shared" si="9"/>
        <v>31343.917000000001</v>
      </c>
      <c r="O245" s="25">
        <f t="shared" ca="1" si="10"/>
        <v>0</v>
      </c>
      <c r="P245" s="47">
        <f t="shared" ca="1" si="11"/>
        <v>0</v>
      </c>
    </row>
    <row r="246" spans="12:16" s="23" customFormat="1" ht="13.8">
      <c r="L246" s="33">
        <v>243</v>
      </c>
      <c r="M246" s="23">
        <f ca="1"/>
        <v>38348.714189186976</v>
      </c>
      <c r="N246" s="25">
        <f t="shared" si="9"/>
        <v>31343.917000000001</v>
      </c>
      <c r="O246" s="25">
        <f t="shared" ca="1" si="10"/>
        <v>0</v>
      </c>
      <c r="P246" s="47">
        <f t="shared" ca="1" si="11"/>
        <v>0</v>
      </c>
    </row>
    <row r="247" spans="12:16" s="23" customFormat="1" ht="13.8">
      <c r="L247" s="23">
        <v>244</v>
      </c>
      <c r="M247" s="23">
        <f ca="1"/>
        <v>23186.770399433448</v>
      </c>
      <c r="N247" s="25">
        <f t="shared" si="9"/>
        <v>31343.917000000001</v>
      </c>
      <c r="O247" s="25">
        <f t="shared" ca="1" si="10"/>
        <v>1</v>
      </c>
      <c r="P247" s="47">
        <f t="shared" ca="1" si="11"/>
        <v>0.26024656077817437</v>
      </c>
    </row>
    <row r="248" spans="12:16" s="23" customFormat="1" ht="13.8">
      <c r="L248" s="33">
        <v>245</v>
      </c>
      <c r="M248" s="23">
        <f ca="1"/>
        <v>41012.953406830646</v>
      </c>
      <c r="N248" s="25">
        <f t="shared" si="9"/>
        <v>31343.917000000001</v>
      </c>
      <c r="O248" s="25">
        <f t="shared" ca="1" si="10"/>
        <v>0</v>
      </c>
      <c r="P248" s="47">
        <f t="shared" ca="1" si="11"/>
        <v>0</v>
      </c>
    </row>
    <row r="249" spans="12:16" s="23" customFormat="1" ht="13.8">
      <c r="L249" s="23">
        <v>246</v>
      </c>
      <c r="M249" s="23">
        <f ca="1"/>
        <v>49526.584202022786</v>
      </c>
      <c r="N249" s="25">
        <f t="shared" si="9"/>
        <v>31343.917000000001</v>
      </c>
      <c r="O249" s="25">
        <f t="shared" ca="1" si="10"/>
        <v>0</v>
      </c>
      <c r="P249" s="47">
        <f t="shared" ca="1" si="11"/>
        <v>0</v>
      </c>
    </row>
    <row r="250" spans="12:16" s="23" customFormat="1" ht="13.8">
      <c r="L250" s="33">
        <v>247</v>
      </c>
      <c r="M250" s="23">
        <f ca="1"/>
        <v>52763.447795301108</v>
      </c>
      <c r="N250" s="25">
        <f t="shared" si="9"/>
        <v>31343.917000000001</v>
      </c>
      <c r="O250" s="25">
        <f t="shared" ca="1" si="10"/>
        <v>0</v>
      </c>
      <c r="P250" s="47">
        <f t="shared" ca="1" si="11"/>
        <v>0</v>
      </c>
    </row>
    <row r="251" spans="12:16" s="23" customFormat="1" ht="13.8">
      <c r="L251" s="23">
        <v>248</v>
      </c>
      <c r="M251" s="23">
        <f ca="1"/>
        <v>29423.492310499456</v>
      </c>
      <c r="N251" s="25">
        <f t="shared" si="9"/>
        <v>31343.917000000001</v>
      </c>
      <c r="O251" s="25">
        <f t="shared" ca="1" si="10"/>
        <v>1</v>
      </c>
      <c r="P251" s="47">
        <f t="shared" ca="1" si="11"/>
        <v>6.1269454277222128E-2</v>
      </c>
    </row>
    <row r="252" spans="12:16" s="23" customFormat="1" ht="13.8">
      <c r="L252" s="33">
        <v>249</v>
      </c>
      <c r="M252" s="23">
        <f ca="1"/>
        <v>52842.024940759598</v>
      </c>
      <c r="N252" s="25">
        <f t="shared" si="9"/>
        <v>31343.917000000001</v>
      </c>
      <c r="O252" s="25">
        <f t="shared" ca="1" si="10"/>
        <v>0</v>
      </c>
      <c r="P252" s="47">
        <f t="shared" ca="1" si="11"/>
        <v>0</v>
      </c>
    </row>
    <row r="253" spans="12:16" s="23" customFormat="1" ht="13.8">
      <c r="L253" s="23">
        <v>250</v>
      </c>
      <c r="M253" s="23">
        <f ca="1"/>
        <v>36165.253218757796</v>
      </c>
      <c r="N253" s="25">
        <f t="shared" si="9"/>
        <v>31343.917000000001</v>
      </c>
      <c r="O253" s="25">
        <f t="shared" ca="1" si="10"/>
        <v>0</v>
      </c>
      <c r="P253" s="47">
        <f t="shared" ca="1" si="11"/>
        <v>0</v>
      </c>
    </row>
    <row r="254" spans="12:16" s="23" customFormat="1" ht="13.8">
      <c r="L254" s="33">
        <v>251</v>
      </c>
      <c r="M254" s="23">
        <f ca="1"/>
        <v>9133.5290681548595</v>
      </c>
      <c r="N254" s="25">
        <f t="shared" si="9"/>
        <v>31343.917000000001</v>
      </c>
      <c r="O254" s="25">
        <f t="shared" ca="1" si="10"/>
        <v>1</v>
      </c>
      <c r="P254" s="47">
        <f t="shared" ca="1" si="11"/>
        <v>0.70860281858981256</v>
      </c>
    </row>
    <row r="255" spans="12:16" s="23" customFormat="1" ht="13.8">
      <c r="L255" s="23">
        <v>252</v>
      </c>
      <c r="M255" s="23">
        <f ca="1"/>
        <v>33926.304458668463</v>
      </c>
      <c r="N255" s="25">
        <f t="shared" si="9"/>
        <v>31343.917000000001</v>
      </c>
      <c r="O255" s="25">
        <f t="shared" ca="1" si="10"/>
        <v>0</v>
      </c>
      <c r="P255" s="47">
        <f t="shared" ca="1" si="11"/>
        <v>0</v>
      </c>
    </row>
    <row r="256" spans="12:16" s="23" customFormat="1" ht="13.8">
      <c r="L256" s="33">
        <v>253</v>
      </c>
      <c r="M256" s="23">
        <f ca="1"/>
        <v>44362.578475160495</v>
      </c>
      <c r="N256" s="25">
        <f t="shared" si="9"/>
        <v>31343.917000000001</v>
      </c>
      <c r="O256" s="25">
        <f t="shared" ca="1" si="10"/>
        <v>0</v>
      </c>
      <c r="P256" s="47">
        <f t="shared" ca="1" si="11"/>
        <v>0</v>
      </c>
    </row>
    <row r="257" spans="12:16" s="23" customFormat="1" ht="13.8">
      <c r="L257" s="23">
        <v>254</v>
      </c>
      <c r="M257" s="23">
        <f ca="1"/>
        <v>27836.212729037503</v>
      </c>
      <c r="N257" s="25">
        <f t="shared" si="9"/>
        <v>31343.917000000001</v>
      </c>
      <c r="O257" s="25">
        <f t="shared" ca="1" si="10"/>
        <v>1</v>
      </c>
      <c r="P257" s="47">
        <f t="shared" ca="1" si="11"/>
        <v>0.11191020799865244</v>
      </c>
    </row>
    <row r="258" spans="12:16" s="23" customFormat="1" ht="13.8">
      <c r="L258" s="33">
        <v>255</v>
      </c>
      <c r="M258" s="23">
        <f ca="1"/>
        <v>83447.409435269248</v>
      </c>
      <c r="N258" s="25">
        <f t="shared" si="9"/>
        <v>31343.917000000001</v>
      </c>
      <c r="O258" s="25">
        <f t="shared" ca="1" si="10"/>
        <v>0</v>
      </c>
      <c r="P258" s="47">
        <f t="shared" ca="1" si="11"/>
        <v>0</v>
      </c>
    </row>
    <row r="259" spans="12:16" s="23" customFormat="1" ht="13.8">
      <c r="L259" s="23">
        <v>256</v>
      </c>
      <c r="M259" s="23">
        <f ca="1"/>
        <v>46724.258417646721</v>
      </c>
      <c r="N259" s="25">
        <f t="shared" si="9"/>
        <v>31343.917000000001</v>
      </c>
      <c r="O259" s="25">
        <f t="shared" ca="1" si="10"/>
        <v>0</v>
      </c>
      <c r="P259" s="47">
        <f t="shared" ca="1" si="11"/>
        <v>0</v>
      </c>
    </row>
    <row r="260" spans="12:16" s="23" customFormat="1" ht="13.8">
      <c r="L260" s="33">
        <v>257</v>
      </c>
      <c r="M260" s="23">
        <f ca="1"/>
        <v>-611.33254022560152</v>
      </c>
      <c r="N260" s="25">
        <f t="shared" ref="N260:N323" si="12">($C$23+$E$23)*1.1</f>
        <v>31343.917000000001</v>
      </c>
      <c r="O260" s="25">
        <f t="shared" ref="O260:O323" ca="1" si="13">IF(M260&lt;N260,1,0)</f>
        <v>1</v>
      </c>
      <c r="P260" s="47">
        <f t="shared" ca="1" si="11"/>
        <v>1.0195040249827614</v>
      </c>
    </row>
    <row r="261" spans="12:16" s="23" customFormat="1" ht="13.8">
      <c r="L261" s="23">
        <v>258</v>
      </c>
      <c r="M261" s="23">
        <f ca="1"/>
        <v>59006.577540511556</v>
      </c>
      <c r="N261" s="25">
        <f t="shared" si="12"/>
        <v>31343.917000000001</v>
      </c>
      <c r="O261" s="25">
        <f t="shared" ca="1" si="13"/>
        <v>0</v>
      </c>
      <c r="P261" s="47">
        <f t="shared" ref="P261:P324" ca="1" si="14">MAX((N261-M261)/N261,0)</f>
        <v>0</v>
      </c>
    </row>
    <row r="262" spans="12:16" s="23" customFormat="1" ht="13.8">
      <c r="L262" s="33">
        <v>259</v>
      </c>
      <c r="M262" s="23">
        <f ca="1"/>
        <v>51933.079102110263</v>
      </c>
      <c r="N262" s="25">
        <f t="shared" si="12"/>
        <v>31343.917000000001</v>
      </c>
      <c r="O262" s="25">
        <f t="shared" ca="1" si="13"/>
        <v>0</v>
      </c>
      <c r="P262" s="47">
        <f t="shared" ca="1" si="14"/>
        <v>0</v>
      </c>
    </row>
    <row r="263" spans="12:16" s="23" customFormat="1" ht="13.8">
      <c r="L263" s="23">
        <v>260</v>
      </c>
      <c r="M263" s="23">
        <f ca="1"/>
        <v>49828.762400658023</v>
      </c>
      <c r="N263" s="25">
        <f t="shared" si="12"/>
        <v>31343.917000000001</v>
      </c>
      <c r="O263" s="25">
        <f t="shared" ca="1" si="13"/>
        <v>0</v>
      </c>
      <c r="P263" s="47">
        <f t="shared" ca="1" si="14"/>
        <v>0</v>
      </c>
    </row>
    <row r="264" spans="12:16" s="23" customFormat="1" ht="13.8">
      <c r="L264" s="33">
        <v>261</v>
      </c>
      <c r="M264" s="23">
        <f ca="1"/>
        <v>44422.374801741455</v>
      </c>
      <c r="N264" s="25">
        <f t="shared" si="12"/>
        <v>31343.917000000001</v>
      </c>
      <c r="O264" s="25">
        <f t="shared" ca="1" si="13"/>
        <v>0</v>
      </c>
      <c r="P264" s="47">
        <f t="shared" ca="1" si="14"/>
        <v>0</v>
      </c>
    </row>
    <row r="265" spans="12:16" s="23" customFormat="1" ht="13.8">
      <c r="L265" s="23">
        <v>262</v>
      </c>
      <c r="M265" s="23">
        <f ca="1"/>
        <v>59830.57813345507</v>
      </c>
      <c r="N265" s="25">
        <f t="shared" si="12"/>
        <v>31343.917000000001</v>
      </c>
      <c r="O265" s="25">
        <f t="shared" ca="1" si="13"/>
        <v>0</v>
      </c>
      <c r="P265" s="47">
        <f t="shared" ca="1" si="14"/>
        <v>0</v>
      </c>
    </row>
    <row r="266" spans="12:16" s="23" customFormat="1" ht="13.8">
      <c r="L266" s="33">
        <v>263</v>
      </c>
      <c r="M266" s="23">
        <f ca="1"/>
        <v>22729.119030774469</v>
      </c>
      <c r="N266" s="25">
        <f t="shared" si="12"/>
        <v>31343.917000000001</v>
      </c>
      <c r="O266" s="25">
        <f t="shared" ca="1" si="13"/>
        <v>1</v>
      </c>
      <c r="P266" s="47">
        <f t="shared" ca="1" si="14"/>
        <v>0.27484752365907339</v>
      </c>
    </row>
    <row r="267" spans="12:16" s="23" customFormat="1" ht="13.8">
      <c r="L267" s="23">
        <v>264</v>
      </c>
      <c r="M267" s="23">
        <f ca="1"/>
        <v>18242.333679888357</v>
      </c>
      <c r="N267" s="25">
        <f t="shared" si="12"/>
        <v>31343.917000000001</v>
      </c>
      <c r="O267" s="25">
        <f t="shared" ca="1" si="13"/>
        <v>1</v>
      </c>
      <c r="P267" s="47">
        <f t="shared" ca="1" si="14"/>
        <v>0.41799444913383493</v>
      </c>
    </row>
    <row r="268" spans="12:16" s="23" customFormat="1" ht="13.8">
      <c r="L268" s="33">
        <v>265</v>
      </c>
      <c r="M268" s="23">
        <f ca="1"/>
        <v>63090.324120032732</v>
      </c>
      <c r="N268" s="25">
        <f t="shared" si="12"/>
        <v>31343.917000000001</v>
      </c>
      <c r="O268" s="25">
        <f t="shared" ca="1" si="13"/>
        <v>0</v>
      </c>
      <c r="P268" s="47">
        <f t="shared" ca="1" si="14"/>
        <v>0</v>
      </c>
    </row>
    <row r="269" spans="12:16" s="23" customFormat="1" ht="13.8">
      <c r="L269" s="23">
        <v>266</v>
      </c>
      <c r="M269" s="23">
        <f ca="1"/>
        <v>26722.131909787076</v>
      </c>
      <c r="N269" s="25">
        <f t="shared" si="12"/>
        <v>31343.917000000001</v>
      </c>
      <c r="O269" s="25">
        <f t="shared" ca="1" si="13"/>
        <v>1</v>
      </c>
      <c r="P269" s="47">
        <f t="shared" ca="1" si="14"/>
        <v>0.14745397297386043</v>
      </c>
    </row>
    <row r="270" spans="12:16" s="23" customFormat="1" ht="13.8">
      <c r="L270" s="33">
        <v>267</v>
      </c>
      <c r="M270" s="23">
        <f ca="1"/>
        <v>54464.467015187001</v>
      </c>
      <c r="N270" s="25">
        <f t="shared" si="12"/>
        <v>31343.917000000001</v>
      </c>
      <c r="O270" s="25">
        <f t="shared" ca="1" si="13"/>
        <v>0</v>
      </c>
      <c r="P270" s="47">
        <f t="shared" ca="1" si="14"/>
        <v>0</v>
      </c>
    </row>
    <row r="271" spans="12:16" s="23" customFormat="1" ht="13.8">
      <c r="L271" s="23">
        <v>268</v>
      </c>
      <c r="M271" s="23">
        <f ca="1"/>
        <v>32368.358981687517</v>
      </c>
      <c r="N271" s="25">
        <f t="shared" si="12"/>
        <v>31343.917000000001</v>
      </c>
      <c r="O271" s="25">
        <f t="shared" ca="1" si="13"/>
        <v>0</v>
      </c>
      <c r="P271" s="47">
        <f t="shared" ca="1" si="14"/>
        <v>0</v>
      </c>
    </row>
    <row r="272" spans="12:16" s="23" customFormat="1" ht="13.8">
      <c r="L272" s="33">
        <v>269</v>
      </c>
      <c r="M272" s="23">
        <f ca="1"/>
        <v>55566.582124519038</v>
      </c>
      <c r="N272" s="25">
        <f t="shared" si="12"/>
        <v>31343.917000000001</v>
      </c>
      <c r="O272" s="25">
        <f t="shared" ca="1" si="13"/>
        <v>0</v>
      </c>
      <c r="P272" s="47">
        <f t="shared" ca="1" si="14"/>
        <v>0</v>
      </c>
    </row>
    <row r="273" spans="12:16" s="23" customFormat="1" ht="13.8">
      <c r="L273" s="23">
        <v>270</v>
      </c>
      <c r="M273" s="23">
        <f ca="1"/>
        <v>31083.434266360164</v>
      </c>
      <c r="N273" s="25">
        <f t="shared" si="12"/>
        <v>31343.917000000001</v>
      </c>
      <c r="O273" s="25">
        <f t="shared" ca="1" si="13"/>
        <v>1</v>
      </c>
      <c r="P273" s="47">
        <f t="shared" ca="1" si="14"/>
        <v>8.310471650363211E-3</v>
      </c>
    </row>
    <row r="274" spans="12:16" s="23" customFormat="1" ht="13.8">
      <c r="L274" s="33">
        <v>271</v>
      </c>
      <c r="M274" s="23">
        <f ca="1"/>
        <v>51255.803544681599</v>
      </c>
      <c r="N274" s="25">
        <f t="shared" si="12"/>
        <v>31343.917000000001</v>
      </c>
      <c r="O274" s="25">
        <f t="shared" ca="1" si="13"/>
        <v>0</v>
      </c>
      <c r="P274" s="47">
        <f t="shared" ca="1" si="14"/>
        <v>0</v>
      </c>
    </row>
    <row r="275" spans="12:16" s="23" customFormat="1" ht="13.8">
      <c r="L275" s="23">
        <v>272</v>
      </c>
      <c r="M275" s="23">
        <f ca="1"/>
        <v>34143.61721566967</v>
      </c>
      <c r="N275" s="25">
        <f t="shared" si="12"/>
        <v>31343.917000000001</v>
      </c>
      <c r="O275" s="25">
        <f t="shared" ca="1" si="13"/>
        <v>0</v>
      </c>
      <c r="P275" s="47">
        <f t="shared" ca="1" si="14"/>
        <v>0</v>
      </c>
    </row>
    <row r="276" spans="12:16" s="23" customFormat="1" ht="13.8">
      <c r="L276" s="33">
        <v>273</v>
      </c>
      <c r="M276" s="23">
        <f ca="1"/>
        <v>45722.721884164952</v>
      </c>
      <c r="N276" s="25">
        <f t="shared" si="12"/>
        <v>31343.917000000001</v>
      </c>
      <c r="O276" s="25">
        <f t="shared" ca="1" si="13"/>
        <v>0</v>
      </c>
      <c r="P276" s="47">
        <f t="shared" ca="1" si="14"/>
        <v>0</v>
      </c>
    </row>
    <row r="277" spans="12:16" s="23" customFormat="1" ht="13.8">
      <c r="L277" s="23">
        <v>274</v>
      </c>
      <c r="M277" s="23">
        <f ca="1"/>
        <v>37675.817863680029</v>
      </c>
      <c r="N277" s="25">
        <f t="shared" si="12"/>
        <v>31343.917000000001</v>
      </c>
      <c r="O277" s="25">
        <f t="shared" ca="1" si="13"/>
        <v>0</v>
      </c>
      <c r="P277" s="47">
        <f t="shared" ca="1" si="14"/>
        <v>0</v>
      </c>
    </row>
    <row r="278" spans="12:16" s="23" customFormat="1" ht="13.8">
      <c r="L278" s="33">
        <v>275</v>
      </c>
      <c r="M278" s="23">
        <f ca="1"/>
        <v>46229.0270299576</v>
      </c>
      <c r="N278" s="25">
        <f t="shared" si="12"/>
        <v>31343.917000000001</v>
      </c>
      <c r="O278" s="25">
        <f t="shared" ca="1" si="13"/>
        <v>0</v>
      </c>
      <c r="P278" s="47">
        <f t="shared" ca="1" si="14"/>
        <v>0</v>
      </c>
    </row>
    <row r="279" spans="12:16" s="23" customFormat="1" ht="13.8">
      <c r="L279" s="23">
        <v>276</v>
      </c>
      <c r="M279" s="23">
        <f ca="1"/>
        <v>38650.393514123745</v>
      </c>
      <c r="N279" s="25">
        <f t="shared" si="12"/>
        <v>31343.917000000001</v>
      </c>
      <c r="O279" s="25">
        <f t="shared" ca="1" si="13"/>
        <v>0</v>
      </c>
      <c r="P279" s="47">
        <f t="shared" ca="1" si="14"/>
        <v>0</v>
      </c>
    </row>
    <row r="280" spans="12:16" s="23" customFormat="1" ht="13.8">
      <c r="L280" s="33">
        <v>277</v>
      </c>
      <c r="M280" s="23">
        <f ca="1"/>
        <v>60953.851033281127</v>
      </c>
      <c r="N280" s="25">
        <f t="shared" si="12"/>
        <v>31343.917000000001</v>
      </c>
      <c r="O280" s="25">
        <f t="shared" ca="1" si="13"/>
        <v>0</v>
      </c>
      <c r="P280" s="47">
        <f t="shared" ca="1" si="14"/>
        <v>0</v>
      </c>
    </row>
    <row r="281" spans="12:16" s="23" customFormat="1" ht="13.8">
      <c r="L281" s="23">
        <v>278</v>
      </c>
      <c r="M281" s="23">
        <f ca="1"/>
        <v>42788.140576383033</v>
      </c>
      <c r="N281" s="25">
        <f t="shared" si="12"/>
        <v>31343.917000000001</v>
      </c>
      <c r="O281" s="25">
        <f t="shared" ca="1" si="13"/>
        <v>0</v>
      </c>
      <c r="P281" s="47">
        <f t="shared" ca="1" si="14"/>
        <v>0</v>
      </c>
    </row>
    <row r="282" spans="12:16" s="23" customFormat="1" ht="13.8">
      <c r="L282" s="33">
        <v>279</v>
      </c>
      <c r="M282" s="23">
        <f ca="1"/>
        <v>52654.134913312024</v>
      </c>
      <c r="N282" s="25">
        <f t="shared" si="12"/>
        <v>31343.917000000001</v>
      </c>
      <c r="O282" s="25">
        <f t="shared" ca="1" si="13"/>
        <v>0</v>
      </c>
      <c r="P282" s="47">
        <f t="shared" ca="1" si="14"/>
        <v>0</v>
      </c>
    </row>
    <row r="283" spans="12:16" s="23" customFormat="1" ht="13.8">
      <c r="L283" s="23">
        <v>280</v>
      </c>
      <c r="M283" s="23">
        <f ca="1"/>
        <v>48855.27882533129</v>
      </c>
      <c r="N283" s="25">
        <f t="shared" si="12"/>
        <v>31343.917000000001</v>
      </c>
      <c r="O283" s="25">
        <f t="shared" ca="1" si="13"/>
        <v>0</v>
      </c>
      <c r="P283" s="47">
        <f t="shared" ca="1" si="14"/>
        <v>0</v>
      </c>
    </row>
    <row r="284" spans="12:16" s="23" customFormat="1" ht="13.8">
      <c r="L284" s="33">
        <v>281</v>
      </c>
      <c r="M284" s="23">
        <f ca="1"/>
        <v>58814.650857060922</v>
      </c>
      <c r="N284" s="25">
        <f t="shared" si="12"/>
        <v>31343.917000000001</v>
      </c>
      <c r="O284" s="25">
        <f t="shared" ca="1" si="13"/>
        <v>0</v>
      </c>
      <c r="P284" s="47">
        <f t="shared" ca="1" si="14"/>
        <v>0</v>
      </c>
    </row>
    <row r="285" spans="12:16" s="23" customFormat="1" ht="13.8">
      <c r="L285" s="23">
        <v>282</v>
      </c>
      <c r="M285" s="23">
        <f ca="1"/>
        <v>67823.96555127496</v>
      </c>
      <c r="N285" s="25">
        <f t="shared" si="12"/>
        <v>31343.917000000001</v>
      </c>
      <c r="O285" s="25">
        <f t="shared" ca="1" si="13"/>
        <v>0</v>
      </c>
      <c r="P285" s="47">
        <f t="shared" ca="1" si="14"/>
        <v>0</v>
      </c>
    </row>
    <row r="286" spans="12:16" s="23" customFormat="1" ht="13.8">
      <c r="L286" s="33">
        <v>283</v>
      </c>
      <c r="M286" s="23">
        <f ca="1"/>
        <v>69617.355558814554</v>
      </c>
      <c r="N286" s="25">
        <f t="shared" si="12"/>
        <v>31343.917000000001</v>
      </c>
      <c r="O286" s="25">
        <f t="shared" ca="1" si="13"/>
        <v>0</v>
      </c>
      <c r="P286" s="47">
        <f t="shared" ca="1" si="14"/>
        <v>0</v>
      </c>
    </row>
    <row r="287" spans="12:16" s="23" customFormat="1" ht="13.8">
      <c r="L287" s="23">
        <v>284</v>
      </c>
      <c r="M287" s="23">
        <f ca="1"/>
        <v>56351.170083961457</v>
      </c>
      <c r="N287" s="25">
        <f t="shared" si="12"/>
        <v>31343.917000000001</v>
      </c>
      <c r="O287" s="25">
        <f t="shared" ca="1" si="13"/>
        <v>0</v>
      </c>
      <c r="P287" s="47">
        <f t="shared" ca="1" si="14"/>
        <v>0</v>
      </c>
    </row>
    <row r="288" spans="12:16" s="23" customFormat="1" ht="13.8">
      <c r="L288" s="33">
        <v>285</v>
      </c>
      <c r="M288" s="23">
        <f ca="1"/>
        <v>22001.161463771088</v>
      </c>
      <c r="N288" s="25">
        <f t="shared" si="12"/>
        <v>31343.917000000001</v>
      </c>
      <c r="O288" s="25">
        <f t="shared" ca="1" si="13"/>
        <v>1</v>
      </c>
      <c r="P288" s="47">
        <f t="shared" ca="1" si="14"/>
        <v>0.29807236715911778</v>
      </c>
    </row>
    <row r="289" spans="12:16" s="23" customFormat="1" ht="13.8">
      <c r="L289" s="23">
        <v>286</v>
      </c>
      <c r="M289" s="23">
        <f ca="1"/>
        <v>81206.651291048227</v>
      </c>
      <c r="N289" s="25">
        <f t="shared" si="12"/>
        <v>31343.917000000001</v>
      </c>
      <c r="O289" s="25">
        <f t="shared" ca="1" si="13"/>
        <v>0</v>
      </c>
      <c r="P289" s="47">
        <f t="shared" ca="1" si="14"/>
        <v>0</v>
      </c>
    </row>
    <row r="290" spans="12:16" s="23" customFormat="1" ht="13.8">
      <c r="L290" s="33">
        <v>287</v>
      </c>
      <c r="M290" s="23">
        <f ca="1"/>
        <v>38598.587926933091</v>
      </c>
      <c r="N290" s="25">
        <f t="shared" si="12"/>
        <v>31343.917000000001</v>
      </c>
      <c r="O290" s="25">
        <f t="shared" ca="1" si="13"/>
        <v>0</v>
      </c>
      <c r="P290" s="47">
        <f t="shared" ca="1" si="14"/>
        <v>0</v>
      </c>
    </row>
    <row r="291" spans="12:16" s="23" customFormat="1" ht="13.8">
      <c r="L291" s="23">
        <v>288</v>
      </c>
      <c r="M291" s="23">
        <f ca="1"/>
        <v>45384.330882543996</v>
      </c>
      <c r="N291" s="25">
        <f t="shared" si="12"/>
        <v>31343.917000000001</v>
      </c>
      <c r="O291" s="25">
        <f t="shared" ca="1" si="13"/>
        <v>0</v>
      </c>
      <c r="P291" s="47">
        <f t="shared" ca="1" si="14"/>
        <v>0</v>
      </c>
    </row>
    <row r="292" spans="12:16" s="23" customFormat="1" ht="13.8">
      <c r="L292" s="33">
        <v>289</v>
      </c>
      <c r="M292" s="23">
        <f ca="1"/>
        <v>-5819.0974793062951</v>
      </c>
      <c r="N292" s="25">
        <f t="shared" si="12"/>
        <v>31343.917000000001</v>
      </c>
      <c r="O292" s="25">
        <f t="shared" ca="1" si="13"/>
        <v>1</v>
      </c>
      <c r="P292" s="47">
        <f t="shared" ca="1" si="14"/>
        <v>1.1856531677041606</v>
      </c>
    </row>
    <row r="293" spans="12:16" s="23" customFormat="1" ht="13.8">
      <c r="L293" s="23">
        <v>290</v>
      </c>
      <c r="M293" s="23">
        <f ca="1"/>
        <v>75992.040274268133</v>
      </c>
      <c r="N293" s="25">
        <f t="shared" si="12"/>
        <v>31343.917000000001</v>
      </c>
      <c r="O293" s="25">
        <f t="shared" ca="1" si="13"/>
        <v>0</v>
      </c>
      <c r="P293" s="47">
        <f t="shared" ca="1" si="14"/>
        <v>0</v>
      </c>
    </row>
    <row r="294" spans="12:16" s="23" customFormat="1" ht="13.8">
      <c r="L294" s="33">
        <v>291</v>
      </c>
      <c r="M294" s="23">
        <f ca="1"/>
        <v>54089.019042870714</v>
      </c>
      <c r="N294" s="25">
        <f t="shared" si="12"/>
        <v>31343.917000000001</v>
      </c>
      <c r="O294" s="25">
        <f t="shared" ca="1" si="13"/>
        <v>0</v>
      </c>
      <c r="P294" s="47">
        <f t="shared" ca="1" si="14"/>
        <v>0</v>
      </c>
    </row>
    <row r="295" spans="12:16" s="23" customFormat="1" ht="13.8">
      <c r="L295" s="23">
        <v>292</v>
      </c>
      <c r="M295" s="23">
        <f ca="1"/>
        <v>49639.838334728469</v>
      </c>
      <c r="N295" s="25">
        <f t="shared" si="12"/>
        <v>31343.917000000001</v>
      </c>
      <c r="O295" s="25">
        <f t="shared" ca="1" si="13"/>
        <v>0</v>
      </c>
      <c r="P295" s="47">
        <f t="shared" ca="1" si="14"/>
        <v>0</v>
      </c>
    </row>
    <row r="296" spans="12:16" s="23" customFormat="1" ht="13.8">
      <c r="L296" s="33">
        <v>293</v>
      </c>
      <c r="M296" s="23">
        <f ca="1"/>
        <v>46675.147133509643</v>
      </c>
      <c r="N296" s="25">
        <f t="shared" si="12"/>
        <v>31343.917000000001</v>
      </c>
      <c r="O296" s="25">
        <f t="shared" ca="1" si="13"/>
        <v>0</v>
      </c>
      <c r="P296" s="47">
        <f t="shared" ca="1" si="14"/>
        <v>0</v>
      </c>
    </row>
    <row r="297" spans="12:16" s="23" customFormat="1" ht="13.8">
      <c r="L297" s="23">
        <v>294</v>
      </c>
      <c r="M297" s="23">
        <f ca="1"/>
        <v>36507.745291829851</v>
      </c>
      <c r="N297" s="25">
        <f t="shared" si="12"/>
        <v>31343.917000000001</v>
      </c>
      <c r="O297" s="25">
        <f t="shared" ca="1" si="13"/>
        <v>0</v>
      </c>
      <c r="P297" s="47">
        <f t="shared" ca="1" si="14"/>
        <v>0</v>
      </c>
    </row>
    <row r="298" spans="12:16" s="23" customFormat="1" ht="13.8">
      <c r="L298" s="33">
        <v>295</v>
      </c>
      <c r="M298" s="23">
        <f ca="1"/>
        <v>22665.741764847113</v>
      </c>
      <c r="N298" s="25">
        <f t="shared" si="12"/>
        <v>31343.917000000001</v>
      </c>
      <c r="O298" s="25">
        <f t="shared" ca="1" si="13"/>
        <v>1</v>
      </c>
      <c r="P298" s="47">
        <f t="shared" ca="1" si="14"/>
        <v>0.2768695193760527</v>
      </c>
    </row>
    <row r="299" spans="12:16" s="23" customFormat="1" ht="13.8">
      <c r="L299" s="23">
        <v>296</v>
      </c>
      <c r="M299" s="23">
        <f ca="1"/>
        <v>81122.026218098341</v>
      </c>
      <c r="N299" s="25">
        <f t="shared" si="12"/>
        <v>31343.917000000001</v>
      </c>
      <c r="O299" s="25">
        <f t="shared" ca="1" si="13"/>
        <v>0</v>
      </c>
      <c r="P299" s="47">
        <f t="shared" ca="1" si="14"/>
        <v>0</v>
      </c>
    </row>
    <row r="300" spans="12:16" s="23" customFormat="1" ht="13.8">
      <c r="L300" s="33">
        <v>297</v>
      </c>
      <c r="M300" s="23">
        <f ca="1"/>
        <v>67712.638279881139</v>
      </c>
      <c r="N300" s="25">
        <f t="shared" si="12"/>
        <v>31343.917000000001</v>
      </c>
      <c r="O300" s="25">
        <f t="shared" ca="1" si="13"/>
        <v>0</v>
      </c>
      <c r="P300" s="47">
        <f t="shared" ca="1" si="14"/>
        <v>0</v>
      </c>
    </row>
    <row r="301" spans="12:16" s="23" customFormat="1" ht="13.8">
      <c r="L301" s="23">
        <v>298</v>
      </c>
      <c r="M301" s="23">
        <f ca="1"/>
        <v>57189.004176372393</v>
      </c>
      <c r="N301" s="25">
        <f t="shared" si="12"/>
        <v>31343.917000000001</v>
      </c>
      <c r="O301" s="25">
        <f t="shared" ca="1" si="13"/>
        <v>0</v>
      </c>
      <c r="P301" s="47">
        <f t="shared" ca="1" si="14"/>
        <v>0</v>
      </c>
    </row>
    <row r="302" spans="12:16" s="23" customFormat="1" ht="13.8">
      <c r="L302" s="33">
        <v>299</v>
      </c>
      <c r="M302" s="23">
        <f ca="1"/>
        <v>39117.960956262737</v>
      </c>
      <c r="N302" s="25">
        <f t="shared" si="12"/>
        <v>31343.917000000001</v>
      </c>
      <c r="O302" s="25">
        <f t="shared" ca="1" si="13"/>
        <v>0</v>
      </c>
      <c r="P302" s="47">
        <f t="shared" ca="1" si="14"/>
        <v>0</v>
      </c>
    </row>
    <row r="303" spans="12:16" s="23" customFormat="1" ht="13.8">
      <c r="L303" s="23">
        <v>300</v>
      </c>
      <c r="M303" s="23">
        <f ca="1"/>
        <v>48649.4782580518</v>
      </c>
      <c r="N303" s="25">
        <f t="shared" si="12"/>
        <v>31343.917000000001</v>
      </c>
      <c r="O303" s="25">
        <f t="shared" ca="1" si="13"/>
        <v>0</v>
      </c>
      <c r="P303" s="47">
        <f t="shared" ca="1" si="14"/>
        <v>0</v>
      </c>
    </row>
    <row r="304" spans="12:16" s="23" customFormat="1" ht="13.8">
      <c r="L304" s="33">
        <v>301</v>
      </c>
      <c r="M304" s="23">
        <f ca="1"/>
        <v>8237.3163265666044</v>
      </c>
      <c r="N304" s="25">
        <f t="shared" si="12"/>
        <v>31343.917000000001</v>
      </c>
      <c r="O304" s="25">
        <f t="shared" ca="1" si="13"/>
        <v>1</v>
      </c>
      <c r="P304" s="47">
        <f t="shared" ca="1" si="14"/>
        <v>0.73719569489140102</v>
      </c>
    </row>
    <row r="305" spans="12:16" s="23" customFormat="1" ht="13.8">
      <c r="L305" s="23">
        <v>302</v>
      </c>
      <c r="M305" s="23">
        <f ca="1"/>
        <v>35863.030918890894</v>
      </c>
      <c r="N305" s="25">
        <f t="shared" si="12"/>
        <v>31343.917000000001</v>
      </c>
      <c r="O305" s="25">
        <f t="shared" ca="1" si="13"/>
        <v>0</v>
      </c>
      <c r="P305" s="47">
        <f t="shared" ca="1" si="14"/>
        <v>0</v>
      </c>
    </row>
    <row r="306" spans="12:16" s="23" customFormat="1" ht="13.8">
      <c r="L306" s="33">
        <v>303</v>
      </c>
      <c r="M306" s="23">
        <f ca="1"/>
        <v>25570.930616460621</v>
      </c>
      <c r="N306" s="25">
        <f t="shared" si="12"/>
        <v>31343.917000000001</v>
      </c>
      <c r="O306" s="25">
        <f t="shared" ca="1" si="13"/>
        <v>1</v>
      </c>
      <c r="P306" s="47">
        <f t="shared" ca="1" si="14"/>
        <v>0.18418203390276272</v>
      </c>
    </row>
    <row r="307" spans="12:16" s="23" customFormat="1" ht="13.8">
      <c r="L307" s="23">
        <v>304</v>
      </c>
      <c r="M307" s="23">
        <f ca="1"/>
        <v>40445.370719321327</v>
      </c>
      <c r="N307" s="25">
        <f t="shared" si="12"/>
        <v>31343.917000000001</v>
      </c>
      <c r="O307" s="25">
        <f t="shared" ca="1" si="13"/>
        <v>0</v>
      </c>
      <c r="P307" s="47">
        <f t="shared" ca="1" si="14"/>
        <v>0</v>
      </c>
    </row>
    <row r="308" spans="12:16" s="23" customFormat="1" ht="13.8">
      <c r="L308" s="33">
        <v>305</v>
      </c>
      <c r="M308" s="23">
        <f ca="1"/>
        <v>71861.857526853608</v>
      </c>
      <c r="N308" s="25">
        <f t="shared" si="12"/>
        <v>31343.917000000001</v>
      </c>
      <c r="O308" s="25">
        <f t="shared" ca="1" si="13"/>
        <v>0</v>
      </c>
      <c r="P308" s="47">
        <f t="shared" ca="1" si="14"/>
        <v>0</v>
      </c>
    </row>
    <row r="309" spans="12:16" s="23" customFormat="1" ht="13.8">
      <c r="L309" s="23">
        <v>306</v>
      </c>
      <c r="M309" s="23">
        <f ca="1"/>
        <v>27000.194449323575</v>
      </c>
      <c r="N309" s="25">
        <f t="shared" si="12"/>
        <v>31343.917000000001</v>
      </c>
      <c r="O309" s="25">
        <f t="shared" ca="1" si="13"/>
        <v>1</v>
      </c>
      <c r="P309" s="47">
        <f t="shared" ca="1" si="14"/>
        <v>0.13858263313664421</v>
      </c>
    </row>
    <row r="310" spans="12:16" s="23" customFormat="1" ht="13.8">
      <c r="L310" s="33">
        <v>307</v>
      </c>
      <c r="M310" s="23">
        <f ca="1"/>
        <v>51118.517137829454</v>
      </c>
      <c r="N310" s="25">
        <f t="shared" si="12"/>
        <v>31343.917000000001</v>
      </c>
      <c r="O310" s="25">
        <f t="shared" ca="1" si="13"/>
        <v>0</v>
      </c>
      <c r="P310" s="47">
        <f t="shared" ca="1" si="14"/>
        <v>0</v>
      </c>
    </row>
    <row r="311" spans="12:16" s="23" customFormat="1" ht="13.8">
      <c r="L311" s="23">
        <v>308</v>
      </c>
      <c r="M311" s="23">
        <f ca="1"/>
        <v>63297.991827068683</v>
      </c>
      <c r="N311" s="25">
        <f t="shared" si="12"/>
        <v>31343.917000000001</v>
      </c>
      <c r="O311" s="25">
        <f t="shared" ca="1" si="13"/>
        <v>0</v>
      </c>
      <c r="P311" s="47">
        <f t="shared" ca="1" si="14"/>
        <v>0</v>
      </c>
    </row>
    <row r="312" spans="12:16" s="23" customFormat="1" ht="13.8">
      <c r="L312" s="33">
        <v>309</v>
      </c>
      <c r="M312" s="23">
        <f ca="1"/>
        <v>4451.5002927947235</v>
      </c>
      <c r="N312" s="25">
        <f t="shared" si="12"/>
        <v>31343.917000000001</v>
      </c>
      <c r="O312" s="25">
        <f t="shared" ca="1" si="13"/>
        <v>1</v>
      </c>
      <c r="P312" s="47">
        <f t="shared" ca="1" si="14"/>
        <v>0.85797881315233437</v>
      </c>
    </row>
    <row r="313" spans="12:16" s="23" customFormat="1" ht="13.8">
      <c r="L313" s="23">
        <v>310</v>
      </c>
      <c r="M313" s="23">
        <f ca="1"/>
        <v>44923.801915668657</v>
      </c>
      <c r="N313" s="25">
        <f t="shared" si="12"/>
        <v>31343.917000000001</v>
      </c>
      <c r="O313" s="25">
        <f t="shared" ca="1" si="13"/>
        <v>0</v>
      </c>
      <c r="P313" s="47">
        <f t="shared" ca="1" si="14"/>
        <v>0</v>
      </c>
    </row>
    <row r="314" spans="12:16" s="23" customFormat="1" ht="13.8">
      <c r="L314" s="33">
        <v>311</v>
      </c>
      <c r="M314" s="23">
        <f ca="1"/>
        <v>48728.340798488709</v>
      </c>
      <c r="N314" s="25">
        <f t="shared" si="12"/>
        <v>31343.917000000001</v>
      </c>
      <c r="O314" s="25">
        <f t="shared" ca="1" si="13"/>
        <v>0</v>
      </c>
      <c r="P314" s="47">
        <f t="shared" ca="1" si="14"/>
        <v>0</v>
      </c>
    </row>
    <row r="315" spans="12:16" s="23" customFormat="1" ht="13.8">
      <c r="L315" s="23">
        <v>312</v>
      </c>
      <c r="M315" s="23">
        <f ca="1"/>
        <v>41083.870715796955</v>
      </c>
      <c r="N315" s="25">
        <f t="shared" si="12"/>
        <v>31343.917000000001</v>
      </c>
      <c r="O315" s="25">
        <f t="shared" ca="1" si="13"/>
        <v>0</v>
      </c>
      <c r="P315" s="47">
        <f t="shared" ca="1" si="14"/>
        <v>0</v>
      </c>
    </row>
    <row r="316" spans="12:16" s="23" customFormat="1" ht="13.8">
      <c r="L316" s="33">
        <v>313</v>
      </c>
      <c r="M316" s="23">
        <f ca="1"/>
        <v>43218.08781174622</v>
      </c>
      <c r="N316" s="25">
        <f t="shared" si="12"/>
        <v>31343.917000000001</v>
      </c>
      <c r="O316" s="25">
        <f t="shared" ca="1" si="13"/>
        <v>0</v>
      </c>
      <c r="P316" s="47">
        <f t="shared" ca="1" si="14"/>
        <v>0</v>
      </c>
    </row>
    <row r="317" spans="12:16" s="23" customFormat="1" ht="13.8">
      <c r="L317" s="23">
        <v>314</v>
      </c>
      <c r="M317" s="23">
        <f ca="1"/>
        <v>24422.705636890067</v>
      </c>
      <c r="N317" s="25">
        <f t="shared" si="12"/>
        <v>31343.917000000001</v>
      </c>
      <c r="O317" s="25">
        <f t="shared" ca="1" si="13"/>
        <v>1</v>
      </c>
      <c r="P317" s="47">
        <f t="shared" ca="1" si="14"/>
        <v>0.22081513816891279</v>
      </c>
    </row>
    <row r="318" spans="12:16" s="23" customFormat="1" ht="13.8">
      <c r="L318" s="33">
        <v>315</v>
      </c>
      <c r="M318" s="23">
        <f ca="1"/>
        <v>70967.950416618391</v>
      </c>
      <c r="N318" s="25">
        <f t="shared" si="12"/>
        <v>31343.917000000001</v>
      </c>
      <c r="O318" s="25">
        <f t="shared" ca="1" si="13"/>
        <v>0</v>
      </c>
      <c r="P318" s="47">
        <f t="shared" ca="1" si="14"/>
        <v>0</v>
      </c>
    </row>
    <row r="319" spans="12:16" s="23" customFormat="1" ht="13.8">
      <c r="L319" s="23">
        <v>316</v>
      </c>
      <c r="M319" s="23">
        <f ca="1"/>
        <v>41714.586512978538</v>
      </c>
      <c r="N319" s="25">
        <f t="shared" si="12"/>
        <v>31343.917000000001</v>
      </c>
      <c r="O319" s="25">
        <f t="shared" ca="1" si="13"/>
        <v>0</v>
      </c>
      <c r="P319" s="47">
        <f t="shared" ca="1" si="14"/>
        <v>0</v>
      </c>
    </row>
    <row r="320" spans="12:16" s="23" customFormat="1" ht="13.8">
      <c r="L320" s="33">
        <v>317</v>
      </c>
      <c r="M320" s="23">
        <f ca="1"/>
        <v>59364.103967541894</v>
      </c>
      <c r="N320" s="25">
        <f t="shared" si="12"/>
        <v>31343.917000000001</v>
      </c>
      <c r="O320" s="25">
        <f t="shared" ca="1" si="13"/>
        <v>0</v>
      </c>
      <c r="P320" s="47">
        <f t="shared" ca="1" si="14"/>
        <v>0</v>
      </c>
    </row>
    <row r="321" spans="12:16" s="23" customFormat="1" ht="13.8">
      <c r="L321" s="23">
        <v>318</v>
      </c>
      <c r="M321" s="23">
        <f ca="1"/>
        <v>82925.727516527506</v>
      </c>
      <c r="N321" s="25">
        <f t="shared" si="12"/>
        <v>31343.917000000001</v>
      </c>
      <c r="O321" s="25">
        <f t="shared" ca="1" si="13"/>
        <v>0</v>
      </c>
      <c r="P321" s="47">
        <f t="shared" ca="1" si="14"/>
        <v>0</v>
      </c>
    </row>
    <row r="322" spans="12:16" s="23" customFormat="1" ht="13.8">
      <c r="L322" s="33">
        <v>319</v>
      </c>
      <c r="M322" s="23">
        <f ca="1"/>
        <v>47195.869939325683</v>
      </c>
      <c r="N322" s="25">
        <f t="shared" si="12"/>
        <v>31343.917000000001</v>
      </c>
      <c r="O322" s="25">
        <f t="shared" ca="1" si="13"/>
        <v>0</v>
      </c>
      <c r="P322" s="47">
        <f t="shared" ca="1" si="14"/>
        <v>0</v>
      </c>
    </row>
    <row r="323" spans="12:16" s="23" customFormat="1" ht="13.8">
      <c r="L323" s="23">
        <v>320</v>
      </c>
      <c r="M323" s="23">
        <f ca="1"/>
        <v>62173.91761333905</v>
      </c>
      <c r="N323" s="25">
        <f t="shared" si="12"/>
        <v>31343.917000000001</v>
      </c>
      <c r="O323" s="25">
        <f t="shared" ca="1" si="13"/>
        <v>0</v>
      </c>
      <c r="P323" s="47">
        <f t="shared" ca="1" si="14"/>
        <v>0</v>
      </c>
    </row>
    <row r="324" spans="12:16" s="23" customFormat="1" ht="13.8">
      <c r="L324" s="33">
        <v>321</v>
      </c>
      <c r="M324" s="23">
        <f ca="1"/>
        <v>58872.015510853023</v>
      </c>
      <c r="N324" s="25">
        <f t="shared" ref="N324:N387" si="15">($C$23+$E$23)*1.1</f>
        <v>31343.917000000001</v>
      </c>
      <c r="O324" s="25">
        <f t="shared" ref="O324:O387" ca="1" si="16">IF(M324&lt;N324,1,0)</f>
        <v>0</v>
      </c>
      <c r="P324" s="47">
        <f t="shared" ca="1" si="14"/>
        <v>0</v>
      </c>
    </row>
    <row r="325" spans="12:16" s="23" customFormat="1" ht="13.8">
      <c r="L325" s="23">
        <v>322</v>
      </c>
      <c r="M325" s="23">
        <f ca="1"/>
        <v>51185.209224355058</v>
      </c>
      <c r="N325" s="25">
        <f t="shared" si="15"/>
        <v>31343.917000000001</v>
      </c>
      <c r="O325" s="25">
        <f t="shared" ca="1" si="16"/>
        <v>0</v>
      </c>
      <c r="P325" s="47">
        <f t="shared" ref="P325:P388" ca="1" si="17">MAX((N325-M325)/N325,0)</f>
        <v>0</v>
      </c>
    </row>
    <row r="326" spans="12:16" s="23" customFormat="1" ht="13.8">
      <c r="L326" s="33">
        <v>323</v>
      </c>
      <c r="M326" s="23">
        <f ca="1"/>
        <v>76658.172404388315</v>
      </c>
      <c r="N326" s="25">
        <f t="shared" si="15"/>
        <v>31343.917000000001</v>
      </c>
      <c r="O326" s="25">
        <f t="shared" ca="1" si="16"/>
        <v>0</v>
      </c>
      <c r="P326" s="47">
        <f t="shared" ca="1" si="17"/>
        <v>0</v>
      </c>
    </row>
    <row r="327" spans="12:16" s="23" customFormat="1" ht="13.8">
      <c r="L327" s="23">
        <v>324</v>
      </c>
      <c r="M327" s="23">
        <f ca="1"/>
        <v>37548.04703911284</v>
      </c>
      <c r="N327" s="25">
        <f t="shared" si="15"/>
        <v>31343.917000000001</v>
      </c>
      <c r="O327" s="25">
        <f t="shared" ca="1" si="16"/>
        <v>0</v>
      </c>
      <c r="P327" s="47">
        <f t="shared" ca="1" si="17"/>
        <v>0</v>
      </c>
    </row>
    <row r="328" spans="12:16" s="23" customFormat="1" ht="13.8">
      <c r="L328" s="33">
        <v>325</v>
      </c>
      <c r="M328" s="23">
        <f ca="1"/>
        <v>24801.688682565979</v>
      </c>
      <c r="N328" s="25">
        <f t="shared" si="15"/>
        <v>31343.917000000001</v>
      </c>
      <c r="O328" s="25">
        <f t="shared" ca="1" si="16"/>
        <v>1</v>
      </c>
      <c r="P328" s="47">
        <f t="shared" ca="1" si="17"/>
        <v>0.20872401868069082</v>
      </c>
    </row>
    <row r="329" spans="12:16" s="23" customFormat="1" ht="13.8">
      <c r="L329" s="23">
        <v>326</v>
      </c>
      <c r="M329" s="23">
        <f ca="1"/>
        <v>53896.294137500205</v>
      </c>
      <c r="N329" s="25">
        <f t="shared" si="15"/>
        <v>31343.917000000001</v>
      </c>
      <c r="O329" s="25">
        <f t="shared" ca="1" si="16"/>
        <v>0</v>
      </c>
      <c r="P329" s="47">
        <f t="shared" ca="1" si="17"/>
        <v>0</v>
      </c>
    </row>
    <row r="330" spans="12:16" s="23" customFormat="1" ht="13.8">
      <c r="L330" s="33">
        <v>327</v>
      </c>
      <c r="M330" s="23">
        <f ca="1"/>
        <v>62449.840728332754</v>
      </c>
      <c r="N330" s="25">
        <f t="shared" si="15"/>
        <v>31343.917000000001</v>
      </c>
      <c r="O330" s="25">
        <f t="shared" ca="1" si="16"/>
        <v>0</v>
      </c>
      <c r="P330" s="47">
        <f t="shared" ca="1" si="17"/>
        <v>0</v>
      </c>
    </row>
    <row r="331" spans="12:16" s="23" customFormat="1" ht="13.8">
      <c r="L331" s="23">
        <v>328</v>
      </c>
      <c r="M331" s="23">
        <f ca="1"/>
        <v>37487.358582511573</v>
      </c>
      <c r="N331" s="25">
        <f t="shared" si="15"/>
        <v>31343.917000000001</v>
      </c>
      <c r="O331" s="25">
        <f t="shared" ca="1" si="16"/>
        <v>0</v>
      </c>
      <c r="P331" s="47">
        <f t="shared" ca="1" si="17"/>
        <v>0</v>
      </c>
    </row>
    <row r="332" spans="12:16" s="23" customFormat="1" ht="13.8">
      <c r="L332" s="33">
        <v>329</v>
      </c>
      <c r="M332" s="23">
        <f ca="1"/>
        <v>41077.117946728125</v>
      </c>
      <c r="N332" s="25">
        <f t="shared" si="15"/>
        <v>31343.917000000001</v>
      </c>
      <c r="O332" s="25">
        <f t="shared" ca="1" si="16"/>
        <v>0</v>
      </c>
      <c r="P332" s="47">
        <f t="shared" ca="1" si="17"/>
        <v>0</v>
      </c>
    </row>
    <row r="333" spans="12:16" s="23" customFormat="1" ht="13.8">
      <c r="L333" s="23">
        <v>330</v>
      </c>
      <c r="M333" s="23">
        <f ca="1"/>
        <v>50303.634077412426</v>
      </c>
      <c r="N333" s="25">
        <f t="shared" si="15"/>
        <v>31343.917000000001</v>
      </c>
      <c r="O333" s="25">
        <f t="shared" ca="1" si="16"/>
        <v>0</v>
      </c>
      <c r="P333" s="47">
        <f t="shared" ca="1" si="17"/>
        <v>0</v>
      </c>
    </row>
    <row r="334" spans="12:16" s="23" customFormat="1" ht="13.8">
      <c r="L334" s="33">
        <v>331</v>
      </c>
      <c r="M334" s="23">
        <f ca="1"/>
        <v>84588.473983448872</v>
      </c>
      <c r="N334" s="25">
        <f t="shared" si="15"/>
        <v>31343.917000000001</v>
      </c>
      <c r="O334" s="25">
        <f t="shared" ca="1" si="16"/>
        <v>0</v>
      </c>
      <c r="P334" s="47">
        <f t="shared" ca="1" si="17"/>
        <v>0</v>
      </c>
    </row>
    <row r="335" spans="12:16" s="23" customFormat="1" ht="13.8">
      <c r="L335" s="23">
        <v>332</v>
      </c>
      <c r="M335" s="23">
        <f ca="1"/>
        <v>56594.047692263099</v>
      </c>
      <c r="N335" s="25">
        <f t="shared" si="15"/>
        <v>31343.917000000001</v>
      </c>
      <c r="O335" s="25">
        <f t="shared" ca="1" si="16"/>
        <v>0</v>
      </c>
      <c r="P335" s="47">
        <f t="shared" ca="1" si="17"/>
        <v>0</v>
      </c>
    </row>
    <row r="336" spans="12:16" s="23" customFormat="1" ht="13.8">
      <c r="L336" s="33">
        <v>333</v>
      </c>
      <c r="M336" s="23">
        <f ca="1"/>
        <v>45629.903745334523</v>
      </c>
      <c r="N336" s="25">
        <f t="shared" si="15"/>
        <v>31343.917000000001</v>
      </c>
      <c r="O336" s="25">
        <f t="shared" ca="1" si="16"/>
        <v>0</v>
      </c>
      <c r="P336" s="47">
        <f t="shared" ca="1" si="17"/>
        <v>0</v>
      </c>
    </row>
    <row r="337" spans="12:16" s="23" customFormat="1" ht="13.8">
      <c r="L337" s="23">
        <v>334</v>
      </c>
      <c r="M337" s="23">
        <f ca="1"/>
        <v>34810.108584880843</v>
      </c>
      <c r="N337" s="25">
        <f t="shared" si="15"/>
        <v>31343.917000000001</v>
      </c>
      <c r="O337" s="25">
        <f t="shared" ca="1" si="16"/>
        <v>0</v>
      </c>
      <c r="P337" s="47">
        <f t="shared" ca="1" si="17"/>
        <v>0</v>
      </c>
    </row>
    <row r="338" spans="12:16" s="23" customFormat="1" ht="13.8">
      <c r="L338" s="33">
        <v>335</v>
      </c>
      <c r="M338" s="23">
        <f ca="1"/>
        <v>55529.877703216793</v>
      </c>
      <c r="N338" s="25">
        <f t="shared" si="15"/>
        <v>31343.917000000001</v>
      </c>
      <c r="O338" s="25">
        <f t="shared" ca="1" si="16"/>
        <v>0</v>
      </c>
      <c r="P338" s="47">
        <f t="shared" ca="1" si="17"/>
        <v>0</v>
      </c>
    </row>
    <row r="339" spans="12:16" s="23" customFormat="1" ht="13.8">
      <c r="L339" s="23">
        <v>336</v>
      </c>
      <c r="M339" s="23">
        <f ca="1"/>
        <v>52492.413311034856</v>
      </c>
      <c r="N339" s="25">
        <f t="shared" si="15"/>
        <v>31343.917000000001</v>
      </c>
      <c r="O339" s="25">
        <f t="shared" ca="1" si="16"/>
        <v>0</v>
      </c>
      <c r="P339" s="47">
        <f t="shared" ca="1" si="17"/>
        <v>0</v>
      </c>
    </row>
    <row r="340" spans="12:16" s="23" customFormat="1" ht="13.8">
      <c r="L340" s="33">
        <v>337</v>
      </c>
      <c r="M340" s="23">
        <f ca="1"/>
        <v>47691.989015746432</v>
      </c>
      <c r="N340" s="25">
        <f t="shared" si="15"/>
        <v>31343.917000000001</v>
      </c>
      <c r="O340" s="25">
        <f t="shared" ca="1" si="16"/>
        <v>0</v>
      </c>
      <c r="P340" s="47">
        <f t="shared" ca="1" si="17"/>
        <v>0</v>
      </c>
    </row>
    <row r="341" spans="12:16" s="23" customFormat="1" ht="13.8">
      <c r="L341" s="23">
        <v>338</v>
      </c>
      <c r="M341" s="23">
        <f ca="1"/>
        <v>40770.394507301346</v>
      </c>
      <c r="N341" s="25">
        <f t="shared" si="15"/>
        <v>31343.917000000001</v>
      </c>
      <c r="O341" s="25">
        <f t="shared" ca="1" si="16"/>
        <v>0</v>
      </c>
      <c r="P341" s="47">
        <f t="shared" ca="1" si="17"/>
        <v>0</v>
      </c>
    </row>
    <row r="342" spans="12:16" s="23" customFormat="1" ht="13.8">
      <c r="L342" s="33">
        <v>339</v>
      </c>
      <c r="M342" s="23">
        <f ca="1"/>
        <v>42550.538123785176</v>
      </c>
      <c r="N342" s="25">
        <f t="shared" si="15"/>
        <v>31343.917000000001</v>
      </c>
      <c r="O342" s="25">
        <f t="shared" ca="1" si="16"/>
        <v>0</v>
      </c>
      <c r="P342" s="47">
        <f t="shared" ca="1" si="17"/>
        <v>0</v>
      </c>
    </row>
    <row r="343" spans="12:16" s="23" customFormat="1" ht="13.8">
      <c r="L343" s="23">
        <v>340</v>
      </c>
      <c r="M343" s="23">
        <f ca="1"/>
        <v>42079.351504542741</v>
      </c>
      <c r="N343" s="25">
        <f t="shared" si="15"/>
        <v>31343.917000000001</v>
      </c>
      <c r="O343" s="25">
        <f t="shared" ca="1" si="16"/>
        <v>0</v>
      </c>
      <c r="P343" s="47">
        <f t="shared" ca="1" si="17"/>
        <v>0</v>
      </c>
    </row>
    <row r="344" spans="12:16" s="23" customFormat="1" ht="13.8">
      <c r="L344" s="33">
        <v>341</v>
      </c>
      <c r="M344" s="23">
        <f ca="1"/>
        <v>38245.123922641622</v>
      </c>
      <c r="N344" s="25">
        <f t="shared" si="15"/>
        <v>31343.917000000001</v>
      </c>
      <c r="O344" s="25">
        <f t="shared" ca="1" si="16"/>
        <v>0</v>
      </c>
      <c r="P344" s="47">
        <f t="shared" ca="1" si="17"/>
        <v>0</v>
      </c>
    </row>
    <row r="345" spans="12:16" s="23" customFormat="1" ht="13.8">
      <c r="L345" s="23">
        <v>342</v>
      </c>
      <c r="M345" s="23">
        <f ca="1"/>
        <v>80941.14666532859</v>
      </c>
      <c r="N345" s="25">
        <f t="shared" si="15"/>
        <v>31343.917000000001</v>
      </c>
      <c r="O345" s="25">
        <f t="shared" ca="1" si="16"/>
        <v>0</v>
      </c>
      <c r="P345" s="47">
        <f t="shared" ca="1" si="17"/>
        <v>0</v>
      </c>
    </row>
    <row r="346" spans="12:16" s="23" customFormat="1" ht="13.8">
      <c r="L346" s="33">
        <v>343</v>
      </c>
      <c r="M346" s="23">
        <f ca="1"/>
        <v>30349.326479795862</v>
      </c>
      <c r="N346" s="25">
        <f t="shared" si="15"/>
        <v>31343.917000000001</v>
      </c>
      <c r="O346" s="25">
        <f t="shared" ca="1" si="16"/>
        <v>1</v>
      </c>
      <c r="P346" s="47">
        <f t="shared" ca="1" si="17"/>
        <v>3.1731532475795528E-2</v>
      </c>
    </row>
    <row r="347" spans="12:16" s="23" customFormat="1" ht="13.8">
      <c r="L347" s="23">
        <v>344</v>
      </c>
      <c r="M347" s="23">
        <f ca="1"/>
        <v>44431.787939464513</v>
      </c>
      <c r="N347" s="25">
        <f t="shared" si="15"/>
        <v>31343.917000000001</v>
      </c>
      <c r="O347" s="25">
        <f t="shared" ca="1" si="16"/>
        <v>0</v>
      </c>
      <c r="P347" s="47">
        <f t="shared" ca="1" si="17"/>
        <v>0</v>
      </c>
    </row>
    <row r="348" spans="12:16" s="23" customFormat="1" ht="13.8">
      <c r="L348" s="33">
        <v>345</v>
      </c>
      <c r="M348" s="23">
        <f ca="1"/>
        <v>46338.240279471094</v>
      </c>
      <c r="N348" s="25">
        <f t="shared" si="15"/>
        <v>31343.917000000001</v>
      </c>
      <c r="O348" s="25">
        <f t="shared" ca="1" si="16"/>
        <v>0</v>
      </c>
      <c r="P348" s="47">
        <f t="shared" ca="1" si="17"/>
        <v>0</v>
      </c>
    </row>
    <row r="349" spans="12:16" s="23" customFormat="1" ht="13.8">
      <c r="L349" s="23">
        <v>346</v>
      </c>
      <c r="M349" s="23">
        <f ca="1"/>
        <v>74206.981974735711</v>
      </c>
      <c r="N349" s="25">
        <f t="shared" si="15"/>
        <v>31343.917000000001</v>
      </c>
      <c r="O349" s="25">
        <f t="shared" ca="1" si="16"/>
        <v>0</v>
      </c>
      <c r="P349" s="47">
        <f t="shared" ca="1" si="17"/>
        <v>0</v>
      </c>
    </row>
    <row r="350" spans="12:16" s="23" customFormat="1" ht="13.8">
      <c r="L350" s="33">
        <v>347</v>
      </c>
      <c r="M350" s="23">
        <f ca="1"/>
        <v>45573.902761789526</v>
      </c>
      <c r="N350" s="25">
        <f t="shared" si="15"/>
        <v>31343.917000000001</v>
      </c>
      <c r="O350" s="25">
        <f t="shared" ca="1" si="16"/>
        <v>0</v>
      </c>
      <c r="P350" s="47">
        <f t="shared" ca="1" si="17"/>
        <v>0</v>
      </c>
    </row>
    <row r="351" spans="12:16" s="23" customFormat="1" ht="13.8">
      <c r="L351" s="23">
        <v>348</v>
      </c>
      <c r="M351" s="23">
        <f ca="1"/>
        <v>62442.021851669968</v>
      </c>
      <c r="N351" s="25">
        <f t="shared" si="15"/>
        <v>31343.917000000001</v>
      </c>
      <c r="O351" s="25">
        <f t="shared" ca="1" si="16"/>
        <v>0</v>
      </c>
      <c r="P351" s="47">
        <f t="shared" ca="1" si="17"/>
        <v>0</v>
      </c>
    </row>
    <row r="352" spans="12:16" s="23" customFormat="1" ht="13.8">
      <c r="L352" s="33">
        <v>349</v>
      </c>
      <c r="M352" s="23">
        <f ca="1"/>
        <v>62638.283606113349</v>
      </c>
      <c r="N352" s="25">
        <f t="shared" si="15"/>
        <v>31343.917000000001</v>
      </c>
      <c r="O352" s="25">
        <f t="shared" ca="1" si="16"/>
        <v>0</v>
      </c>
      <c r="P352" s="47">
        <f t="shared" ca="1" si="17"/>
        <v>0</v>
      </c>
    </row>
    <row r="353" spans="12:16" s="23" customFormat="1" ht="13.8">
      <c r="L353" s="23">
        <v>350</v>
      </c>
      <c r="M353" s="23">
        <f ca="1"/>
        <v>51738.803546839867</v>
      </c>
      <c r="N353" s="25">
        <f t="shared" si="15"/>
        <v>31343.917000000001</v>
      </c>
      <c r="O353" s="25">
        <f t="shared" ca="1" si="16"/>
        <v>0</v>
      </c>
      <c r="P353" s="47">
        <f t="shared" ca="1" si="17"/>
        <v>0</v>
      </c>
    </row>
    <row r="354" spans="12:16" s="23" customFormat="1" ht="13.8">
      <c r="L354" s="33">
        <v>351</v>
      </c>
      <c r="M354" s="23">
        <f ca="1"/>
        <v>28241.767579553707</v>
      </c>
      <c r="N354" s="25">
        <f t="shared" si="15"/>
        <v>31343.917000000001</v>
      </c>
      <c r="O354" s="25">
        <f t="shared" ca="1" si="16"/>
        <v>1</v>
      </c>
      <c r="P354" s="47">
        <f t="shared" ca="1" si="17"/>
        <v>9.8971338535840753E-2</v>
      </c>
    </row>
    <row r="355" spans="12:16" s="23" customFormat="1" ht="13.8">
      <c r="L355" s="23">
        <v>352</v>
      </c>
      <c r="M355" s="23">
        <f ca="1"/>
        <v>60313.542435170632</v>
      </c>
      <c r="N355" s="25">
        <f t="shared" si="15"/>
        <v>31343.917000000001</v>
      </c>
      <c r="O355" s="25">
        <f t="shared" ca="1" si="16"/>
        <v>0</v>
      </c>
      <c r="P355" s="47">
        <f t="shared" ca="1" si="17"/>
        <v>0</v>
      </c>
    </row>
    <row r="356" spans="12:16" s="23" customFormat="1" ht="13.8">
      <c r="L356" s="33">
        <v>353</v>
      </c>
      <c r="M356" s="23">
        <f ca="1"/>
        <v>28153.8585819849</v>
      </c>
      <c r="N356" s="25">
        <f t="shared" si="15"/>
        <v>31343.917000000001</v>
      </c>
      <c r="O356" s="25">
        <f t="shared" ca="1" si="16"/>
        <v>1</v>
      </c>
      <c r="P356" s="47">
        <f t="shared" ca="1" si="17"/>
        <v>0.10177599749307344</v>
      </c>
    </row>
    <row r="357" spans="12:16" s="23" customFormat="1" ht="13.8">
      <c r="L357" s="23">
        <v>354</v>
      </c>
      <c r="M357" s="23">
        <f ca="1"/>
        <v>67702.840017516806</v>
      </c>
      <c r="N357" s="25">
        <f t="shared" si="15"/>
        <v>31343.917000000001</v>
      </c>
      <c r="O357" s="25">
        <f t="shared" ca="1" si="16"/>
        <v>0</v>
      </c>
      <c r="P357" s="47">
        <f t="shared" ca="1" si="17"/>
        <v>0</v>
      </c>
    </row>
    <row r="358" spans="12:16" s="23" customFormat="1" ht="13.8">
      <c r="L358" s="33">
        <v>355</v>
      </c>
      <c r="M358" s="23">
        <f ca="1"/>
        <v>42709.400362646687</v>
      </c>
      <c r="N358" s="25">
        <f t="shared" si="15"/>
        <v>31343.917000000001</v>
      </c>
      <c r="O358" s="25">
        <f t="shared" ca="1" si="16"/>
        <v>0</v>
      </c>
      <c r="P358" s="47">
        <f t="shared" ca="1" si="17"/>
        <v>0</v>
      </c>
    </row>
    <row r="359" spans="12:16" s="23" customFormat="1" ht="13.8">
      <c r="L359" s="23">
        <v>356</v>
      </c>
      <c r="M359" s="23">
        <f ca="1"/>
        <v>29534.433529299633</v>
      </c>
      <c r="N359" s="25">
        <f t="shared" si="15"/>
        <v>31343.917000000001</v>
      </c>
      <c r="O359" s="25">
        <f t="shared" ca="1" si="16"/>
        <v>1</v>
      </c>
      <c r="P359" s="47">
        <f t="shared" ca="1" si="17"/>
        <v>5.7729972635531424E-2</v>
      </c>
    </row>
    <row r="360" spans="12:16" s="23" customFormat="1" ht="13.8">
      <c r="L360" s="33">
        <v>357</v>
      </c>
      <c r="M360" s="23">
        <f ca="1"/>
        <v>34855.776330423745</v>
      </c>
      <c r="N360" s="25">
        <f t="shared" si="15"/>
        <v>31343.917000000001</v>
      </c>
      <c r="O360" s="25">
        <f t="shared" ca="1" si="16"/>
        <v>0</v>
      </c>
      <c r="P360" s="47">
        <f t="shared" ca="1" si="17"/>
        <v>0</v>
      </c>
    </row>
    <row r="361" spans="12:16" s="23" customFormat="1" ht="13.8">
      <c r="L361" s="23">
        <v>358</v>
      </c>
      <c r="M361" s="23">
        <f ca="1"/>
        <v>62848.053377928598</v>
      </c>
      <c r="N361" s="25">
        <f t="shared" si="15"/>
        <v>31343.917000000001</v>
      </c>
      <c r="O361" s="25">
        <f t="shared" ca="1" si="16"/>
        <v>0</v>
      </c>
      <c r="P361" s="47">
        <f t="shared" ca="1" si="17"/>
        <v>0</v>
      </c>
    </row>
    <row r="362" spans="12:16" s="23" customFormat="1" ht="13.8">
      <c r="L362" s="33">
        <v>359</v>
      </c>
      <c r="M362" s="23">
        <f ca="1"/>
        <v>48394.546115519363</v>
      </c>
      <c r="N362" s="25">
        <f t="shared" si="15"/>
        <v>31343.917000000001</v>
      </c>
      <c r="O362" s="25">
        <f t="shared" ca="1" si="16"/>
        <v>0</v>
      </c>
      <c r="P362" s="47">
        <f t="shared" ca="1" si="17"/>
        <v>0</v>
      </c>
    </row>
    <row r="363" spans="12:16" s="23" customFormat="1" ht="13.8">
      <c r="L363" s="23">
        <v>360</v>
      </c>
      <c r="M363" s="23">
        <f ca="1"/>
        <v>45048.43867805208</v>
      </c>
      <c r="N363" s="25">
        <f t="shared" si="15"/>
        <v>31343.917000000001</v>
      </c>
      <c r="O363" s="25">
        <f t="shared" ca="1" si="16"/>
        <v>0</v>
      </c>
      <c r="P363" s="47">
        <f t="shared" ca="1" si="17"/>
        <v>0</v>
      </c>
    </row>
    <row r="364" spans="12:16" s="23" customFormat="1" ht="13.8">
      <c r="L364" s="33">
        <v>361</v>
      </c>
      <c r="M364" s="23">
        <f ca="1"/>
        <v>39743.979276049016</v>
      </c>
      <c r="N364" s="25">
        <f t="shared" si="15"/>
        <v>31343.917000000001</v>
      </c>
      <c r="O364" s="25">
        <f t="shared" ca="1" si="16"/>
        <v>0</v>
      </c>
      <c r="P364" s="47">
        <f t="shared" ca="1" si="17"/>
        <v>0</v>
      </c>
    </row>
    <row r="365" spans="12:16" s="23" customFormat="1" ht="13.8">
      <c r="L365" s="23">
        <v>362</v>
      </c>
      <c r="M365" s="23">
        <f ca="1"/>
        <v>15459.380703251065</v>
      </c>
      <c r="N365" s="25">
        <f t="shared" si="15"/>
        <v>31343.917000000001</v>
      </c>
      <c r="O365" s="25">
        <f t="shared" ca="1" si="16"/>
        <v>1</v>
      </c>
      <c r="P365" s="47">
        <f t="shared" ca="1" si="17"/>
        <v>0.50678210693159176</v>
      </c>
    </row>
    <row r="366" spans="12:16" s="23" customFormat="1" ht="13.8">
      <c r="L366" s="33">
        <v>363</v>
      </c>
      <c r="M366" s="23">
        <f ca="1"/>
        <v>59400.154982526787</v>
      </c>
      <c r="N366" s="25">
        <f t="shared" si="15"/>
        <v>31343.917000000001</v>
      </c>
      <c r="O366" s="25">
        <f t="shared" ca="1" si="16"/>
        <v>0</v>
      </c>
      <c r="P366" s="47">
        <f t="shared" ca="1" si="17"/>
        <v>0</v>
      </c>
    </row>
    <row r="367" spans="12:16" s="23" customFormat="1" ht="13.8">
      <c r="L367" s="23">
        <v>364</v>
      </c>
      <c r="M367" s="23">
        <f ca="1"/>
        <v>68366.425199516729</v>
      </c>
      <c r="N367" s="25">
        <f t="shared" si="15"/>
        <v>31343.917000000001</v>
      </c>
      <c r="O367" s="25">
        <f t="shared" ca="1" si="16"/>
        <v>0</v>
      </c>
      <c r="P367" s="47">
        <f t="shared" ca="1" si="17"/>
        <v>0</v>
      </c>
    </row>
    <row r="368" spans="12:16" s="23" customFormat="1" ht="13.8">
      <c r="L368" s="33">
        <v>365</v>
      </c>
      <c r="M368" s="23">
        <f ca="1"/>
        <v>56511.108304806847</v>
      </c>
      <c r="N368" s="25">
        <f t="shared" si="15"/>
        <v>31343.917000000001</v>
      </c>
      <c r="O368" s="25">
        <f t="shared" ca="1" si="16"/>
        <v>0</v>
      </c>
      <c r="P368" s="47">
        <f t="shared" ca="1" si="17"/>
        <v>0</v>
      </c>
    </row>
    <row r="369" spans="12:16" s="23" customFormat="1" ht="13.8">
      <c r="L369" s="23">
        <v>366</v>
      </c>
      <c r="M369" s="23">
        <f ca="1"/>
        <v>61401.743179014054</v>
      </c>
      <c r="N369" s="25">
        <f t="shared" si="15"/>
        <v>31343.917000000001</v>
      </c>
      <c r="O369" s="25">
        <f t="shared" ca="1" si="16"/>
        <v>0</v>
      </c>
      <c r="P369" s="47">
        <f t="shared" ca="1" si="17"/>
        <v>0</v>
      </c>
    </row>
    <row r="370" spans="12:16" s="23" customFormat="1" ht="13.8">
      <c r="L370" s="33">
        <v>367</v>
      </c>
      <c r="M370" s="23">
        <f ca="1"/>
        <v>47399.986918354967</v>
      </c>
      <c r="N370" s="25">
        <f t="shared" si="15"/>
        <v>31343.917000000001</v>
      </c>
      <c r="O370" s="25">
        <f t="shared" ca="1" si="16"/>
        <v>0</v>
      </c>
      <c r="P370" s="47">
        <f t="shared" ca="1" si="17"/>
        <v>0</v>
      </c>
    </row>
    <row r="371" spans="12:16" s="23" customFormat="1" ht="13.8">
      <c r="L371" s="23">
        <v>368</v>
      </c>
      <c r="M371" s="23">
        <f ca="1"/>
        <v>34086.305591649223</v>
      </c>
      <c r="N371" s="25">
        <f t="shared" si="15"/>
        <v>31343.917000000001</v>
      </c>
      <c r="O371" s="25">
        <f t="shared" ca="1" si="16"/>
        <v>0</v>
      </c>
      <c r="P371" s="47">
        <f t="shared" ca="1" si="17"/>
        <v>0</v>
      </c>
    </row>
    <row r="372" spans="12:16" s="23" customFormat="1" ht="13.8">
      <c r="L372" s="33">
        <v>369</v>
      </c>
      <c r="M372" s="23">
        <f ca="1"/>
        <v>40225.212048113513</v>
      </c>
      <c r="N372" s="25">
        <f t="shared" si="15"/>
        <v>31343.917000000001</v>
      </c>
      <c r="O372" s="25">
        <f t="shared" ca="1" si="16"/>
        <v>0</v>
      </c>
      <c r="P372" s="47">
        <f t="shared" ca="1" si="17"/>
        <v>0</v>
      </c>
    </row>
    <row r="373" spans="12:16" s="23" customFormat="1" ht="13.8">
      <c r="L373" s="23">
        <v>370</v>
      </c>
      <c r="M373" s="23">
        <f ca="1"/>
        <v>59618.715518029967</v>
      </c>
      <c r="N373" s="25">
        <f t="shared" si="15"/>
        <v>31343.917000000001</v>
      </c>
      <c r="O373" s="25">
        <f t="shared" ca="1" si="16"/>
        <v>0</v>
      </c>
      <c r="P373" s="47">
        <f t="shared" ca="1" si="17"/>
        <v>0</v>
      </c>
    </row>
    <row r="374" spans="12:16" s="23" customFormat="1" ht="13.8">
      <c r="L374" s="33">
        <v>371</v>
      </c>
      <c r="M374" s="23">
        <f ca="1"/>
        <v>51395.932255585365</v>
      </c>
      <c r="N374" s="25">
        <f t="shared" si="15"/>
        <v>31343.917000000001</v>
      </c>
      <c r="O374" s="25">
        <f t="shared" ca="1" si="16"/>
        <v>0</v>
      </c>
      <c r="P374" s="47">
        <f t="shared" ca="1" si="17"/>
        <v>0</v>
      </c>
    </row>
    <row r="375" spans="12:16" s="23" customFormat="1" ht="13.8">
      <c r="L375" s="23">
        <v>372</v>
      </c>
      <c r="M375" s="23">
        <f ca="1"/>
        <v>57722.196578020754</v>
      </c>
      <c r="N375" s="25">
        <f t="shared" si="15"/>
        <v>31343.917000000001</v>
      </c>
      <c r="O375" s="25">
        <f t="shared" ca="1" si="16"/>
        <v>0</v>
      </c>
      <c r="P375" s="47">
        <f t="shared" ca="1" si="17"/>
        <v>0</v>
      </c>
    </row>
    <row r="376" spans="12:16" s="23" customFormat="1" ht="13.8">
      <c r="L376" s="33">
        <v>373</v>
      </c>
      <c r="M376" s="23">
        <f ca="1"/>
        <v>72732.305861227782</v>
      </c>
      <c r="N376" s="25">
        <f t="shared" si="15"/>
        <v>31343.917000000001</v>
      </c>
      <c r="O376" s="25">
        <f t="shared" ca="1" si="16"/>
        <v>0</v>
      </c>
      <c r="P376" s="47">
        <f t="shared" ca="1" si="17"/>
        <v>0</v>
      </c>
    </row>
    <row r="377" spans="12:16" s="23" customFormat="1" ht="13.8">
      <c r="L377" s="23">
        <v>374</v>
      </c>
      <c r="M377" s="23">
        <f ca="1"/>
        <v>50161.593810645834</v>
      </c>
      <c r="N377" s="25">
        <f t="shared" si="15"/>
        <v>31343.917000000001</v>
      </c>
      <c r="O377" s="25">
        <f t="shared" ca="1" si="16"/>
        <v>0</v>
      </c>
      <c r="P377" s="47">
        <f t="shared" ca="1" si="17"/>
        <v>0</v>
      </c>
    </row>
    <row r="378" spans="12:16" s="23" customFormat="1" ht="13.8">
      <c r="L378" s="33">
        <v>375</v>
      </c>
      <c r="M378" s="23">
        <f ca="1"/>
        <v>19649.520289894295</v>
      </c>
      <c r="N378" s="25">
        <f t="shared" si="15"/>
        <v>31343.917000000001</v>
      </c>
      <c r="O378" s="25">
        <f t="shared" ca="1" si="16"/>
        <v>1</v>
      </c>
      <c r="P378" s="47">
        <f t="shared" ca="1" si="17"/>
        <v>0.37309940267215824</v>
      </c>
    </row>
    <row r="379" spans="12:16" s="23" customFormat="1" ht="13.8">
      <c r="L379" s="23">
        <v>376</v>
      </c>
      <c r="M379" s="23">
        <f ca="1"/>
        <v>52192.249621682786</v>
      </c>
      <c r="N379" s="25">
        <f t="shared" si="15"/>
        <v>31343.917000000001</v>
      </c>
      <c r="O379" s="25">
        <f t="shared" ca="1" si="16"/>
        <v>0</v>
      </c>
      <c r="P379" s="47">
        <f t="shared" ca="1" si="17"/>
        <v>0</v>
      </c>
    </row>
    <row r="380" spans="12:16" s="23" customFormat="1" ht="13.8">
      <c r="L380" s="33">
        <v>377</v>
      </c>
      <c r="M380" s="23">
        <f ca="1"/>
        <v>56737.033899377129</v>
      </c>
      <c r="N380" s="25">
        <f t="shared" si="15"/>
        <v>31343.917000000001</v>
      </c>
      <c r="O380" s="25">
        <f t="shared" ca="1" si="16"/>
        <v>0</v>
      </c>
      <c r="P380" s="47">
        <f t="shared" ca="1" si="17"/>
        <v>0</v>
      </c>
    </row>
    <row r="381" spans="12:16" s="23" customFormat="1" ht="13.8">
      <c r="L381" s="23">
        <v>378</v>
      </c>
      <c r="M381" s="23">
        <f ca="1"/>
        <v>29434.810143861527</v>
      </c>
      <c r="N381" s="25">
        <f t="shared" si="15"/>
        <v>31343.917000000001</v>
      </c>
      <c r="O381" s="25">
        <f t="shared" ca="1" si="16"/>
        <v>1</v>
      </c>
      <c r="P381" s="47">
        <f t="shared" ca="1" si="17"/>
        <v>6.0908368795721174E-2</v>
      </c>
    </row>
    <row r="382" spans="12:16" s="23" customFormat="1" ht="13.8">
      <c r="L382" s="33">
        <v>379</v>
      </c>
      <c r="M382" s="23">
        <f ca="1"/>
        <v>70894.586262407305</v>
      </c>
      <c r="N382" s="25">
        <f t="shared" si="15"/>
        <v>31343.917000000001</v>
      </c>
      <c r="O382" s="25">
        <f t="shared" ca="1" si="16"/>
        <v>0</v>
      </c>
      <c r="P382" s="47">
        <f t="shared" ca="1" si="17"/>
        <v>0</v>
      </c>
    </row>
    <row r="383" spans="12:16" s="23" customFormat="1" ht="13.8">
      <c r="L383" s="23">
        <v>380</v>
      </c>
      <c r="M383" s="23">
        <f ca="1"/>
        <v>13170.502648396088</v>
      </c>
      <c r="N383" s="25">
        <f t="shared" si="15"/>
        <v>31343.917000000001</v>
      </c>
      <c r="O383" s="25">
        <f t="shared" ca="1" si="16"/>
        <v>1</v>
      </c>
      <c r="P383" s="47">
        <f t="shared" ca="1" si="17"/>
        <v>0.57980674054247627</v>
      </c>
    </row>
    <row r="384" spans="12:16" s="23" customFormat="1" ht="13.8">
      <c r="L384" s="33">
        <v>381</v>
      </c>
      <c r="M384" s="23">
        <f ca="1"/>
        <v>67773.022734094731</v>
      </c>
      <c r="N384" s="25">
        <f t="shared" si="15"/>
        <v>31343.917000000001</v>
      </c>
      <c r="O384" s="25">
        <f t="shared" ca="1" si="16"/>
        <v>0</v>
      </c>
      <c r="P384" s="47">
        <f t="shared" ca="1" si="17"/>
        <v>0</v>
      </c>
    </row>
    <row r="385" spans="12:16" s="23" customFormat="1" ht="13.8">
      <c r="L385" s="23">
        <v>382</v>
      </c>
      <c r="M385" s="23">
        <f ca="1"/>
        <v>36974.232321486408</v>
      </c>
      <c r="N385" s="25">
        <f t="shared" si="15"/>
        <v>31343.917000000001</v>
      </c>
      <c r="O385" s="25">
        <f t="shared" ca="1" si="16"/>
        <v>0</v>
      </c>
      <c r="P385" s="47">
        <f t="shared" ca="1" si="17"/>
        <v>0</v>
      </c>
    </row>
    <row r="386" spans="12:16" s="23" customFormat="1" ht="13.8">
      <c r="L386" s="33">
        <v>383</v>
      </c>
      <c r="M386" s="23">
        <f ca="1"/>
        <v>72713.364978934187</v>
      </c>
      <c r="N386" s="25">
        <f t="shared" si="15"/>
        <v>31343.917000000001</v>
      </c>
      <c r="O386" s="25">
        <f t="shared" ca="1" si="16"/>
        <v>0</v>
      </c>
      <c r="P386" s="47">
        <f t="shared" ca="1" si="17"/>
        <v>0</v>
      </c>
    </row>
    <row r="387" spans="12:16" s="23" customFormat="1" ht="13.8">
      <c r="L387" s="23">
        <v>384</v>
      </c>
      <c r="M387" s="23">
        <f ca="1"/>
        <v>53616.931996066851</v>
      </c>
      <c r="N387" s="25">
        <f t="shared" si="15"/>
        <v>31343.917000000001</v>
      </c>
      <c r="O387" s="25">
        <f t="shared" ca="1" si="16"/>
        <v>0</v>
      </c>
      <c r="P387" s="47">
        <f t="shared" ca="1" si="17"/>
        <v>0</v>
      </c>
    </row>
    <row r="388" spans="12:16" s="23" customFormat="1" ht="13.8">
      <c r="L388" s="33">
        <v>385</v>
      </c>
      <c r="M388" s="23">
        <f ca="1"/>
        <v>42086.540208352286</v>
      </c>
      <c r="N388" s="25">
        <f t="shared" ref="N388:N451" si="18">($C$23+$E$23)*1.1</f>
        <v>31343.917000000001</v>
      </c>
      <c r="O388" s="25">
        <f t="shared" ref="O388:O451" ca="1" si="19">IF(M388&lt;N388,1,0)</f>
        <v>0</v>
      </c>
      <c r="P388" s="47">
        <f t="shared" ca="1" si="17"/>
        <v>0</v>
      </c>
    </row>
    <row r="389" spans="12:16" s="23" customFormat="1" ht="13.8">
      <c r="L389" s="23">
        <v>386</v>
      </c>
      <c r="M389" s="23">
        <f ca="1"/>
        <v>33294.890287208167</v>
      </c>
      <c r="N389" s="25">
        <f t="shared" si="18"/>
        <v>31343.917000000001</v>
      </c>
      <c r="O389" s="25">
        <f t="shared" ca="1" si="19"/>
        <v>0</v>
      </c>
      <c r="P389" s="47">
        <f t="shared" ref="P389:P452" ca="1" si="20">MAX((N389-M389)/N389,0)</f>
        <v>0</v>
      </c>
    </row>
    <row r="390" spans="12:16" s="23" customFormat="1" ht="13.8">
      <c r="L390" s="33">
        <v>387</v>
      </c>
      <c r="M390" s="23">
        <f ca="1"/>
        <v>54497.389857423674</v>
      </c>
      <c r="N390" s="25">
        <f t="shared" si="18"/>
        <v>31343.917000000001</v>
      </c>
      <c r="O390" s="25">
        <f t="shared" ca="1" si="19"/>
        <v>0</v>
      </c>
      <c r="P390" s="47">
        <f t="shared" ca="1" si="20"/>
        <v>0</v>
      </c>
    </row>
    <row r="391" spans="12:16" s="23" customFormat="1" ht="13.8">
      <c r="L391" s="23">
        <v>388</v>
      </c>
      <c r="M391" s="23">
        <f ca="1"/>
        <v>29857.321888024984</v>
      </c>
      <c r="N391" s="25">
        <f t="shared" si="18"/>
        <v>31343.917000000001</v>
      </c>
      <c r="O391" s="25">
        <f t="shared" ca="1" si="19"/>
        <v>1</v>
      </c>
      <c r="P391" s="47">
        <f t="shared" ca="1" si="20"/>
        <v>4.7428504611437584E-2</v>
      </c>
    </row>
    <row r="392" spans="12:16" s="23" customFormat="1" ht="13.8">
      <c r="L392" s="33">
        <v>389</v>
      </c>
      <c r="M392" s="23">
        <f ca="1"/>
        <v>81159.760129931106</v>
      </c>
      <c r="N392" s="25">
        <f t="shared" si="18"/>
        <v>31343.917000000001</v>
      </c>
      <c r="O392" s="25">
        <f t="shared" ca="1" si="19"/>
        <v>0</v>
      </c>
      <c r="P392" s="47">
        <f t="shared" ca="1" si="20"/>
        <v>0</v>
      </c>
    </row>
    <row r="393" spans="12:16" s="23" customFormat="1" ht="13.8">
      <c r="L393" s="23">
        <v>390</v>
      </c>
      <c r="M393" s="23">
        <f ca="1"/>
        <v>59651.021869344208</v>
      </c>
      <c r="N393" s="25">
        <f t="shared" si="18"/>
        <v>31343.917000000001</v>
      </c>
      <c r="O393" s="25">
        <f t="shared" ca="1" si="19"/>
        <v>0</v>
      </c>
      <c r="P393" s="47">
        <f t="shared" ca="1" si="20"/>
        <v>0</v>
      </c>
    </row>
    <row r="394" spans="12:16" s="23" customFormat="1" ht="13.8">
      <c r="L394" s="33">
        <v>391</v>
      </c>
      <c r="M394" s="23">
        <f ca="1"/>
        <v>37530.328399199789</v>
      </c>
      <c r="N394" s="25">
        <f t="shared" si="18"/>
        <v>31343.917000000001</v>
      </c>
      <c r="O394" s="25">
        <f t="shared" ca="1" si="19"/>
        <v>0</v>
      </c>
      <c r="P394" s="47">
        <f t="shared" ca="1" si="20"/>
        <v>0</v>
      </c>
    </row>
    <row r="395" spans="12:16" s="23" customFormat="1" ht="13.8">
      <c r="L395" s="23">
        <v>392</v>
      </c>
      <c r="M395" s="23">
        <f ca="1"/>
        <v>43898.970966344052</v>
      </c>
      <c r="N395" s="25">
        <f t="shared" si="18"/>
        <v>31343.917000000001</v>
      </c>
      <c r="O395" s="25">
        <f t="shared" ca="1" si="19"/>
        <v>0</v>
      </c>
      <c r="P395" s="47">
        <f t="shared" ca="1" si="20"/>
        <v>0</v>
      </c>
    </row>
    <row r="396" spans="12:16" s="23" customFormat="1" ht="13.8">
      <c r="L396" s="33">
        <v>393</v>
      </c>
      <c r="M396" s="23">
        <f ca="1"/>
        <v>53020.951216005094</v>
      </c>
      <c r="N396" s="25">
        <f t="shared" si="18"/>
        <v>31343.917000000001</v>
      </c>
      <c r="O396" s="25">
        <f t="shared" ca="1" si="19"/>
        <v>0</v>
      </c>
      <c r="P396" s="47">
        <f t="shared" ca="1" si="20"/>
        <v>0</v>
      </c>
    </row>
    <row r="397" spans="12:16" s="23" customFormat="1" ht="13.8">
      <c r="L397" s="23">
        <v>394</v>
      </c>
      <c r="M397" s="23">
        <f ca="1"/>
        <v>35970.3511306246</v>
      </c>
      <c r="N397" s="25">
        <f t="shared" si="18"/>
        <v>31343.917000000001</v>
      </c>
      <c r="O397" s="25">
        <f t="shared" ca="1" si="19"/>
        <v>0</v>
      </c>
      <c r="P397" s="47">
        <f t="shared" ca="1" si="20"/>
        <v>0</v>
      </c>
    </row>
    <row r="398" spans="12:16" s="23" customFormat="1" ht="13.8">
      <c r="L398" s="33">
        <v>395</v>
      </c>
      <c r="M398" s="23">
        <f ca="1"/>
        <v>54196.656109866693</v>
      </c>
      <c r="N398" s="25">
        <f t="shared" si="18"/>
        <v>31343.917000000001</v>
      </c>
      <c r="O398" s="25">
        <f t="shared" ca="1" si="19"/>
        <v>0</v>
      </c>
      <c r="P398" s="47">
        <f t="shared" ca="1" si="20"/>
        <v>0</v>
      </c>
    </row>
    <row r="399" spans="12:16" s="23" customFormat="1" ht="13.8">
      <c r="L399" s="23">
        <v>396</v>
      </c>
      <c r="M399" s="23">
        <f ca="1"/>
        <v>48368.963733530218</v>
      </c>
      <c r="N399" s="25">
        <f t="shared" si="18"/>
        <v>31343.917000000001</v>
      </c>
      <c r="O399" s="25">
        <f t="shared" ca="1" si="19"/>
        <v>0</v>
      </c>
      <c r="P399" s="47">
        <f t="shared" ca="1" si="20"/>
        <v>0</v>
      </c>
    </row>
    <row r="400" spans="12:16" s="23" customFormat="1" ht="13.8">
      <c r="L400" s="33">
        <v>397</v>
      </c>
      <c r="M400" s="23">
        <f ca="1"/>
        <v>27904.481803511018</v>
      </c>
      <c r="N400" s="25">
        <f t="shared" si="18"/>
        <v>31343.917000000001</v>
      </c>
      <c r="O400" s="25">
        <f t="shared" ca="1" si="19"/>
        <v>1</v>
      </c>
      <c r="P400" s="47">
        <f t="shared" ca="1" si="20"/>
        <v>0.10973214344872669</v>
      </c>
    </row>
    <row r="401" spans="12:16" s="23" customFormat="1" ht="13.8">
      <c r="L401" s="23">
        <v>398</v>
      </c>
      <c r="M401" s="23">
        <f ca="1"/>
        <v>42229.353557075148</v>
      </c>
      <c r="N401" s="25">
        <f t="shared" si="18"/>
        <v>31343.917000000001</v>
      </c>
      <c r="O401" s="25">
        <f t="shared" ca="1" si="19"/>
        <v>0</v>
      </c>
      <c r="P401" s="47">
        <f t="shared" ca="1" si="20"/>
        <v>0</v>
      </c>
    </row>
    <row r="402" spans="12:16" s="23" customFormat="1" ht="13.8">
      <c r="L402" s="33">
        <v>399</v>
      </c>
      <c r="M402" s="23">
        <f ca="1"/>
        <v>59576.963586421873</v>
      </c>
      <c r="N402" s="25">
        <f t="shared" si="18"/>
        <v>31343.917000000001</v>
      </c>
      <c r="O402" s="25">
        <f t="shared" ca="1" si="19"/>
        <v>0</v>
      </c>
      <c r="P402" s="47">
        <f t="shared" ca="1" si="20"/>
        <v>0</v>
      </c>
    </row>
    <row r="403" spans="12:16" s="23" customFormat="1" ht="13.8">
      <c r="L403" s="23">
        <v>400</v>
      </c>
      <c r="M403" s="23">
        <f ca="1"/>
        <v>57670.547483268194</v>
      </c>
      <c r="N403" s="25">
        <f t="shared" si="18"/>
        <v>31343.917000000001</v>
      </c>
      <c r="O403" s="25">
        <f t="shared" ca="1" si="19"/>
        <v>0</v>
      </c>
      <c r="P403" s="47">
        <f t="shared" ca="1" si="20"/>
        <v>0</v>
      </c>
    </row>
    <row r="404" spans="12:16" s="23" customFormat="1" ht="13.8">
      <c r="L404" s="33">
        <v>401</v>
      </c>
      <c r="M404" s="23">
        <f ca="1"/>
        <v>33261.630251805087</v>
      </c>
      <c r="N404" s="25">
        <f t="shared" si="18"/>
        <v>31343.917000000001</v>
      </c>
      <c r="O404" s="25">
        <f t="shared" ca="1" si="19"/>
        <v>0</v>
      </c>
      <c r="P404" s="47">
        <f t="shared" ca="1" si="20"/>
        <v>0</v>
      </c>
    </row>
    <row r="405" spans="12:16" s="23" customFormat="1" ht="13.8">
      <c r="L405" s="23">
        <v>402</v>
      </c>
      <c r="M405" s="23">
        <f ca="1"/>
        <v>22652.268280593962</v>
      </c>
      <c r="N405" s="25">
        <f t="shared" si="18"/>
        <v>31343.917000000001</v>
      </c>
      <c r="O405" s="25">
        <f t="shared" ca="1" si="19"/>
        <v>1</v>
      </c>
      <c r="P405" s="47">
        <f t="shared" ca="1" si="20"/>
        <v>0.2772993789961235</v>
      </c>
    </row>
    <row r="406" spans="12:16" s="23" customFormat="1" ht="13.8">
      <c r="L406" s="33">
        <v>403</v>
      </c>
      <c r="M406" s="23">
        <f ca="1"/>
        <v>51758.874128995769</v>
      </c>
      <c r="N406" s="25">
        <f t="shared" si="18"/>
        <v>31343.917000000001</v>
      </c>
      <c r="O406" s="25">
        <f t="shared" ca="1" si="19"/>
        <v>0</v>
      </c>
      <c r="P406" s="47">
        <f t="shared" ca="1" si="20"/>
        <v>0</v>
      </c>
    </row>
    <row r="407" spans="12:16" s="23" customFormat="1" ht="13.8">
      <c r="L407" s="23">
        <v>404</v>
      </c>
      <c r="M407" s="23">
        <f ca="1"/>
        <v>35608.367167592893</v>
      </c>
      <c r="N407" s="25">
        <f t="shared" si="18"/>
        <v>31343.917000000001</v>
      </c>
      <c r="O407" s="25">
        <f t="shared" ca="1" si="19"/>
        <v>0</v>
      </c>
      <c r="P407" s="47">
        <f t="shared" ca="1" si="20"/>
        <v>0</v>
      </c>
    </row>
    <row r="408" spans="12:16" s="23" customFormat="1" ht="13.8">
      <c r="L408" s="33">
        <v>405</v>
      </c>
      <c r="M408" s="23">
        <f ca="1"/>
        <v>51129.938803098223</v>
      </c>
      <c r="N408" s="25">
        <f t="shared" si="18"/>
        <v>31343.917000000001</v>
      </c>
      <c r="O408" s="25">
        <f t="shared" ca="1" si="19"/>
        <v>0</v>
      </c>
      <c r="P408" s="47">
        <f t="shared" ca="1" si="20"/>
        <v>0</v>
      </c>
    </row>
    <row r="409" spans="12:16" s="23" customFormat="1" ht="13.8">
      <c r="L409" s="23">
        <v>406</v>
      </c>
      <c r="M409" s="23">
        <f ca="1"/>
        <v>48741.237077102807</v>
      </c>
      <c r="N409" s="25">
        <f t="shared" si="18"/>
        <v>31343.917000000001</v>
      </c>
      <c r="O409" s="25">
        <f t="shared" ca="1" si="19"/>
        <v>0</v>
      </c>
      <c r="P409" s="47">
        <f t="shared" ca="1" si="20"/>
        <v>0</v>
      </c>
    </row>
    <row r="410" spans="12:16" s="23" customFormat="1" ht="13.8">
      <c r="L410" s="33">
        <v>407</v>
      </c>
      <c r="M410" s="23">
        <f ca="1"/>
        <v>33962.43777436985</v>
      </c>
      <c r="N410" s="25">
        <f t="shared" si="18"/>
        <v>31343.917000000001</v>
      </c>
      <c r="O410" s="25">
        <f t="shared" ca="1" si="19"/>
        <v>0</v>
      </c>
      <c r="P410" s="47">
        <f t="shared" ca="1" si="20"/>
        <v>0</v>
      </c>
    </row>
    <row r="411" spans="12:16" s="23" customFormat="1" ht="13.8">
      <c r="L411" s="23">
        <v>408</v>
      </c>
      <c r="M411" s="23">
        <f ca="1"/>
        <v>52709.722756045674</v>
      </c>
      <c r="N411" s="25">
        <f t="shared" si="18"/>
        <v>31343.917000000001</v>
      </c>
      <c r="O411" s="25">
        <f t="shared" ca="1" si="19"/>
        <v>0</v>
      </c>
      <c r="P411" s="47">
        <f t="shared" ca="1" si="20"/>
        <v>0</v>
      </c>
    </row>
    <row r="412" spans="12:16" s="23" customFormat="1" ht="13.8">
      <c r="L412" s="33">
        <v>409</v>
      </c>
      <c r="M412" s="23">
        <f ca="1"/>
        <v>27666.126600640728</v>
      </c>
      <c r="N412" s="25">
        <f t="shared" si="18"/>
        <v>31343.917000000001</v>
      </c>
      <c r="O412" s="25">
        <f t="shared" ca="1" si="19"/>
        <v>1</v>
      </c>
      <c r="P412" s="47">
        <f t="shared" ca="1" si="20"/>
        <v>0.117336655765113</v>
      </c>
    </row>
    <row r="413" spans="12:16" s="23" customFormat="1" ht="13.8">
      <c r="L413" s="23">
        <v>410</v>
      </c>
      <c r="M413" s="23">
        <f ca="1"/>
        <v>34851.747953162252</v>
      </c>
      <c r="N413" s="25">
        <f t="shared" si="18"/>
        <v>31343.917000000001</v>
      </c>
      <c r="O413" s="25">
        <f t="shared" ca="1" si="19"/>
        <v>0</v>
      </c>
      <c r="P413" s="47">
        <f t="shared" ca="1" si="20"/>
        <v>0</v>
      </c>
    </row>
    <row r="414" spans="12:16" s="23" customFormat="1" ht="13.8">
      <c r="L414" s="33">
        <v>411</v>
      </c>
      <c r="M414" s="23">
        <f ca="1"/>
        <v>50872.800198055469</v>
      </c>
      <c r="N414" s="25">
        <f t="shared" si="18"/>
        <v>31343.917000000001</v>
      </c>
      <c r="O414" s="25">
        <f t="shared" ca="1" si="19"/>
        <v>0</v>
      </c>
      <c r="P414" s="47">
        <f t="shared" ca="1" si="20"/>
        <v>0</v>
      </c>
    </row>
    <row r="415" spans="12:16" s="23" customFormat="1" ht="13.8">
      <c r="L415" s="23">
        <v>412</v>
      </c>
      <c r="M415" s="23">
        <f ca="1"/>
        <v>49246.01474973416</v>
      </c>
      <c r="N415" s="25">
        <f t="shared" si="18"/>
        <v>31343.917000000001</v>
      </c>
      <c r="O415" s="25">
        <f t="shared" ca="1" si="19"/>
        <v>0</v>
      </c>
      <c r="P415" s="47">
        <f t="shared" ca="1" si="20"/>
        <v>0</v>
      </c>
    </row>
    <row r="416" spans="12:16" s="23" customFormat="1" ht="13.8">
      <c r="L416" s="33">
        <v>413</v>
      </c>
      <c r="M416" s="23">
        <f ca="1"/>
        <v>83563.720658294609</v>
      </c>
      <c r="N416" s="25">
        <f t="shared" si="18"/>
        <v>31343.917000000001</v>
      </c>
      <c r="O416" s="25">
        <f t="shared" ca="1" si="19"/>
        <v>0</v>
      </c>
      <c r="P416" s="47">
        <f t="shared" ca="1" si="20"/>
        <v>0</v>
      </c>
    </row>
    <row r="417" spans="12:16" s="23" customFormat="1" ht="13.8">
      <c r="L417" s="23">
        <v>414</v>
      </c>
      <c r="M417" s="23">
        <f ca="1"/>
        <v>21935.815638831784</v>
      </c>
      <c r="N417" s="25">
        <f t="shared" si="18"/>
        <v>31343.917000000001</v>
      </c>
      <c r="O417" s="25">
        <f t="shared" ca="1" si="19"/>
        <v>1</v>
      </c>
      <c r="P417" s="47">
        <f t="shared" ca="1" si="20"/>
        <v>0.30015716801343678</v>
      </c>
    </row>
    <row r="418" spans="12:16" s="23" customFormat="1" ht="13.8">
      <c r="L418" s="33">
        <v>415</v>
      </c>
      <c r="M418" s="23">
        <f ca="1"/>
        <v>45900.969682701965</v>
      </c>
      <c r="N418" s="25">
        <f t="shared" si="18"/>
        <v>31343.917000000001</v>
      </c>
      <c r="O418" s="25">
        <f t="shared" ca="1" si="19"/>
        <v>0</v>
      </c>
      <c r="P418" s="47">
        <f t="shared" ca="1" si="20"/>
        <v>0</v>
      </c>
    </row>
    <row r="419" spans="12:16" s="23" customFormat="1" ht="13.8">
      <c r="L419" s="23">
        <v>416</v>
      </c>
      <c r="M419" s="23">
        <f ca="1"/>
        <v>70359.183129582409</v>
      </c>
      <c r="N419" s="25">
        <f t="shared" si="18"/>
        <v>31343.917000000001</v>
      </c>
      <c r="O419" s="25">
        <f t="shared" ca="1" si="19"/>
        <v>0</v>
      </c>
      <c r="P419" s="47">
        <f t="shared" ca="1" si="20"/>
        <v>0</v>
      </c>
    </row>
    <row r="420" spans="12:16" s="23" customFormat="1" ht="13.8">
      <c r="L420" s="33">
        <v>417</v>
      </c>
      <c r="M420" s="23">
        <f ca="1"/>
        <v>61501.816693662164</v>
      </c>
      <c r="N420" s="25">
        <f t="shared" si="18"/>
        <v>31343.917000000001</v>
      </c>
      <c r="O420" s="25">
        <f t="shared" ca="1" si="19"/>
        <v>0</v>
      </c>
      <c r="P420" s="47">
        <f t="shared" ca="1" si="20"/>
        <v>0</v>
      </c>
    </row>
    <row r="421" spans="12:16" s="23" customFormat="1" ht="13.8">
      <c r="L421" s="23">
        <v>418</v>
      </c>
      <c r="M421" s="23">
        <f ca="1"/>
        <v>38405.328407585192</v>
      </c>
      <c r="N421" s="25">
        <f t="shared" si="18"/>
        <v>31343.917000000001</v>
      </c>
      <c r="O421" s="25">
        <f t="shared" ca="1" si="19"/>
        <v>0</v>
      </c>
      <c r="P421" s="47">
        <f t="shared" ca="1" si="20"/>
        <v>0</v>
      </c>
    </row>
    <row r="422" spans="12:16" s="23" customFormat="1" ht="13.8">
      <c r="L422" s="33">
        <v>419</v>
      </c>
      <c r="M422" s="23">
        <f ca="1"/>
        <v>31146.456794905604</v>
      </c>
      <c r="N422" s="25">
        <f t="shared" si="18"/>
        <v>31343.917000000001</v>
      </c>
      <c r="O422" s="25">
        <f t="shared" ca="1" si="19"/>
        <v>1</v>
      </c>
      <c r="P422" s="47">
        <f t="shared" ca="1" si="20"/>
        <v>6.2997935163750492E-3</v>
      </c>
    </row>
    <row r="423" spans="12:16" s="23" customFormat="1" ht="13.8">
      <c r="L423" s="23">
        <v>420</v>
      </c>
      <c r="M423" s="23">
        <f ca="1"/>
        <v>57530.744438068657</v>
      </c>
      <c r="N423" s="25">
        <f t="shared" si="18"/>
        <v>31343.917000000001</v>
      </c>
      <c r="O423" s="25">
        <f t="shared" ca="1" si="19"/>
        <v>0</v>
      </c>
      <c r="P423" s="47">
        <f t="shared" ca="1" si="20"/>
        <v>0</v>
      </c>
    </row>
    <row r="424" spans="12:16" s="23" customFormat="1" ht="13.8">
      <c r="L424" s="33">
        <v>421</v>
      </c>
      <c r="M424" s="23">
        <f ca="1"/>
        <v>8210.5387846706508</v>
      </c>
      <c r="N424" s="25">
        <f t="shared" si="18"/>
        <v>31343.917000000001</v>
      </c>
      <c r="O424" s="25">
        <f t="shared" ca="1" si="19"/>
        <v>1</v>
      </c>
      <c r="P424" s="47">
        <f t="shared" ca="1" si="20"/>
        <v>0.73805000872511717</v>
      </c>
    </row>
    <row r="425" spans="12:16" s="23" customFormat="1" ht="13.8">
      <c r="L425" s="23">
        <v>422</v>
      </c>
      <c r="M425" s="23">
        <f ca="1"/>
        <v>44692.409834707636</v>
      </c>
      <c r="N425" s="25">
        <f t="shared" si="18"/>
        <v>31343.917000000001</v>
      </c>
      <c r="O425" s="25">
        <f t="shared" ca="1" si="19"/>
        <v>0</v>
      </c>
      <c r="P425" s="47">
        <f t="shared" ca="1" si="20"/>
        <v>0</v>
      </c>
    </row>
    <row r="426" spans="12:16" s="23" customFormat="1" ht="13.8">
      <c r="L426" s="33">
        <v>423</v>
      </c>
      <c r="M426" s="23">
        <f ca="1"/>
        <v>87982.252339430604</v>
      </c>
      <c r="N426" s="25">
        <f t="shared" si="18"/>
        <v>31343.917000000001</v>
      </c>
      <c r="O426" s="25">
        <f t="shared" ca="1" si="19"/>
        <v>0</v>
      </c>
      <c r="P426" s="47">
        <f t="shared" ca="1" si="20"/>
        <v>0</v>
      </c>
    </row>
    <row r="427" spans="12:16" s="23" customFormat="1" ht="13.8">
      <c r="L427" s="23">
        <v>424</v>
      </c>
      <c r="M427" s="23">
        <f ca="1"/>
        <v>76973.505520923063</v>
      </c>
      <c r="N427" s="25">
        <f t="shared" si="18"/>
        <v>31343.917000000001</v>
      </c>
      <c r="O427" s="25">
        <f t="shared" ca="1" si="19"/>
        <v>0</v>
      </c>
      <c r="P427" s="47">
        <f t="shared" ca="1" si="20"/>
        <v>0</v>
      </c>
    </row>
    <row r="428" spans="12:16" s="23" customFormat="1" ht="13.8">
      <c r="L428" s="33">
        <v>425</v>
      </c>
      <c r="M428" s="23">
        <f ca="1"/>
        <v>25214.359626259498</v>
      </c>
      <c r="N428" s="25">
        <f t="shared" si="18"/>
        <v>31343.917000000001</v>
      </c>
      <c r="O428" s="25">
        <f t="shared" ca="1" si="19"/>
        <v>1</v>
      </c>
      <c r="P428" s="47">
        <f t="shared" ca="1" si="20"/>
        <v>0.19555811654747882</v>
      </c>
    </row>
    <row r="429" spans="12:16" s="23" customFormat="1" ht="13.8">
      <c r="L429" s="23">
        <v>426</v>
      </c>
      <c r="M429" s="23">
        <f ca="1"/>
        <v>49389.556273994393</v>
      </c>
      <c r="N429" s="25">
        <f t="shared" si="18"/>
        <v>31343.917000000001</v>
      </c>
      <c r="O429" s="25">
        <f t="shared" ca="1" si="19"/>
        <v>0</v>
      </c>
      <c r="P429" s="47">
        <f t="shared" ca="1" si="20"/>
        <v>0</v>
      </c>
    </row>
    <row r="430" spans="12:16" s="23" customFormat="1" ht="13.8">
      <c r="L430" s="33">
        <v>427</v>
      </c>
      <c r="M430" s="23">
        <f ca="1"/>
        <v>78731.11906643078</v>
      </c>
      <c r="N430" s="25">
        <f t="shared" si="18"/>
        <v>31343.917000000001</v>
      </c>
      <c r="O430" s="25">
        <f t="shared" ca="1" si="19"/>
        <v>0</v>
      </c>
      <c r="P430" s="47">
        <f t="shared" ca="1" si="20"/>
        <v>0</v>
      </c>
    </row>
    <row r="431" spans="12:16" s="23" customFormat="1" ht="13.8">
      <c r="L431" s="23">
        <v>428</v>
      </c>
      <c r="M431" s="23">
        <f ca="1"/>
        <v>82312.380615947026</v>
      </c>
      <c r="N431" s="25">
        <f t="shared" si="18"/>
        <v>31343.917000000001</v>
      </c>
      <c r="O431" s="25">
        <f t="shared" ca="1" si="19"/>
        <v>0</v>
      </c>
      <c r="P431" s="47">
        <f t="shared" ca="1" si="20"/>
        <v>0</v>
      </c>
    </row>
    <row r="432" spans="12:16" s="23" customFormat="1" ht="13.8">
      <c r="L432" s="33">
        <v>429</v>
      </c>
      <c r="M432" s="23">
        <f ca="1"/>
        <v>69848.860541899601</v>
      </c>
      <c r="N432" s="25">
        <f t="shared" si="18"/>
        <v>31343.917000000001</v>
      </c>
      <c r="O432" s="25">
        <f t="shared" ca="1" si="19"/>
        <v>0</v>
      </c>
      <c r="P432" s="47">
        <f t="shared" ca="1" si="20"/>
        <v>0</v>
      </c>
    </row>
    <row r="433" spans="12:16" s="23" customFormat="1" ht="13.8">
      <c r="L433" s="23">
        <v>430</v>
      </c>
      <c r="M433" s="23">
        <f ca="1"/>
        <v>23747.570921588591</v>
      </c>
      <c r="N433" s="25">
        <f t="shared" si="18"/>
        <v>31343.917000000001</v>
      </c>
      <c r="O433" s="25">
        <f t="shared" ca="1" si="19"/>
        <v>1</v>
      </c>
      <c r="P433" s="47">
        <f t="shared" ca="1" si="20"/>
        <v>0.24235471521990726</v>
      </c>
    </row>
    <row r="434" spans="12:16" s="23" customFormat="1" ht="13.8">
      <c r="L434" s="33">
        <v>431</v>
      </c>
      <c r="M434" s="23">
        <f ca="1"/>
        <v>50209.191083989397</v>
      </c>
      <c r="N434" s="25">
        <f t="shared" si="18"/>
        <v>31343.917000000001</v>
      </c>
      <c r="O434" s="25">
        <f t="shared" ca="1" si="19"/>
        <v>0</v>
      </c>
      <c r="P434" s="47">
        <f t="shared" ca="1" si="20"/>
        <v>0</v>
      </c>
    </row>
    <row r="435" spans="12:16" s="23" customFormat="1" ht="13.8">
      <c r="L435" s="23">
        <v>432</v>
      </c>
      <c r="M435" s="23">
        <f ca="1"/>
        <v>32634.115298322638</v>
      </c>
      <c r="N435" s="25">
        <f t="shared" si="18"/>
        <v>31343.917000000001</v>
      </c>
      <c r="O435" s="25">
        <f t="shared" ca="1" si="19"/>
        <v>0</v>
      </c>
      <c r="P435" s="47">
        <f t="shared" ca="1" si="20"/>
        <v>0</v>
      </c>
    </row>
    <row r="436" spans="12:16" s="23" customFormat="1" ht="13.8">
      <c r="L436" s="33">
        <v>433</v>
      </c>
      <c r="M436" s="23">
        <f ca="1"/>
        <v>55826.289940196133</v>
      </c>
      <c r="N436" s="25">
        <f t="shared" si="18"/>
        <v>31343.917000000001</v>
      </c>
      <c r="O436" s="25">
        <f t="shared" ca="1" si="19"/>
        <v>0</v>
      </c>
      <c r="P436" s="47">
        <f t="shared" ca="1" si="20"/>
        <v>0</v>
      </c>
    </row>
    <row r="437" spans="12:16" s="23" customFormat="1" ht="13.8">
      <c r="L437" s="23">
        <v>434</v>
      </c>
      <c r="M437" s="23">
        <f ca="1"/>
        <v>51039.304129188262</v>
      </c>
      <c r="N437" s="25">
        <f t="shared" si="18"/>
        <v>31343.917000000001</v>
      </c>
      <c r="O437" s="25">
        <f t="shared" ca="1" si="19"/>
        <v>0</v>
      </c>
      <c r="P437" s="47">
        <f t="shared" ca="1" si="20"/>
        <v>0</v>
      </c>
    </row>
    <row r="438" spans="12:16" s="23" customFormat="1" ht="13.8">
      <c r="L438" s="33">
        <v>435</v>
      </c>
      <c r="M438" s="23">
        <f ca="1"/>
        <v>42396.765768029822</v>
      </c>
      <c r="N438" s="25">
        <f t="shared" si="18"/>
        <v>31343.917000000001</v>
      </c>
      <c r="O438" s="25">
        <f t="shared" ca="1" si="19"/>
        <v>0</v>
      </c>
      <c r="P438" s="47">
        <f t="shared" ca="1" si="20"/>
        <v>0</v>
      </c>
    </row>
    <row r="439" spans="12:16" s="23" customFormat="1" ht="13.8">
      <c r="L439" s="23">
        <v>436</v>
      </c>
      <c r="M439" s="23">
        <f ca="1"/>
        <v>40246.536963454913</v>
      </c>
      <c r="N439" s="25">
        <f t="shared" si="18"/>
        <v>31343.917000000001</v>
      </c>
      <c r="O439" s="25">
        <f t="shared" ca="1" si="19"/>
        <v>0</v>
      </c>
      <c r="P439" s="47">
        <f t="shared" ca="1" si="20"/>
        <v>0</v>
      </c>
    </row>
    <row r="440" spans="12:16" s="23" customFormat="1" ht="13.8">
      <c r="L440" s="33">
        <v>437</v>
      </c>
      <c r="M440" s="23">
        <f ca="1"/>
        <v>69563.546191299436</v>
      </c>
      <c r="N440" s="25">
        <f t="shared" si="18"/>
        <v>31343.917000000001</v>
      </c>
      <c r="O440" s="25">
        <f t="shared" ca="1" si="19"/>
        <v>0</v>
      </c>
      <c r="P440" s="47">
        <f t="shared" ca="1" si="20"/>
        <v>0</v>
      </c>
    </row>
    <row r="441" spans="12:16" s="23" customFormat="1" ht="13.8">
      <c r="L441" s="23">
        <v>438</v>
      </c>
      <c r="M441" s="23">
        <f ca="1"/>
        <v>65862.063372669931</v>
      </c>
      <c r="N441" s="25">
        <f t="shared" si="18"/>
        <v>31343.917000000001</v>
      </c>
      <c r="O441" s="25">
        <f t="shared" ca="1" si="19"/>
        <v>0</v>
      </c>
      <c r="P441" s="47">
        <f t="shared" ca="1" si="20"/>
        <v>0</v>
      </c>
    </row>
    <row r="442" spans="12:16" s="23" customFormat="1" ht="13.8">
      <c r="L442" s="33">
        <v>439</v>
      </c>
      <c r="M442" s="23">
        <f ca="1"/>
        <v>72779.61545291364</v>
      </c>
      <c r="N442" s="25">
        <f t="shared" si="18"/>
        <v>31343.917000000001</v>
      </c>
      <c r="O442" s="25">
        <f t="shared" ca="1" si="19"/>
        <v>0</v>
      </c>
      <c r="P442" s="47">
        <f t="shared" ca="1" si="20"/>
        <v>0</v>
      </c>
    </row>
    <row r="443" spans="12:16" s="23" customFormat="1" ht="13.8">
      <c r="L443" s="23">
        <v>440</v>
      </c>
      <c r="M443" s="23">
        <f ca="1"/>
        <v>41669.658419017855</v>
      </c>
      <c r="N443" s="25">
        <f t="shared" si="18"/>
        <v>31343.917000000001</v>
      </c>
      <c r="O443" s="25">
        <f t="shared" ca="1" si="19"/>
        <v>0</v>
      </c>
      <c r="P443" s="47">
        <f t="shared" ca="1" si="20"/>
        <v>0</v>
      </c>
    </row>
    <row r="444" spans="12:16" s="23" customFormat="1" ht="13.8">
      <c r="L444" s="33">
        <v>441</v>
      </c>
      <c r="M444" s="23">
        <f ca="1"/>
        <v>80826.934346349313</v>
      </c>
      <c r="N444" s="25">
        <f t="shared" si="18"/>
        <v>31343.917000000001</v>
      </c>
      <c r="O444" s="25">
        <f t="shared" ca="1" si="19"/>
        <v>0</v>
      </c>
      <c r="P444" s="47">
        <f t="shared" ca="1" si="20"/>
        <v>0</v>
      </c>
    </row>
    <row r="445" spans="12:16" s="23" customFormat="1" ht="13.8">
      <c r="L445" s="23">
        <v>442</v>
      </c>
      <c r="M445" s="23">
        <f ca="1"/>
        <v>29990.0040421017</v>
      </c>
      <c r="N445" s="25">
        <f t="shared" si="18"/>
        <v>31343.917000000001</v>
      </c>
      <c r="O445" s="25">
        <f t="shared" ca="1" si="19"/>
        <v>1</v>
      </c>
      <c r="P445" s="47">
        <f t="shared" ca="1" si="20"/>
        <v>4.3195397623669723E-2</v>
      </c>
    </row>
    <row r="446" spans="12:16" s="23" customFormat="1" ht="13.8">
      <c r="L446" s="33">
        <v>443</v>
      </c>
      <c r="M446" s="23">
        <f ca="1"/>
        <v>44529.777702322157</v>
      </c>
      <c r="N446" s="25">
        <f t="shared" si="18"/>
        <v>31343.917000000001</v>
      </c>
      <c r="O446" s="25">
        <f t="shared" ca="1" si="19"/>
        <v>0</v>
      </c>
      <c r="P446" s="47">
        <f t="shared" ca="1" si="20"/>
        <v>0</v>
      </c>
    </row>
    <row r="447" spans="12:16" s="23" customFormat="1" ht="13.8">
      <c r="L447" s="23">
        <v>444</v>
      </c>
      <c r="M447" s="23">
        <f ca="1"/>
        <v>63637.417302491136</v>
      </c>
      <c r="N447" s="25">
        <f t="shared" si="18"/>
        <v>31343.917000000001</v>
      </c>
      <c r="O447" s="25">
        <f t="shared" ca="1" si="19"/>
        <v>0</v>
      </c>
      <c r="P447" s="47">
        <f t="shared" ca="1" si="20"/>
        <v>0</v>
      </c>
    </row>
    <row r="448" spans="12:16" s="23" customFormat="1" ht="13.8">
      <c r="L448" s="33">
        <v>445</v>
      </c>
      <c r="M448" s="23">
        <f ca="1"/>
        <v>40343.937424922595</v>
      </c>
      <c r="N448" s="25">
        <f t="shared" si="18"/>
        <v>31343.917000000001</v>
      </c>
      <c r="O448" s="25">
        <f t="shared" ca="1" si="19"/>
        <v>0</v>
      </c>
      <c r="P448" s="47">
        <f t="shared" ca="1" si="20"/>
        <v>0</v>
      </c>
    </row>
    <row r="449" spans="12:16" s="23" customFormat="1" ht="13.8">
      <c r="L449" s="23">
        <v>446</v>
      </c>
      <c r="M449" s="23">
        <f ca="1"/>
        <v>32610.460831017823</v>
      </c>
      <c r="N449" s="25">
        <f t="shared" si="18"/>
        <v>31343.917000000001</v>
      </c>
      <c r="O449" s="25">
        <f t="shared" ca="1" si="19"/>
        <v>0</v>
      </c>
      <c r="P449" s="47">
        <f t="shared" ca="1" si="20"/>
        <v>0</v>
      </c>
    </row>
    <row r="450" spans="12:16" s="23" customFormat="1" ht="13.8">
      <c r="L450" s="33">
        <v>447</v>
      </c>
      <c r="M450" s="23">
        <f ca="1"/>
        <v>41595.400426072447</v>
      </c>
      <c r="N450" s="25">
        <f t="shared" si="18"/>
        <v>31343.917000000001</v>
      </c>
      <c r="O450" s="25">
        <f t="shared" ca="1" si="19"/>
        <v>0</v>
      </c>
      <c r="P450" s="47">
        <f t="shared" ca="1" si="20"/>
        <v>0</v>
      </c>
    </row>
    <row r="451" spans="12:16" s="23" customFormat="1" ht="13.8">
      <c r="L451" s="23">
        <v>448</v>
      </c>
      <c r="M451" s="23">
        <f ca="1"/>
        <v>54921.697584002824</v>
      </c>
      <c r="N451" s="25">
        <f t="shared" si="18"/>
        <v>31343.917000000001</v>
      </c>
      <c r="O451" s="25">
        <f t="shared" ca="1" si="19"/>
        <v>0</v>
      </c>
      <c r="P451" s="47">
        <f t="shared" ca="1" si="20"/>
        <v>0</v>
      </c>
    </row>
    <row r="452" spans="12:16" s="23" customFormat="1" ht="13.8">
      <c r="L452" s="33">
        <v>449</v>
      </c>
      <c r="M452" s="23">
        <f ca="1"/>
        <v>61172.420204960777</v>
      </c>
      <c r="N452" s="25">
        <f t="shared" ref="N452:N515" si="21">($C$23+$E$23)*1.1</f>
        <v>31343.917000000001</v>
      </c>
      <c r="O452" s="25">
        <f t="shared" ref="O452:O515" ca="1" si="22">IF(M452&lt;N452,1,0)</f>
        <v>0</v>
      </c>
      <c r="P452" s="47">
        <f t="shared" ca="1" si="20"/>
        <v>0</v>
      </c>
    </row>
    <row r="453" spans="12:16" s="23" customFormat="1" ht="13.8">
      <c r="L453" s="23">
        <v>450</v>
      </c>
      <c r="M453" s="23">
        <f ca="1"/>
        <v>24827.271002618789</v>
      </c>
      <c r="N453" s="25">
        <f t="shared" si="21"/>
        <v>31343.917000000001</v>
      </c>
      <c r="O453" s="25">
        <f t="shared" ca="1" si="22"/>
        <v>1</v>
      </c>
      <c r="P453" s="47">
        <f t="shared" ref="P453:P516" ca="1" si="23">MAX((N453-M453)/N453,0)</f>
        <v>0.20790783734468199</v>
      </c>
    </row>
    <row r="454" spans="12:16" s="23" customFormat="1" ht="13.8">
      <c r="L454" s="33">
        <v>451</v>
      </c>
      <c r="M454" s="23">
        <f ca="1"/>
        <v>75708.432725045874</v>
      </c>
      <c r="N454" s="25">
        <f t="shared" si="21"/>
        <v>31343.917000000001</v>
      </c>
      <c r="O454" s="25">
        <f t="shared" ca="1" si="22"/>
        <v>0</v>
      </c>
      <c r="P454" s="47">
        <f t="shared" ca="1" si="23"/>
        <v>0</v>
      </c>
    </row>
    <row r="455" spans="12:16" s="23" customFormat="1" ht="13.8">
      <c r="L455" s="23">
        <v>452</v>
      </c>
      <c r="M455" s="23">
        <f ca="1"/>
        <v>34265.897892340676</v>
      </c>
      <c r="N455" s="25">
        <f t="shared" si="21"/>
        <v>31343.917000000001</v>
      </c>
      <c r="O455" s="25">
        <f t="shared" ca="1" si="22"/>
        <v>0</v>
      </c>
      <c r="P455" s="47">
        <f t="shared" ca="1" si="23"/>
        <v>0</v>
      </c>
    </row>
    <row r="456" spans="12:16" s="23" customFormat="1" ht="13.8">
      <c r="L456" s="33">
        <v>453</v>
      </c>
      <c r="M456" s="23">
        <f ca="1"/>
        <v>81847.489254648768</v>
      </c>
      <c r="N456" s="25">
        <f t="shared" si="21"/>
        <v>31343.917000000001</v>
      </c>
      <c r="O456" s="25">
        <f t="shared" ca="1" si="22"/>
        <v>0</v>
      </c>
      <c r="P456" s="47">
        <f t="shared" ca="1" si="23"/>
        <v>0</v>
      </c>
    </row>
    <row r="457" spans="12:16" s="23" customFormat="1" ht="13.8">
      <c r="L457" s="23">
        <v>454</v>
      </c>
      <c r="M457" s="23">
        <f ca="1"/>
        <v>39581.440386437484</v>
      </c>
      <c r="N457" s="25">
        <f t="shared" si="21"/>
        <v>31343.917000000001</v>
      </c>
      <c r="O457" s="25">
        <f t="shared" ca="1" si="22"/>
        <v>0</v>
      </c>
      <c r="P457" s="47">
        <f t="shared" ca="1" si="23"/>
        <v>0</v>
      </c>
    </row>
    <row r="458" spans="12:16" s="23" customFormat="1" ht="13.8">
      <c r="L458" s="33">
        <v>455</v>
      </c>
      <c r="M458" s="23">
        <f ca="1"/>
        <v>43318.134618936303</v>
      </c>
      <c r="N458" s="25">
        <f t="shared" si="21"/>
        <v>31343.917000000001</v>
      </c>
      <c r="O458" s="25">
        <f t="shared" ca="1" si="22"/>
        <v>0</v>
      </c>
      <c r="P458" s="47">
        <f t="shared" ca="1" si="23"/>
        <v>0</v>
      </c>
    </row>
    <row r="459" spans="12:16" s="23" customFormat="1" ht="13.8">
      <c r="L459" s="23">
        <v>456</v>
      </c>
      <c r="M459" s="23">
        <f ca="1"/>
        <v>5610.5903817681719</v>
      </c>
      <c r="N459" s="25">
        <f t="shared" si="21"/>
        <v>31343.917000000001</v>
      </c>
      <c r="O459" s="25">
        <f t="shared" ca="1" si="22"/>
        <v>1</v>
      </c>
      <c r="P459" s="47">
        <f t="shared" ca="1" si="23"/>
        <v>0.82099906716291482</v>
      </c>
    </row>
    <row r="460" spans="12:16" s="23" customFormat="1" ht="13.8">
      <c r="L460" s="33">
        <v>457</v>
      </c>
      <c r="M460" s="23">
        <f ca="1"/>
        <v>39324.112987922963</v>
      </c>
      <c r="N460" s="25">
        <f t="shared" si="21"/>
        <v>31343.917000000001</v>
      </c>
      <c r="O460" s="25">
        <f t="shared" ca="1" si="22"/>
        <v>0</v>
      </c>
      <c r="P460" s="47">
        <f t="shared" ca="1" si="23"/>
        <v>0</v>
      </c>
    </row>
    <row r="461" spans="12:16" s="23" customFormat="1" ht="13.8">
      <c r="L461" s="23">
        <v>458</v>
      </c>
      <c r="M461" s="23">
        <f ca="1"/>
        <v>52374.653651668028</v>
      </c>
      <c r="N461" s="25">
        <f t="shared" si="21"/>
        <v>31343.917000000001</v>
      </c>
      <c r="O461" s="25">
        <f t="shared" ca="1" si="22"/>
        <v>0</v>
      </c>
      <c r="P461" s="47">
        <f t="shared" ca="1" si="23"/>
        <v>0</v>
      </c>
    </row>
    <row r="462" spans="12:16" s="23" customFormat="1" ht="13.8">
      <c r="L462" s="33">
        <v>459</v>
      </c>
      <c r="M462" s="23">
        <f ca="1"/>
        <v>66043.069927956065</v>
      </c>
      <c r="N462" s="25">
        <f t="shared" si="21"/>
        <v>31343.917000000001</v>
      </c>
      <c r="O462" s="25">
        <f t="shared" ca="1" si="22"/>
        <v>0</v>
      </c>
      <c r="P462" s="47">
        <f t="shared" ca="1" si="23"/>
        <v>0</v>
      </c>
    </row>
    <row r="463" spans="12:16" s="23" customFormat="1" ht="13.8">
      <c r="L463" s="23">
        <v>460</v>
      </c>
      <c r="M463" s="23">
        <f ca="1"/>
        <v>47207.577428283243</v>
      </c>
      <c r="N463" s="25">
        <f t="shared" si="21"/>
        <v>31343.917000000001</v>
      </c>
      <c r="O463" s="25">
        <f t="shared" ca="1" si="22"/>
        <v>0</v>
      </c>
      <c r="P463" s="47">
        <f t="shared" ca="1" si="23"/>
        <v>0</v>
      </c>
    </row>
    <row r="464" spans="12:16" s="23" customFormat="1" ht="13.8">
      <c r="L464" s="33">
        <v>461</v>
      </c>
      <c r="M464" s="23">
        <f ca="1"/>
        <v>40810.338156225385</v>
      </c>
      <c r="N464" s="25">
        <f t="shared" si="21"/>
        <v>31343.917000000001</v>
      </c>
      <c r="O464" s="25">
        <f t="shared" ca="1" si="22"/>
        <v>0</v>
      </c>
      <c r="P464" s="47">
        <f t="shared" ca="1" si="23"/>
        <v>0</v>
      </c>
    </row>
    <row r="465" spans="12:16" s="23" customFormat="1" ht="13.8">
      <c r="L465" s="23">
        <v>462</v>
      </c>
      <c r="M465" s="23">
        <f ca="1"/>
        <v>21826.812795767804</v>
      </c>
      <c r="N465" s="25">
        <f t="shared" si="21"/>
        <v>31343.917000000001</v>
      </c>
      <c r="O465" s="25">
        <f t="shared" ca="1" si="22"/>
        <v>1</v>
      </c>
      <c r="P465" s="47">
        <f t="shared" ca="1" si="23"/>
        <v>0.30363480748855343</v>
      </c>
    </row>
    <row r="466" spans="12:16" s="23" customFormat="1" ht="13.8">
      <c r="L466" s="33">
        <v>463</v>
      </c>
      <c r="M466" s="23">
        <f ca="1"/>
        <v>54378.195653527582</v>
      </c>
      <c r="N466" s="25">
        <f t="shared" si="21"/>
        <v>31343.917000000001</v>
      </c>
      <c r="O466" s="25">
        <f t="shared" ca="1" si="22"/>
        <v>0</v>
      </c>
      <c r="P466" s="47">
        <f t="shared" ca="1" si="23"/>
        <v>0</v>
      </c>
    </row>
    <row r="467" spans="12:16" s="23" customFormat="1" ht="13.8">
      <c r="L467" s="23">
        <v>464</v>
      </c>
      <c r="M467" s="23">
        <f ca="1"/>
        <v>34356.756932252632</v>
      </c>
      <c r="N467" s="25">
        <f t="shared" si="21"/>
        <v>31343.917000000001</v>
      </c>
      <c r="O467" s="25">
        <f t="shared" ca="1" si="22"/>
        <v>0</v>
      </c>
      <c r="P467" s="47">
        <f t="shared" ca="1" si="23"/>
        <v>0</v>
      </c>
    </row>
    <row r="468" spans="12:16" s="23" customFormat="1" ht="13.8">
      <c r="L468" s="33">
        <v>465</v>
      </c>
      <c r="M468" s="23">
        <f ca="1"/>
        <v>45108.777725504013</v>
      </c>
      <c r="N468" s="25">
        <f t="shared" si="21"/>
        <v>31343.917000000001</v>
      </c>
      <c r="O468" s="25">
        <f t="shared" ca="1" si="22"/>
        <v>0</v>
      </c>
      <c r="P468" s="47">
        <f t="shared" ca="1" si="23"/>
        <v>0</v>
      </c>
    </row>
    <row r="469" spans="12:16" s="23" customFormat="1" ht="13.8">
      <c r="L469" s="23">
        <v>466</v>
      </c>
      <c r="M469" s="23">
        <f ca="1"/>
        <v>61086.407785112824</v>
      </c>
      <c r="N469" s="25">
        <f t="shared" si="21"/>
        <v>31343.917000000001</v>
      </c>
      <c r="O469" s="25">
        <f t="shared" ca="1" si="22"/>
        <v>0</v>
      </c>
      <c r="P469" s="47">
        <f t="shared" ca="1" si="23"/>
        <v>0</v>
      </c>
    </row>
    <row r="470" spans="12:16" s="23" customFormat="1" ht="13.8">
      <c r="L470" s="33">
        <v>467</v>
      </c>
      <c r="M470" s="23">
        <f ca="1"/>
        <v>74604.25894978526</v>
      </c>
      <c r="N470" s="25">
        <f t="shared" si="21"/>
        <v>31343.917000000001</v>
      </c>
      <c r="O470" s="25">
        <f t="shared" ca="1" si="22"/>
        <v>0</v>
      </c>
      <c r="P470" s="47">
        <f t="shared" ca="1" si="23"/>
        <v>0</v>
      </c>
    </row>
    <row r="471" spans="12:16" s="23" customFormat="1" ht="13.8">
      <c r="L471" s="23">
        <v>468</v>
      </c>
      <c r="M471" s="23">
        <f ca="1"/>
        <v>22980.790149817447</v>
      </c>
      <c r="N471" s="25">
        <f t="shared" si="21"/>
        <v>31343.917000000001</v>
      </c>
      <c r="O471" s="25">
        <f t="shared" ca="1" si="22"/>
        <v>1</v>
      </c>
      <c r="P471" s="47">
        <f t="shared" ca="1" si="23"/>
        <v>0.26681817879311492</v>
      </c>
    </row>
    <row r="472" spans="12:16" s="23" customFormat="1" ht="13.8">
      <c r="L472" s="33">
        <v>469</v>
      </c>
      <c r="M472" s="23">
        <f ca="1"/>
        <v>59892.625908673777</v>
      </c>
      <c r="N472" s="25">
        <f t="shared" si="21"/>
        <v>31343.917000000001</v>
      </c>
      <c r="O472" s="25">
        <f t="shared" ca="1" si="22"/>
        <v>0</v>
      </c>
      <c r="P472" s="47">
        <f t="shared" ca="1" si="23"/>
        <v>0</v>
      </c>
    </row>
    <row r="473" spans="12:16" s="23" customFormat="1" ht="13.8">
      <c r="L473" s="23">
        <v>470</v>
      </c>
      <c r="M473" s="23">
        <f ca="1"/>
        <v>71616.190836603448</v>
      </c>
      <c r="N473" s="25">
        <f t="shared" si="21"/>
        <v>31343.917000000001</v>
      </c>
      <c r="O473" s="25">
        <f t="shared" ca="1" si="22"/>
        <v>0</v>
      </c>
      <c r="P473" s="47">
        <f t="shared" ca="1" si="23"/>
        <v>0</v>
      </c>
    </row>
    <row r="474" spans="12:16" s="23" customFormat="1" ht="13.8">
      <c r="L474" s="33">
        <v>471</v>
      </c>
      <c r="M474" s="23">
        <f ca="1"/>
        <v>61353.407338430268</v>
      </c>
      <c r="N474" s="25">
        <f t="shared" si="21"/>
        <v>31343.917000000001</v>
      </c>
      <c r="O474" s="25">
        <f t="shared" ca="1" si="22"/>
        <v>0</v>
      </c>
      <c r="P474" s="47">
        <f t="shared" ca="1" si="23"/>
        <v>0</v>
      </c>
    </row>
    <row r="475" spans="12:16" s="23" customFormat="1" ht="13.8">
      <c r="L475" s="23">
        <v>472</v>
      </c>
      <c r="M475" s="23">
        <f ca="1"/>
        <v>61828.574953660012</v>
      </c>
      <c r="N475" s="25">
        <f t="shared" si="21"/>
        <v>31343.917000000001</v>
      </c>
      <c r="O475" s="25">
        <f t="shared" ca="1" si="22"/>
        <v>0</v>
      </c>
      <c r="P475" s="47">
        <f t="shared" ca="1" si="23"/>
        <v>0</v>
      </c>
    </row>
    <row r="476" spans="12:16" s="23" customFormat="1" ht="13.8">
      <c r="L476" s="33">
        <v>473</v>
      </c>
      <c r="M476" s="23">
        <f ca="1"/>
        <v>37390.26333729711</v>
      </c>
      <c r="N476" s="25">
        <f t="shared" si="21"/>
        <v>31343.917000000001</v>
      </c>
      <c r="O476" s="25">
        <f t="shared" ca="1" si="22"/>
        <v>0</v>
      </c>
      <c r="P476" s="47">
        <f t="shared" ca="1" si="23"/>
        <v>0</v>
      </c>
    </row>
    <row r="477" spans="12:16" s="23" customFormat="1" ht="13.8">
      <c r="L477" s="23">
        <v>474</v>
      </c>
      <c r="M477" s="23">
        <f ca="1"/>
        <v>48139.853498826873</v>
      </c>
      <c r="N477" s="25">
        <f t="shared" si="21"/>
        <v>31343.917000000001</v>
      </c>
      <c r="O477" s="25">
        <f t="shared" ca="1" si="22"/>
        <v>0</v>
      </c>
      <c r="P477" s="47">
        <f t="shared" ca="1" si="23"/>
        <v>0</v>
      </c>
    </row>
    <row r="478" spans="12:16" s="23" customFormat="1" ht="13.8">
      <c r="L478" s="33">
        <v>475</v>
      </c>
      <c r="M478" s="23">
        <f ca="1"/>
        <v>37368.602349408386</v>
      </c>
      <c r="N478" s="25">
        <f t="shared" si="21"/>
        <v>31343.917000000001</v>
      </c>
      <c r="O478" s="25">
        <f t="shared" ca="1" si="22"/>
        <v>0</v>
      </c>
      <c r="P478" s="47">
        <f t="shared" ca="1" si="23"/>
        <v>0</v>
      </c>
    </row>
    <row r="479" spans="12:16" s="23" customFormat="1" ht="13.8">
      <c r="L479" s="23">
        <v>476</v>
      </c>
      <c r="M479" s="23">
        <f ca="1"/>
        <v>35314.631337321145</v>
      </c>
      <c r="N479" s="25">
        <f t="shared" si="21"/>
        <v>31343.917000000001</v>
      </c>
      <c r="O479" s="25">
        <f t="shared" ca="1" si="22"/>
        <v>0</v>
      </c>
      <c r="P479" s="47">
        <f t="shared" ca="1" si="23"/>
        <v>0</v>
      </c>
    </row>
    <row r="480" spans="12:16" s="23" customFormat="1" ht="13.8">
      <c r="L480" s="33">
        <v>477</v>
      </c>
      <c r="M480" s="23">
        <f ca="1"/>
        <v>49690.032021027822</v>
      </c>
      <c r="N480" s="25">
        <f t="shared" si="21"/>
        <v>31343.917000000001</v>
      </c>
      <c r="O480" s="25">
        <f t="shared" ca="1" si="22"/>
        <v>0</v>
      </c>
      <c r="P480" s="47">
        <f t="shared" ca="1" si="23"/>
        <v>0</v>
      </c>
    </row>
    <row r="481" spans="12:16" s="23" customFormat="1" ht="13.8">
      <c r="L481" s="23">
        <v>478</v>
      </c>
      <c r="M481" s="23">
        <f ca="1"/>
        <v>50360.892856303508</v>
      </c>
      <c r="N481" s="25">
        <f t="shared" si="21"/>
        <v>31343.917000000001</v>
      </c>
      <c r="O481" s="25">
        <f t="shared" ca="1" si="22"/>
        <v>0</v>
      </c>
      <c r="P481" s="47">
        <f t="shared" ca="1" si="23"/>
        <v>0</v>
      </c>
    </row>
    <row r="482" spans="12:16" s="23" customFormat="1" ht="13.8">
      <c r="L482" s="33">
        <v>479</v>
      </c>
      <c r="M482" s="23">
        <f ca="1"/>
        <v>67902.97020068721</v>
      </c>
      <c r="N482" s="25">
        <f t="shared" si="21"/>
        <v>31343.917000000001</v>
      </c>
      <c r="O482" s="25">
        <f t="shared" ca="1" si="22"/>
        <v>0</v>
      </c>
      <c r="P482" s="47">
        <f t="shared" ca="1" si="23"/>
        <v>0</v>
      </c>
    </row>
    <row r="483" spans="12:16" s="23" customFormat="1" ht="13.8">
      <c r="L483" s="23">
        <v>480</v>
      </c>
      <c r="M483" s="23">
        <f ca="1"/>
        <v>70566.5977544138</v>
      </c>
      <c r="N483" s="25">
        <f t="shared" si="21"/>
        <v>31343.917000000001</v>
      </c>
      <c r="O483" s="25">
        <f t="shared" ca="1" si="22"/>
        <v>0</v>
      </c>
      <c r="P483" s="47">
        <f t="shared" ca="1" si="23"/>
        <v>0</v>
      </c>
    </row>
    <row r="484" spans="12:16" s="23" customFormat="1" ht="13.8">
      <c r="L484" s="33">
        <v>481</v>
      </c>
      <c r="M484" s="23">
        <f ca="1"/>
        <v>39989.725908637731</v>
      </c>
      <c r="N484" s="25">
        <f t="shared" si="21"/>
        <v>31343.917000000001</v>
      </c>
      <c r="O484" s="25">
        <f t="shared" ca="1" si="22"/>
        <v>0</v>
      </c>
      <c r="P484" s="47">
        <f t="shared" ca="1" si="23"/>
        <v>0</v>
      </c>
    </row>
    <row r="485" spans="12:16" s="23" customFormat="1" ht="13.8">
      <c r="L485" s="23">
        <v>482</v>
      </c>
      <c r="M485" s="23">
        <f ca="1"/>
        <v>37959.26932843648</v>
      </c>
      <c r="N485" s="25">
        <f t="shared" si="21"/>
        <v>31343.917000000001</v>
      </c>
      <c r="O485" s="25">
        <f t="shared" ca="1" si="22"/>
        <v>0</v>
      </c>
      <c r="P485" s="47">
        <f t="shared" ca="1" si="23"/>
        <v>0</v>
      </c>
    </row>
    <row r="486" spans="12:16" s="23" customFormat="1" ht="13.8">
      <c r="L486" s="33">
        <v>483</v>
      </c>
      <c r="M486" s="23">
        <f ca="1"/>
        <v>71049.70483142251</v>
      </c>
      <c r="N486" s="25">
        <f t="shared" si="21"/>
        <v>31343.917000000001</v>
      </c>
      <c r="O486" s="25">
        <f t="shared" ca="1" si="22"/>
        <v>0</v>
      </c>
      <c r="P486" s="47">
        <f t="shared" ca="1" si="23"/>
        <v>0</v>
      </c>
    </row>
    <row r="487" spans="12:16" s="23" customFormat="1" ht="13.8">
      <c r="L487" s="23">
        <v>484</v>
      </c>
      <c r="M487" s="23">
        <f ca="1"/>
        <v>4404.394289038737</v>
      </c>
      <c r="N487" s="25">
        <f t="shared" si="21"/>
        <v>31343.917000000001</v>
      </c>
      <c r="O487" s="25">
        <f t="shared" ca="1" si="22"/>
        <v>1</v>
      </c>
      <c r="P487" s="47">
        <f t="shared" ca="1" si="23"/>
        <v>0.85948168861477214</v>
      </c>
    </row>
    <row r="488" spans="12:16" s="23" customFormat="1" ht="13.8">
      <c r="L488" s="33">
        <v>485</v>
      </c>
      <c r="M488" s="23">
        <f ca="1"/>
        <v>51999.46683163978</v>
      </c>
      <c r="N488" s="25">
        <f t="shared" si="21"/>
        <v>31343.917000000001</v>
      </c>
      <c r="O488" s="25">
        <f t="shared" ca="1" si="22"/>
        <v>0</v>
      </c>
      <c r="P488" s="47">
        <f t="shared" ca="1" si="23"/>
        <v>0</v>
      </c>
    </row>
    <row r="489" spans="12:16" s="23" customFormat="1" ht="13.8">
      <c r="L489" s="23">
        <v>486</v>
      </c>
      <c r="M489" s="23">
        <f ca="1"/>
        <v>31983.588799769961</v>
      </c>
      <c r="N489" s="25">
        <f t="shared" si="21"/>
        <v>31343.917000000001</v>
      </c>
      <c r="O489" s="25">
        <f t="shared" ca="1" si="22"/>
        <v>0</v>
      </c>
      <c r="P489" s="47">
        <f t="shared" ca="1" si="23"/>
        <v>0</v>
      </c>
    </row>
    <row r="490" spans="12:16" s="23" customFormat="1" ht="13.8">
      <c r="L490" s="33">
        <v>487</v>
      </c>
      <c r="M490" s="23">
        <f ca="1"/>
        <v>63613.864976109013</v>
      </c>
      <c r="N490" s="25">
        <f t="shared" si="21"/>
        <v>31343.917000000001</v>
      </c>
      <c r="O490" s="25">
        <f t="shared" ca="1" si="22"/>
        <v>0</v>
      </c>
      <c r="P490" s="47">
        <f t="shared" ca="1" si="23"/>
        <v>0</v>
      </c>
    </row>
    <row r="491" spans="12:16" s="23" customFormat="1" ht="13.8">
      <c r="L491" s="23">
        <v>488</v>
      </c>
      <c r="M491" s="23">
        <f ca="1"/>
        <v>74984.652610409394</v>
      </c>
      <c r="N491" s="25">
        <f t="shared" si="21"/>
        <v>31343.917000000001</v>
      </c>
      <c r="O491" s="25">
        <f t="shared" ca="1" si="22"/>
        <v>0</v>
      </c>
      <c r="P491" s="47">
        <f t="shared" ca="1" si="23"/>
        <v>0</v>
      </c>
    </row>
    <row r="492" spans="12:16" s="23" customFormat="1" ht="13.8">
      <c r="L492" s="33">
        <v>489</v>
      </c>
      <c r="M492" s="23">
        <f ca="1"/>
        <v>79638.088819002471</v>
      </c>
      <c r="N492" s="25">
        <f t="shared" si="21"/>
        <v>31343.917000000001</v>
      </c>
      <c r="O492" s="25">
        <f t="shared" ca="1" si="22"/>
        <v>0</v>
      </c>
      <c r="P492" s="47">
        <f t="shared" ca="1" si="23"/>
        <v>0</v>
      </c>
    </row>
    <row r="493" spans="12:16" s="23" customFormat="1" ht="13.8">
      <c r="L493" s="23">
        <v>490</v>
      </c>
      <c r="M493" s="23">
        <f ca="1"/>
        <v>75582.735989490771</v>
      </c>
      <c r="N493" s="25">
        <f t="shared" si="21"/>
        <v>31343.917000000001</v>
      </c>
      <c r="O493" s="25">
        <f t="shared" ca="1" si="22"/>
        <v>0</v>
      </c>
      <c r="P493" s="47">
        <f t="shared" ca="1" si="23"/>
        <v>0</v>
      </c>
    </row>
    <row r="494" spans="12:16" s="23" customFormat="1" ht="13.8">
      <c r="L494" s="33">
        <v>491</v>
      </c>
      <c r="M494" s="23">
        <f ca="1"/>
        <v>27135.651468239648</v>
      </c>
      <c r="N494" s="25">
        <f t="shared" si="21"/>
        <v>31343.917000000001</v>
      </c>
      <c r="O494" s="25">
        <f t="shared" ca="1" si="22"/>
        <v>1</v>
      </c>
      <c r="P494" s="47">
        <f t="shared" ca="1" si="23"/>
        <v>0.13426099653595794</v>
      </c>
    </row>
    <row r="495" spans="12:16" s="23" customFormat="1" ht="13.8">
      <c r="L495" s="23">
        <v>492</v>
      </c>
      <c r="M495" s="23">
        <f ca="1"/>
        <v>4028.4503338438021</v>
      </c>
      <c r="N495" s="25">
        <f t="shared" si="21"/>
        <v>31343.917000000001</v>
      </c>
      <c r="O495" s="25">
        <f t="shared" ca="1" si="22"/>
        <v>1</v>
      </c>
      <c r="P495" s="47">
        <f t="shared" ca="1" si="23"/>
        <v>0.87147584860425065</v>
      </c>
    </row>
    <row r="496" spans="12:16" s="23" customFormat="1" ht="13.8">
      <c r="L496" s="33">
        <v>493</v>
      </c>
      <c r="M496" s="23">
        <f ca="1"/>
        <v>38655.898440193356</v>
      </c>
      <c r="N496" s="25">
        <f t="shared" si="21"/>
        <v>31343.917000000001</v>
      </c>
      <c r="O496" s="25">
        <f t="shared" ca="1" si="22"/>
        <v>0</v>
      </c>
      <c r="P496" s="47">
        <f t="shared" ca="1" si="23"/>
        <v>0</v>
      </c>
    </row>
    <row r="497" spans="12:16" s="23" customFormat="1" ht="13.8">
      <c r="L497" s="23">
        <v>494</v>
      </c>
      <c r="M497" s="23">
        <f ca="1"/>
        <v>60668.109079852395</v>
      </c>
      <c r="N497" s="25">
        <f t="shared" si="21"/>
        <v>31343.917000000001</v>
      </c>
      <c r="O497" s="25">
        <f t="shared" ca="1" si="22"/>
        <v>0</v>
      </c>
      <c r="P497" s="47">
        <f t="shared" ca="1" si="23"/>
        <v>0</v>
      </c>
    </row>
    <row r="498" spans="12:16" s="23" customFormat="1" ht="13.8">
      <c r="L498" s="33">
        <v>495</v>
      </c>
      <c r="M498" s="23">
        <f ca="1"/>
        <v>50933.566682784607</v>
      </c>
      <c r="N498" s="25">
        <f t="shared" si="21"/>
        <v>31343.917000000001</v>
      </c>
      <c r="O498" s="25">
        <f t="shared" ca="1" si="22"/>
        <v>0</v>
      </c>
      <c r="P498" s="47">
        <f t="shared" ca="1" si="23"/>
        <v>0</v>
      </c>
    </row>
    <row r="499" spans="12:16" s="23" customFormat="1" ht="13.8">
      <c r="L499" s="23">
        <v>496</v>
      </c>
      <c r="M499" s="23">
        <f ca="1"/>
        <v>81570.328062847693</v>
      </c>
      <c r="N499" s="25">
        <f t="shared" si="21"/>
        <v>31343.917000000001</v>
      </c>
      <c r="O499" s="25">
        <f t="shared" ca="1" si="22"/>
        <v>0</v>
      </c>
      <c r="P499" s="47">
        <f t="shared" ca="1" si="23"/>
        <v>0</v>
      </c>
    </row>
    <row r="500" spans="12:16" s="23" customFormat="1" ht="13.8">
      <c r="L500" s="33">
        <v>497</v>
      </c>
      <c r="M500" s="23">
        <f ca="1"/>
        <v>41817.004360643346</v>
      </c>
      <c r="N500" s="25">
        <f t="shared" si="21"/>
        <v>31343.917000000001</v>
      </c>
      <c r="O500" s="25">
        <f t="shared" ca="1" si="22"/>
        <v>0</v>
      </c>
      <c r="P500" s="47">
        <f t="shared" ca="1" si="23"/>
        <v>0</v>
      </c>
    </row>
    <row r="501" spans="12:16" s="23" customFormat="1" ht="13.8">
      <c r="L501" s="23">
        <v>498</v>
      </c>
      <c r="M501" s="23">
        <f ca="1"/>
        <v>36379.661187259575</v>
      </c>
      <c r="N501" s="25">
        <f t="shared" si="21"/>
        <v>31343.917000000001</v>
      </c>
      <c r="O501" s="25">
        <f t="shared" ca="1" si="22"/>
        <v>0</v>
      </c>
      <c r="P501" s="47">
        <f t="shared" ca="1" si="23"/>
        <v>0</v>
      </c>
    </row>
    <row r="502" spans="12:16" s="23" customFormat="1" ht="13.8">
      <c r="L502" s="33">
        <v>499</v>
      </c>
      <c r="M502" s="23">
        <f ca="1"/>
        <v>57357.370890049409</v>
      </c>
      <c r="N502" s="25">
        <f t="shared" si="21"/>
        <v>31343.917000000001</v>
      </c>
      <c r="O502" s="25">
        <f t="shared" ca="1" si="22"/>
        <v>0</v>
      </c>
      <c r="P502" s="47">
        <f t="shared" ca="1" si="23"/>
        <v>0</v>
      </c>
    </row>
    <row r="503" spans="12:16" s="23" customFormat="1" ht="13.8">
      <c r="L503" s="23">
        <v>500</v>
      </c>
      <c r="M503" s="23">
        <f ca="1"/>
        <v>925.2309952139841</v>
      </c>
      <c r="N503" s="25">
        <f t="shared" si="21"/>
        <v>31343.917000000001</v>
      </c>
      <c r="O503" s="25">
        <f t="shared" ca="1" si="22"/>
        <v>1</v>
      </c>
      <c r="P503" s="47">
        <f t="shared" ca="1" si="23"/>
        <v>0.97048132193516257</v>
      </c>
    </row>
    <row r="504" spans="12:16" s="23" customFormat="1" ht="13.8">
      <c r="L504" s="33">
        <v>501</v>
      </c>
      <c r="M504" s="23">
        <f ca="1"/>
        <v>51835.633512576584</v>
      </c>
      <c r="N504" s="25">
        <f t="shared" si="21"/>
        <v>31343.917000000001</v>
      </c>
      <c r="O504" s="25">
        <f t="shared" ca="1" si="22"/>
        <v>0</v>
      </c>
      <c r="P504" s="47">
        <f t="shared" ca="1" si="23"/>
        <v>0</v>
      </c>
    </row>
    <row r="505" spans="12:16" s="23" customFormat="1" ht="13.8">
      <c r="L505" s="23">
        <v>502</v>
      </c>
      <c r="M505" s="23">
        <f ca="1"/>
        <v>53766.052837798496</v>
      </c>
      <c r="N505" s="25">
        <f t="shared" si="21"/>
        <v>31343.917000000001</v>
      </c>
      <c r="O505" s="25">
        <f t="shared" ca="1" si="22"/>
        <v>0</v>
      </c>
      <c r="P505" s="47">
        <f t="shared" ca="1" si="23"/>
        <v>0</v>
      </c>
    </row>
    <row r="506" spans="12:16" s="23" customFormat="1" ht="13.8">
      <c r="L506" s="33">
        <v>503</v>
      </c>
      <c r="M506" s="23">
        <f ca="1"/>
        <v>35827.880562232684</v>
      </c>
      <c r="N506" s="25">
        <f t="shared" si="21"/>
        <v>31343.917000000001</v>
      </c>
      <c r="O506" s="25">
        <f t="shared" ca="1" si="22"/>
        <v>0</v>
      </c>
      <c r="P506" s="47">
        <f t="shared" ca="1" si="23"/>
        <v>0</v>
      </c>
    </row>
    <row r="507" spans="12:16" s="23" customFormat="1" ht="13.8">
      <c r="L507" s="23">
        <v>504</v>
      </c>
      <c r="M507" s="23">
        <f ca="1"/>
        <v>31289.594982576979</v>
      </c>
      <c r="N507" s="25">
        <f t="shared" si="21"/>
        <v>31343.917000000001</v>
      </c>
      <c r="O507" s="25">
        <f t="shared" ca="1" si="22"/>
        <v>1</v>
      </c>
      <c r="P507" s="47">
        <f t="shared" ca="1" si="23"/>
        <v>1.7330960078481184E-3</v>
      </c>
    </row>
    <row r="508" spans="12:16" s="23" customFormat="1" ht="13.8">
      <c r="L508" s="33">
        <v>505</v>
      </c>
      <c r="M508" s="23">
        <f ca="1"/>
        <v>73005.645406616357</v>
      </c>
      <c r="N508" s="25">
        <f t="shared" si="21"/>
        <v>31343.917000000001</v>
      </c>
      <c r="O508" s="25">
        <f t="shared" ca="1" si="22"/>
        <v>0</v>
      </c>
      <c r="P508" s="47">
        <f t="shared" ca="1" si="23"/>
        <v>0</v>
      </c>
    </row>
    <row r="509" spans="12:16" s="23" customFormat="1" ht="13.8">
      <c r="L509" s="23">
        <v>506</v>
      </c>
      <c r="M509" s="23">
        <f ca="1"/>
        <v>40793.410630443963</v>
      </c>
      <c r="N509" s="25">
        <f t="shared" si="21"/>
        <v>31343.917000000001</v>
      </c>
      <c r="O509" s="25">
        <f t="shared" ca="1" si="22"/>
        <v>0</v>
      </c>
      <c r="P509" s="47">
        <f t="shared" ca="1" si="23"/>
        <v>0</v>
      </c>
    </row>
    <row r="510" spans="12:16" s="23" customFormat="1" ht="13.8">
      <c r="L510" s="33">
        <v>507</v>
      </c>
      <c r="M510" s="23">
        <f ca="1"/>
        <v>63840.00927857546</v>
      </c>
      <c r="N510" s="25">
        <f t="shared" si="21"/>
        <v>31343.917000000001</v>
      </c>
      <c r="O510" s="25">
        <f t="shared" ca="1" si="22"/>
        <v>0</v>
      </c>
      <c r="P510" s="47">
        <f t="shared" ca="1" si="23"/>
        <v>0</v>
      </c>
    </row>
    <row r="511" spans="12:16" s="23" customFormat="1" ht="13.8">
      <c r="L511" s="23">
        <v>508</v>
      </c>
      <c r="M511" s="23">
        <f ca="1"/>
        <v>43076.607003481309</v>
      </c>
      <c r="N511" s="25">
        <f t="shared" si="21"/>
        <v>31343.917000000001</v>
      </c>
      <c r="O511" s="25">
        <f t="shared" ca="1" si="22"/>
        <v>0</v>
      </c>
      <c r="P511" s="47">
        <f t="shared" ca="1" si="23"/>
        <v>0</v>
      </c>
    </row>
    <row r="512" spans="12:16" s="23" customFormat="1" ht="13.8">
      <c r="L512" s="33">
        <v>509</v>
      </c>
      <c r="M512" s="23">
        <f ca="1"/>
        <v>57915.168190250522</v>
      </c>
      <c r="N512" s="25">
        <f t="shared" si="21"/>
        <v>31343.917000000001</v>
      </c>
      <c r="O512" s="25">
        <f t="shared" ca="1" si="22"/>
        <v>0</v>
      </c>
      <c r="P512" s="47">
        <f t="shared" ca="1" si="23"/>
        <v>0</v>
      </c>
    </row>
    <row r="513" spans="12:16" s="23" customFormat="1" ht="13.8">
      <c r="L513" s="23">
        <v>510</v>
      </c>
      <c r="M513" s="23">
        <f ca="1"/>
        <v>27314.754056660004</v>
      </c>
      <c r="N513" s="25">
        <f t="shared" si="21"/>
        <v>31343.917000000001</v>
      </c>
      <c r="O513" s="25">
        <f t="shared" ca="1" si="22"/>
        <v>1</v>
      </c>
      <c r="P513" s="47">
        <f t="shared" ca="1" si="23"/>
        <v>0.12854688657260027</v>
      </c>
    </row>
    <row r="514" spans="12:16" s="23" customFormat="1" ht="13.8">
      <c r="L514" s="33">
        <v>511</v>
      </c>
      <c r="M514" s="23">
        <f ca="1"/>
        <v>53139.179572330431</v>
      </c>
      <c r="N514" s="25">
        <f t="shared" si="21"/>
        <v>31343.917000000001</v>
      </c>
      <c r="O514" s="25">
        <f t="shared" ca="1" si="22"/>
        <v>0</v>
      </c>
      <c r="P514" s="47">
        <f t="shared" ca="1" si="23"/>
        <v>0</v>
      </c>
    </row>
    <row r="515" spans="12:16" s="23" customFormat="1" ht="13.8">
      <c r="L515" s="23">
        <v>512</v>
      </c>
      <c r="M515" s="23">
        <f ca="1"/>
        <v>66794.424124152778</v>
      </c>
      <c r="N515" s="25">
        <f t="shared" si="21"/>
        <v>31343.917000000001</v>
      </c>
      <c r="O515" s="25">
        <f t="shared" ca="1" si="22"/>
        <v>0</v>
      </c>
      <c r="P515" s="47">
        <f t="shared" ca="1" si="23"/>
        <v>0</v>
      </c>
    </row>
    <row r="516" spans="12:16" s="23" customFormat="1" ht="13.8">
      <c r="L516" s="33">
        <v>513</v>
      </c>
      <c r="M516" s="23">
        <f ca="1"/>
        <v>33819.185320355478</v>
      </c>
      <c r="N516" s="25">
        <f t="shared" ref="N516:N579" si="24">($C$23+$E$23)*1.1</f>
        <v>31343.917000000001</v>
      </c>
      <c r="O516" s="25">
        <f t="shared" ref="O516:O579" ca="1" si="25">IF(M516&lt;N516,1,0)</f>
        <v>0</v>
      </c>
      <c r="P516" s="47">
        <f t="shared" ca="1" si="23"/>
        <v>0</v>
      </c>
    </row>
    <row r="517" spans="12:16" s="23" customFormat="1" ht="13.8">
      <c r="L517" s="23">
        <v>514</v>
      </c>
      <c r="M517" s="23">
        <f ca="1"/>
        <v>22616.098971052037</v>
      </c>
      <c r="N517" s="25">
        <f t="shared" si="24"/>
        <v>31343.917000000001</v>
      </c>
      <c r="O517" s="25">
        <f t="shared" ca="1" si="25"/>
        <v>1</v>
      </c>
      <c r="P517" s="47">
        <f t="shared" ref="P517:P580" ca="1" si="26">MAX((N517-M517)/N517,0)</f>
        <v>0.27845332888509</v>
      </c>
    </row>
    <row r="518" spans="12:16" s="23" customFormat="1" ht="13.8">
      <c r="L518" s="33">
        <v>515</v>
      </c>
      <c r="M518" s="23">
        <f ca="1"/>
        <v>42774.337544906164</v>
      </c>
      <c r="N518" s="25">
        <f t="shared" si="24"/>
        <v>31343.917000000001</v>
      </c>
      <c r="O518" s="25">
        <f t="shared" ca="1" si="25"/>
        <v>0</v>
      </c>
      <c r="P518" s="47">
        <f t="shared" ca="1" si="26"/>
        <v>0</v>
      </c>
    </row>
    <row r="519" spans="12:16" s="23" customFormat="1" ht="13.8">
      <c r="L519" s="23">
        <v>516</v>
      </c>
      <c r="M519" s="23">
        <f ca="1"/>
        <v>69620.694510791363</v>
      </c>
      <c r="N519" s="25">
        <f t="shared" si="24"/>
        <v>31343.917000000001</v>
      </c>
      <c r="O519" s="25">
        <f t="shared" ca="1" si="25"/>
        <v>0</v>
      </c>
      <c r="P519" s="47">
        <f t="shared" ca="1" si="26"/>
        <v>0</v>
      </c>
    </row>
    <row r="520" spans="12:16" s="23" customFormat="1" ht="13.8">
      <c r="L520" s="33">
        <v>517</v>
      </c>
      <c r="M520" s="23">
        <f ca="1"/>
        <v>58257.154832918866</v>
      </c>
      <c r="N520" s="25">
        <f t="shared" si="24"/>
        <v>31343.917000000001</v>
      </c>
      <c r="O520" s="25">
        <f t="shared" ca="1" si="25"/>
        <v>0</v>
      </c>
      <c r="P520" s="47">
        <f t="shared" ca="1" si="26"/>
        <v>0</v>
      </c>
    </row>
    <row r="521" spans="12:16" s="23" customFormat="1" ht="13.8">
      <c r="L521" s="23">
        <v>518</v>
      </c>
      <c r="M521" s="23">
        <f ca="1"/>
        <v>59964.878823642561</v>
      </c>
      <c r="N521" s="25">
        <f t="shared" si="24"/>
        <v>31343.917000000001</v>
      </c>
      <c r="O521" s="25">
        <f t="shared" ca="1" si="25"/>
        <v>0</v>
      </c>
      <c r="P521" s="47">
        <f t="shared" ca="1" si="26"/>
        <v>0</v>
      </c>
    </row>
    <row r="522" spans="12:16" s="23" customFormat="1" ht="13.8">
      <c r="L522" s="33">
        <v>519</v>
      </c>
      <c r="M522" s="23">
        <f ca="1"/>
        <v>60116.007739677632</v>
      </c>
      <c r="N522" s="25">
        <f t="shared" si="24"/>
        <v>31343.917000000001</v>
      </c>
      <c r="O522" s="25">
        <f t="shared" ca="1" si="25"/>
        <v>0</v>
      </c>
      <c r="P522" s="47">
        <f t="shared" ca="1" si="26"/>
        <v>0</v>
      </c>
    </row>
    <row r="523" spans="12:16" s="23" customFormat="1" ht="13.8">
      <c r="L523" s="23">
        <v>520</v>
      </c>
      <c r="M523" s="23">
        <f ca="1"/>
        <v>47968.788171264139</v>
      </c>
      <c r="N523" s="25">
        <f t="shared" si="24"/>
        <v>31343.917000000001</v>
      </c>
      <c r="O523" s="25">
        <f t="shared" ca="1" si="25"/>
        <v>0</v>
      </c>
      <c r="P523" s="47">
        <f t="shared" ca="1" si="26"/>
        <v>0</v>
      </c>
    </row>
    <row r="524" spans="12:16" s="23" customFormat="1" ht="13.8">
      <c r="L524" s="33">
        <v>521</v>
      </c>
      <c r="M524" s="23">
        <f ca="1"/>
        <v>20644.770756580427</v>
      </c>
      <c r="N524" s="25">
        <f t="shared" si="24"/>
        <v>31343.917000000001</v>
      </c>
      <c r="O524" s="25">
        <f t="shared" ca="1" si="25"/>
        <v>1</v>
      </c>
      <c r="P524" s="47">
        <f t="shared" ca="1" si="26"/>
        <v>0.34134681518648657</v>
      </c>
    </row>
    <row r="525" spans="12:16" s="23" customFormat="1" ht="13.8">
      <c r="L525" s="23">
        <v>522</v>
      </c>
      <c r="M525" s="23">
        <f ca="1"/>
        <v>83505.878436949482</v>
      </c>
      <c r="N525" s="25">
        <f t="shared" si="24"/>
        <v>31343.917000000001</v>
      </c>
      <c r="O525" s="25">
        <f t="shared" ca="1" si="25"/>
        <v>0</v>
      </c>
      <c r="P525" s="47">
        <f t="shared" ca="1" si="26"/>
        <v>0</v>
      </c>
    </row>
    <row r="526" spans="12:16" s="23" customFormat="1" ht="13.8">
      <c r="L526" s="33">
        <v>523</v>
      </c>
      <c r="M526" s="23">
        <f ca="1"/>
        <v>48311.556619730174</v>
      </c>
      <c r="N526" s="25">
        <f t="shared" si="24"/>
        <v>31343.917000000001</v>
      </c>
      <c r="O526" s="25">
        <f t="shared" ca="1" si="25"/>
        <v>0</v>
      </c>
      <c r="P526" s="47">
        <f t="shared" ca="1" si="26"/>
        <v>0</v>
      </c>
    </row>
    <row r="527" spans="12:16" s="23" customFormat="1" ht="13.8">
      <c r="L527" s="23">
        <v>524</v>
      </c>
      <c r="M527" s="23">
        <f ca="1"/>
        <v>88653.568894762982</v>
      </c>
      <c r="N527" s="25">
        <f t="shared" si="24"/>
        <v>31343.917000000001</v>
      </c>
      <c r="O527" s="25">
        <f t="shared" ca="1" si="25"/>
        <v>0</v>
      </c>
      <c r="P527" s="47">
        <f t="shared" ca="1" si="26"/>
        <v>0</v>
      </c>
    </row>
    <row r="528" spans="12:16" s="23" customFormat="1" ht="13.8">
      <c r="L528" s="33">
        <v>525</v>
      </c>
      <c r="M528" s="23">
        <f ca="1"/>
        <v>39546.979564876106</v>
      </c>
      <c r="N528" s="25">
        <f t="shared" si="24"/>
        <v>31343.917000000001</v>
      </c>
      <c r="O528" s="25">
        <f t="shared" ca="1" si="25"/>
        <v>0</v>
      </c>
      <c r="P528" s="47">
        <f t="shared" ca="1" si="26"/>
        <v>0</v>
      </c>
    </row>
    <row r="529" spans="12:16" s="23" customFormat="1" ht="13.8">
      <c r="L529" s="23">
        <v>526</v>
      </c>
      <c r="M529" s="23">
        <f ca="1"/>
        <v>53911.389955884006</v>
      </c>
      <c r="N529" s="25">
        <f t="shared" si="24"/>
        <v>31343.917000000001</v>
      </c>
      <c r="O529" s="25">
        <f t="shared" ca="1" si="25"/>
        <v>0</v>
      </c>
      <c r="P529" s="47">
        <f t="shared" ca="1" si="26"/>
        <v>0</v>
      </c>
    </row>
    <row r="530" spans="12:16" s="23" customFormat="1" ht="13.8">
      <c r="L530" s="33">
        <v>527</v>
      </c>
      <c r="M530" s="23">
        <f ca="1"/>
        <v>52597.958586546374</v>
      </c>
      <c r="N530" s="25">
        <f t="shared" si="24"/>
        <v>31343.917000000001</v>
      </c>
      <c r="O530" s="25">
        <f t="shared" ca="1" si="25"/>
        <v>0</v>
      </c>
      <c r="P530" s="47">
        <f t="shared" ca="1" si="26"/>
        <v>0</v>
      </c>
    </row>
    <row r="531" spans="12:16" s="23" customFormat="1" ht="13.8">
      <c r="L531" s="23">
        <v>528</v>
      </c>
      <c r="M531" s="23">
        <f ca="1"/>
        <v>58103.267511614882</v>
      </c>
      <c r="N531" s="25">
        <f t="shared" si="24"/>
        <v>31343.917000000001</v>
      </c>
      <c r="O531" s="25">
        <f t="shared" ca="1" si="25"/>
        <v>0</v>
      </c>
      <c r="P531" s="47">
        <f t="shared" ca="1" si="26"/>
        <v>0</v>
      </c>
    </row>
    <row r="532" spans="12:16" s="23" customFormat="1" ht="13.8">
      <c r="L532" s="33">
        <v>529</v>
      </c>
      <c r="M532" s="23">
        <f ca="1"/>
        <v>50179.39171735289</v>
      </c>
      <c r="N532" s="25">
        <f t="shared" si="24"/>
        <v>31343.917000000001</v>
      </c>
      <c r="O532" s="25">
        <f t="shared" ca="1" si="25"/>
        <v>0</v>
      </c>
      <c r="P532" s="47">
        <f t="shared" ca="1" si="26"/>
        <v>0</v>
      </c>
    </row>
    <row r="533" spans="12:16" s="23" customFormat="1" ht="13.8">
      <c r="L533" s="23">
        <v>530</v>
      </c>
      <c r="M533" s="23">
        <f ca="1"/>
        <v>28325.02665300899</v>
      </c>
      <c r="N533" s="25">
        <f t="shared" si="24"/>
        <v>31343.917000000001</v>
      </c>
      <c r="O533" s="25">
        <f t="shared" ca="1" si="25"/>
        <v>1</v>
      </c>
      <c r="P533" s="47">
        <f t="shared" ca="1" si="26"/>
        <v>9.631503130227824E-2</v>
      </c>
    </row>
    <row r="534" spans="12:16" s="23" customFormat="1" ht="13.8">
      <c r="L534" s="33">
        <v>531</v>
      </c>
      <c r="M534" s="23">
        <f ca="1"/>
        <v>43168.971823794316</v>
      </c>
      <c r="N534" s="25">
        <f t="shared" si="24"/>
        <v>31343.917000000001</v>
      </c>
      <c r="O534" s="25">
        <f t="shared" ca="1" si="25"/>
        <v>0</v>
      </c>
      <c r="P534" s="47">
        <f t="shared" ca="1" si="26"/>
        <v>0</v>
      </c>
    </row>
    <row r="535" spans="12:16" s="23" customFormat="1" ht="13.8">
      <c r="L535" s="23">
        <v>532</v>
      </c>
      <c r="M535" s="23">
        <f ca="1"/>
        <v>55125.461959117019</v>
      </c>
      <c r="N535" s="25">
        <f t="shared" si="24"/>
        <v>31343.917000000001</v>
      </c>
      <c r="O535" s="25">
        <f t="shared" ca="1" si="25"/>
        <v>0</v>
      </c>
      <c r="P535" s="47">
        <f t="shared" ca="1" si="26"/>
        <v>0</v>
      </c>
    </row>
    <row r="536" spans="12:16" s="23" customFormat="1" ht="13.8">
      <c r="L536" s="33">
        <v>533</v>
      </c>
      <c r="M536" s="23">
        <f ca="1"/>
        <v>19916.131566926448</v>
      </c>
      <c r="N536" s="25">
        <f t="shared" si="24"/>
        <v>31343.917000000001</v>
      </c>
      <c r="O536" s="25">
        <f t="shared" ca="1" si="25"/>
        <v>1</v>
      </c>
      <c r="P536" s="47">
        <f t="shared" ca="1" si="26"/>
        <v>0.36459340525542971</v>
      </c>
    </row>
    <row r="537" spans="12:16" s="23" customFormat="1" ht="13.8">
      <c r="L537" s="23">
        <v>534</v>
      </c>
      <c r="M537" s="23">
        <f ca="1"/>
        <v>38337.063310319027</v>
      </c>
      <c r="N537" s="25">
        <f t="shared" si="24"/>
        <v>31343.917000000001</v>
      </c>
      <c r="O537" s="25">
        <f t="shared" ca="1" si="25"/>
        <v>0</v>
      </c>
      <c r="P537" s="47">
        <f t="shared" ca="1" si="26"/>
        <v>0</v>
      </c>
    </row>
    <row r="538" spans="12:16" s="23" customFormat="1" ht="13.8">
      <c r="L538" s="33">
        <v>535</v>
      </c>
      <c r="M538" s="23">
        <f ca="1"/>
        <v>36984.011221304805</v>
      </c>
      <c r="N538" s="25">
        <f t="shared" si="24"/>
        <v>31343.917000000001</v>
      </c>
      <c r="O538" s="25">
        <f t="shared" ca="1" si="25"/>
        <v>0</v>
      </c>
      <c r="P538" s="47">
        <f t="shared" ca="1" si="26"/>
        <v>0</v>
      </c>
    </row>
    <row r="539" spans="12:16" s="23" customFormat="1" ht="13.8">
      <c r="L539" s="23">
        <v>536</v>
      </c>
      <c r="M539" s="23">
        <f ca="1"/>
        <v>38084.17907440626</v>
      </c>
      <c r="N539" s="25">
        <f t="shared" si="24"/>
        <v>31343.917000000001</v>
      </c>
      <c r="O539" s="25">
        <f t="shared" ca="1" si="25"/>
        <v>0</v>
      </c>
      <c r="P539" s="47">
        <f t="shared" ca="1" si="26"/>
        <v>0</v>
      </c>
    </row>
    <row r="540" spans="12:16" s="23" customFormat="1" ht="13.8">
      <c r="L540" s="33">
        <v>537</v>
      </c>
      <c r="M540" s="23">
        <f ca="1"/>
        <v>51269.682091685427</v>
      </c>
      <c r="N540" s="25">
        <f t="shared" si="24"/>
        <v>31343.917000000001</v>
      </c>
      <c r="O540" s="25">
        <f t="shared" ca="1" si="25"/>
        <v>0</v>
      </c>
      <c r="P540" s="47">
        <f t="shared" ca="1" si="26"/>
        <v>0</v>
      </c>
    </row>
    <row r="541" spans="12:16" s="23" customFormat="1" ht="13.8">
      <c r="L541" s="23">
        <v>538</v>
      </c>
      <c r="M541" s="23">
        <f ca="1"/>
        <v>54423.065651924786</v>
      </c>
      <c r="N541" s="25">
        <f t="shared" si="24"/>
        <v>31343.917000000001</v>
      </c>
      <c r="O541" s="25">
        <f t="shared" ca="1" si="25"/>
        <v>0</v>
      </c>
      <c r="P541" s="47">
        <f t="shared" ca="1" si="26"/>
        <v>0</v>
      </c>
    </row>
    <row r="542" spans="12:16" s="23" customFormat="1" ht="13.8">
      <c r="L542" s="33">
        <v>539</v>
      </c>
      <c r="M542" s="23">
        <f ca="1"/>
        <v>24988.942366570296</v>
      </c>
      <c r="N542" s="25">
        <f t="shared" si="24"/>
        <v>31343.917000000001</v>
      </c>
      <c r="O542" s="25">
        <f t="shared" ca="1" si="25"/>
        <v>1</v>
      </c>
      <c r="P542" s="47">
        <f t="shared" ca="1" si="26"/>
        <v>0.20274985520889763</v>
      </c>
    </row>
    <row r="543" spans="12:16" s="23" customFormat="1" ht="13.8">
      <c r="L543" s="23">
        <v>540</v>
      </c>
      <c r="M543" s="23">
        <f ca="1"/>
        <v>25215.961503745213</v>
      </c>
      <c r="N543" s="25">
        <f t="shared" si="24"/>
        <v>31343.917000000001</v>
      </c>
      <c r="O543" s="25">
        <f t="shared" ca="1" si="25"/>
        <v>1</v>
      </c>
      <c r="P543" s="47">
        <f t="shared" ca="1" si="26"/>
        <v>0.19550701006050991</v>
      </c>
    </row>
    <row r="544" spans="12:16" s="23" customFormat="1" ht="13.8">
      <c r="L544" s="33">
        <v>541</v>
      </c>
      <c r="M544" s="23">
        <f ca="1"/>
        <v>26791.935303848291</v>
      </c>
      <c r="N544" s="25">
        <f t="shared" si="24"/>
        <v>31343.917000000001</v>
      </c>
      <c r="O544" s="25">
        <f t="shared" ca="1" si="25"/>
        <v>1</v>
      </c>
      <c r="P544" s="47">
        <f t="shared" ca="1" si="26"/>
        <v>0.14522695731205865</v>
      </c>
    </row>
    <row r="545" spans="12:16" s="23" customFormat="1" ht="13.8">
      <c r="L545" s="23">
        <v>542</v>
      </c>
      <c r="M545" s="23">
        <f ca="1"/>
        <v>46030.245854393674</v>
      </c>
      <c r="N545" s="25">
        <f t="shared" si="24"/>
        <v>31343.917000000001</v>
      </c>
      <c r="O545" s="25">
        <f t="shared" ca="1" si="25"/>
        <v>0</v>
      </c>
      <c r="P545" s="47">
        <f t="shared" ca="1" si="26"/>
        <v>0</v>
      </c>
    </row>
    <row r="546" spans="12:16" s="23" customFormat="1" ht="13.8">
      <c r="L546" s="33">
        <v>543</v>
      </c>
      <c r="M546" s="23">
        <f ca="1"/>
        <v>53849.598081984936</v>
      </c>
      <c r="N546" s="25">
        <f t="shared" si="24"/>
        <v>31343.917000000001</v>
      </c>
      <c r="O546" s="25">
        <f t="shared" ca="1" si="25"/>
        <v>0</v>
      </c>
      <c r="P546" s="47">
        <f t="shared" ca="1" si="26"/>
        <v>0</v>
      </c>
    </row>
    <row r="547" spans="12:16" s="23" customFormat="1" ht="13.8">
      <c r="L547" s="23">
        <v>544</v>
      </c>
      <c r="M547" s="23">
        <f ca="1"/>
        <v>45119.442027829777</v>
      </c>
      <c r="N547" s="25">
        <f t="shared" si="24"/>
        <v>31343.917000000001</v>
      </c>
      <c r="O547" s="25">
        <f t="shared" ca="1" si="25"/>
        <v>0</v>
      </c>
      <c r="P547" s="47">
        <f t="shared" ca="1" si="26"/>
        <v>0</v>
      </c>
    </row>
    <row r="548" spans="12:16" s="23" customFormat="1" ht="13.8">
      <c r="L548" s="33">
        <v>545</v>
      </c>
      <c r="M548" s="23">
        <f ca="1"/>
        <v>75210.77331129981</v>
      </c>
      <c r="N548" s="25">
        <f t="shared" si="24"/>
        <v>31343.917000000001</v>
      </c>
      <c r="O548" s="25">
        <f t="shared" ca="1" si="25"/>
        <v>0</v>
      </c>
      <c r="P548" s="47">
        <f t="shared" ca="1" si="26"/>
        <v>0</v>
      </c>
    </row>
    <row r="549" spans="12:16" s="23" customFormat="1" ht="13.8">
      <c r="L549" s="23">
        <v>546</v>
      </c>
      <c r="M549" s="23">
        <f ca="1"/>
        <v>38512.527152881681</v>
      </c>
      <c r="N549" s="25">
        <f t="shared" si="24"/>
        <v>31343.917000000001</v>
      </c>
      <c r="O549" s="25">
        <f t="shared" ca="1" si="25"/>
        <v>0</v>
      </c>
      <c r="P549" s="47">
        <f t="shared" ca="1" si="26"/>
        <v>0</v>
      </c>
    </row>
    <row r="550" spans="12:16" s="23" customFormat="1" ht="13.8">
      <c r="L550" s="33">
        <v>547</v>
      </c>
      <c r="M550" s="23">
        <f ca="1"/>
        <v>55155.89937039325</v>
      </c>
      <c r="N550" s="25">
        <f t="shared" si="24"/>
        <v>31343.917000000001</v>
      </c>
      <c r="O550" s="25">
        <f t="shared" ca="1" si="25"/>
        <v>0</v>
      </c>
      <c r="P550" s="47">
        <f t="shared" ca="1" si="26"/>
        <v>0</v>
      </c>
    </row>
    <row r="551" spans="12:16" s="23" customFormat="1" ht="13.8">
      <c r="L551" s="23">
        <v>548</v>
      </c>
      <c r="M551" s="23">
        <f ca="1"/>
        <v>49487.36420207881</v>
      </c>
      <c r="N551" s="25">
        <f t="shared" si="24"/>
        <v>31343.917000000001</v>
      </c>
      <c r="O551" s="25">
        <f t="shared" ca="1" si="25"/>
        <v>0</v>
      </c>
      <c r="P551" s="47">
        <f t="shared" ca="1" si="26"/>
        <v>0</v>
      </c>
    </row>
    <row r="552" spans="12:16" s="23" customFormat="1" ht="13.8">
      <c r="L552" s="33">
        <v>549</v>
      </c>
      <c r="M552" s="23">
        <f ca="1"/>
        <v>46208.348105882993</v>
      </c>
      <c r="N552" s="25">
        <f t="shared" si="24"/>
        <v>31343.917000000001</v>
      </c>
      <c r="O552" s="25">
        <f t="shared" ca="1" si="25"/>
        <v>0</v>
      </c>
      <c r="P552" s="47">
        <f t="shared" ca="1" si="26"/>
        <v>0</v>
      </c>
    </row>
    <row r="553" spans="12:16" s="23" customFormat="1" ht="13.8">
      <c r="L553" s="23">
        <v>550</v>
      </c>
      <c r="M553" s="23">
        <f ca="1"/>
        <v>73627.960518865089</v>
      </c>
      <c r="N553" s="25">
        <f t="shared" si="24"/>
        <v>31343.917000000001</v>
      </c>
      <c r="O553" s="25">
        <f t="shared" ca="1" si="25"/>
        <v>0</v>
      </c>
      <c r="P553" s="47">
        <f t="shared" ca="1" si="26"/>
        <v>0</v>
      </c>
    </row>
    <row r="554" spans="12:16" s="23" customFormat="1" ht="13.8">
      <c r="L554" s="33">
        <v>551</v>
      </c>
      <c r="M554" s="23">
        <f ca="1"/>
        <v>33476.727278961516</v>
      </c>
      <c r="N554" s="25">
        <f t="shared" si="24"/>
        <v>31343.917000000001</v>
      </c>
      <c r="O554" s="25">
        <f t="shared" ca="1" si="25"/>
        <v>0</v>
      </c>
      <c r="P554" s="47">
        <f t="shared" ca="1" si="26"/>
        <v>0</v>
      </c>
    </row>
    <row r="555" spans="12:16" s="23" customFormat="1" ht="13.8">
      <c r="L555" s="23">
        <v>552</v>
      </c>
      <c r="M555" s="23">
        <f ca="1"/>
        <v>54782.309031589881</v>
      </c>
      <c r="N555" s="25">
        <f t="shared" si="24"/>
        <v>31343.917000000001</v>
      </c>
      <c r="O555" s="25">
        <f t="shared" ca="1" si="25"/>
        <v>0</v>
      </c>
      <c r="P555" s="47">
        <f t="shared" ca="1" si="26"/>
        <v>0</v>
      </c>
    </row>
    <row r="556" spans="12:16" s="23" customFormat="1" ht="13.8">
      <c r="L556" s="33">
        <v>553</v>
      </c>
      <c r="M556" s="23">
        <f ca="1"/>
        <v>55180.11772615579</v>
      </c>
      <c r="N556" s="25">
        <f t="shared" si="24"/>
        <v>31343.917000000001</v>
      </c>
      <c r="O556" s="25">
        <f t="shared" ca="1" si="25"/>
        <v>0</v>
      </c>
      <c r="P556" s="47">
        <f t="shared" ca="1" si="26"/>
        <v>0</v>
      </c>
    </row>
    <row r="557" spans="12:16" s="23" customFormat="1" ht="13.8">
      <c r="L557" s="23">
        <v>554</v>
      </c>
      <c r="M557" s="23">
        <f ca="1"/>
        <v>43860.899268644825</v>
      </c>
      <c r="N557" s="25">
        <f t="shared" si="24"/>
        <v>31343.917000000001</v>
      </c>
      <c r="O557" s="25">
        <f t="shared" ca="1" si="25"/>
        <v>0</v>
      </c>
      <c r="P557" s="47">
        <f t="shared" ca="1" si="26"/>
        <v>0</v>
      </c>
    </row>
    <row r="558" spans="12:16" s="23" customFormat="1" ht="13.8">
      <c r="L558" s="33">
        <v>555</v>
      </c>
      <c r="M558" s="23">
        <f ca="1"/>
        <v>53492.292824038304</v>
      </c>
      <c r="N558" s="25">
        <f t="shared" si="24"/>
        <v>31343.917000000001</v>
      </c>
      <c r="O558" s="25">
        <f t="shared" ca="1" si="25"/>
        <v>0</v>
      </c>
      <c r="P558" s="47">
        <f t="shared" ca="1" si="26"/>
        <v>0</v>
      </c>
    </row>
    <row r="559" spans="12:16" s="23" customFormat="1" ht="13.8">
      <c r="L559" s="23">
        <v>556</v>
      </c>
      <c r="M559" s="23">
        <f ca="1"/>
        <v>46756.340219694343</v>
      </c>
      <c r="N559" s="25">
        <f t="shared" si="24"/>
        <v>31343.917000000001</v>
      </c>
      <c r="O559" s="25">
        <f t="shared" ca="1" si="25"/>
        <v>0</v>
      </c>
      <c r="P559" s="47">
        <f t="shared" ca="1" si="26"/>
        <v>0</v>
      </c>
    </row>
    <row r="560" spans="12:16" s="23" customFormat="1" ht="13.8">
      <c r="L560" s="33">
        <v>557</v>
      </c>
      <c r="M560" s="23">
        <f ca="1"/>
        <v>56214.047317397155</v>
      </c>
      <c r="N560" s="25">
        <f t="shared" si="24"/>
        <v>31343.917000000001</v>
      </c>
      <c r="O560" s="25">
        <f t="shared" ca="1" si="25"/>
        <v>0</v>
      </c>
      <c r="P560" s="47">
        <f t="shared" ca="1" si="26"/>
        <v>0</v>
      </c>
    </row>
    <row r="561" spans="12:16" s="23" customFormat="1" ht="13.8">
      <c r="L561" s="23">
        <v>558</v>
      </c>
      <c r="M561" s="23">
        <f ca="1"/>
        <v>60766.435540446364</v>
      </c>
      <c r="N561" s="25">
        <f t="shared" si="24"/>
        <v>31343.917000000001</v>
      </c>
      <c r="O561" s="25">
        <f t="shared" ca="1" si="25"/>
        <v>0</v>
      </c>
      <c r="P561" s="47">
        <f t="shared" ca="1" si="26"/>
        <v>0</v>
      </c>
    </row>
    <row r="562" spans="12:16" s="23" customFormat="1" ht="13.8">
      <c r="L562" s="33">
        <v>559</v>
      </c>
      <c r="M562" s="23">
        <f ca="1"/>
        <v>22458.73923255127</v>
      </c>
      <c r="N562" s="25">
        <f t="shared" si="24"/>
        <v>31343.917000000001</v>
      </c>
      <c r="O562" s="25">
        <f t="shared" ca="1" si="25"/>
        <v>1</v>
      </c>
      <c r="P562" s="47">
        <f t="shared" ca="1" si="26"/>
        <v>0.28347375241737433</v>
      </c>
    </row>
    <row r="563" spans="12:16" s="23" customFormat="1" ht="13.8">
      <c r="L563" s="23">
        <v>560</v>
      </c>
      <c r="M563" s="23">
        <f ca="1"/>
        <v>70146.794656405793</v>
      </c>
      <c r="N563" s="25">
        <f t="shared" si="24"/>
        <v>31343.917000000001</v>
      </c>
      <c r="O563" s="25">
        <f t="shared" ca="1" si="25"/>
        <v>0</v>
      </c>
      <c r="P563" s="47">
        <f t="shared" ca="1" si="26"/>
        <v>0</v>
      </c>
    </row>
    <row r="564" spans="12:16" s="23" customFormat="1" ht="13.8">
      <c r="L564" s="33">
        <v>561</v>
      </c>
      <c r="M564" s="23">
        <f ca="1"/>
        <v>55588.716660069025</v>
      </c>
      <c r="N564" s="25">
        <f t="shared" si="24"/>
        <v>31343.917000000001</v>
      </c>
      <c r="O564" s="25">
        <f t="shared" ca="1" si="25"/>
        <v>0</v>
      </c>
      <c r="P564" s="47">
        <f t="shared" ca="1" si="26"/>
        <v>0</v>
      </c>
    </row>
    <row r="565" spans="12:16" s="23" customFormat="1" ht="13.8">
      <c r="L565" s="23">
        <v>562</v>
      </c>
      <c r="M565" s="23">
        <f ca="1"/>
        <v>64738.398321066765</v>
      </c>
      <c r="N565" s="25">
        <f t="shared" si="24"/>
        <v>31343.917000000001</v>
      </c>
      <c r="O565" s="25">
        <f t="shared" ca="1" si="25"/>
        <v>0</v>
      </c>
      <c r="P565" s="47">
        <f t="shared" ca="1" si="26"/>
        <v>0</v>
      </c>
    </row>
    <row r="566" spans="12:16" s="23" customFormat="1" ht="13.8">
      <c r="L566" s="33">
        <v>563</v>
      </c>
      <c r="M566" s="23">
        <f ca="1"/>
        <v>29045.849452447979</v>
      </c>
      <c r="N566" s="25">
        <f t="shared" si="24"/>
        <v>31343.917000000001</v>
      </c>
      <c r="O566" s="25">
        <f t="shared" ca="1" si="25"/>
        <v>1</v>
      </c>
      <c r="P566" s="47">
        <f t="shared" ca="1" si="26"/>
        <v>7.3317816262467195E-2</v>
      </c>
    </row>
    <row r="567" spans="12:16" s="23" customFormat="1" ht="13.8">
      <c r="L567" s="23">
        <v>564</v>
      </c>
      <c r="M567" s="23">
        <f ca="1"/>
        <v>40705.97536721512</v>
      </c>
      <c r="N567" s="25">
        <f t="shared" si="24"/>
        <v>31343.917000000001</v>
      </c>
      <c r="O567" s="25">
        <f t="shared" ca="1" si="25"/>
        <v>0</v>
      </c>
      <c r="P567" s="47">
        <f t="shared" ca="1" si="26"/>
        <v>0</v>
      </c>
    </row>
    <row r="568" spans="12:16" s="23" customFormat="1" ht="13.8">
      <c r="L568" s="33">
        <v>565</v>
      </c>
      <c r="M568" s="23">
        <f ca="1"/>
        <v>26363.869614707903</v>
      </c>
      <c r="N568" s="25">
        <f t="shared" si="24"/>
        <v>31343.917000000001</v>
      </c>
      <c r="O568" s="25">
        <f t="shared" ca="1" si="25"/>
        <v>1</v>
      </c>
      <c r="P568" s="47">
        <f t="shared" ca="1" si="26"/>
        <v>0.15888401520754725</v>
      </c>
    </row>
    <row r="569" spans="12:16" s="23" customFormat="1" ht="13.8">
      <c r="L569" s="23">
        <v>566</v>
      </c>
      <c r="M569" s="23">
        <f ca="1"/>
        <v>67314.479637710174</v>
      </c>
      <c r="N569" s="25">
        <f t="shared" si="24"/>
        <v>31343.917000000001</v>
      </c>
      <c r="O569" s="25">
        <f t="shared" ca="1" si="25"/>
        <v>0</v>
      </c>
      <c r="P569" s="47">
        <f t="shared" ca="1" si="26"/>
        <v>0</v>
      </c>
    </row>
    <row r="570" spans="12:16" s="23" customFormat="1" ht="13.8">
      <c r="L570" s="33">
        <v>567</v>
      </c>
      <c r="M570" s="23">
        <f ca="1"/>
        <v>71642.650843143201</v>
      </c>
      <c r="N570" s="25">
        <f t="shared" si="24"/>
        <v>31343.917000000001</v>
      </c>
      <c r="O570" s="25">
        <f t="shared" ca="1" si="25"/>
        <v>0</v>
      </c>
      <c r="P570" s="47">
        <f t="shared" ca="1" si="26"/>
        <v>0</v>
      </c>
    </row>
    <row r="571" spans="12:16" s="23" customFormat="1" ht="13.8">
      <c r="L571" s="23">
        <v>568</v>
      </c>
      <c r="M571" s="23">
        <f ca="1"/>
        <v>53823.142290752716</v>
      </c>
      <c r="N571" s="25">
        <f t="shared" si="24"/>
        <v>31343.917000000001</v>
      </c>
      <c r="O571" s="25">
        <f t="shared" ca="1" si="25"/>
        <v>0</v>
      </c>
      <c r="P571" s="47">
        <f t="shared" ca="1" si="26"/>
        <v>0</v>
      </c>
    </row>
    <row r="572" spans="12:16" s="23" customFormat="1" ht="13.8">
      <c r="L572" s="33">
        <v>569</v>
      </c>
      <c r="M572" s="23">
        <f ca="1"/>
        <v>55996.208336084404</v>
      </c>
      <c r="N572" s="25">
        <f t="shared" si="24"/>
        <v>31343.917000000001</v>
      </c>
      <c r="O572" s="25">
        <f t="shared" ca="1" si="25"/>
        <v>0</v>
      </c>
      <c r="P572" s="47">
        <f t="shared" ca="1" si="26"/>
        <v>0</v>
      </c>
    </row>
    <row r="573" spans="12:16" s="23" customFormat="1" ht="13.8">
      <c r="L573" s="23">
        <v>570</v>
      </c>
      <c r="M573" s="23">
        <f ca="1"/>
        <v>51915.539475213875</v>
      </c>
      <c r="N573" s="25">
        <f t="shared" si="24"/>
        <v>31343.917000000001</v>
      </c>
      <c r="O573" s="25">
        <f t="shared" ca="1" si="25"/>
        <v>0</v>
      </c>
      <c r="P573" s="47">
        <f t="shared" ca="1" si="26"/>
        <v>0</v>
      </c>
    </row>
    <row r="574" spans="12:16" s="23" customFormat="1" ht="13.8">
      <c r="L574" s="33">
        <v>571</v>
      </c>
      <c r="M574" s="23">
        <f ca="1"/>
        <v>81452.094780641375</v>
      </c>
      <c r="N574" s="25">
        <f t="shared" si="24"/>
        <v>31343.917000000001</v>
      </c>
      <c r="O574" s="25">
        <f t="shared" ca="1" si="25"/>
        <v>0</v>
      </c>
      <c r="P574" s="47">
        <f t="shared" ca="1" si="26"/>
        <v>0</v>
      </c>
    </row>
    <row r="575" spans="12:16" s="23" customFormat="1" ht="13.8">
      <c r="L575" s="23">
        <v>572</v>
      </c>
      <c r="M575" s="23">
        <f ca="1"/>
        <v>39944.75030445111</v>
      </c>
      <c r="N575" s="25">
        <f t="shared" si="24"/>
        <v>31343.917000000001</v>
      </c>
      <c r="O575" s="25">
        <f t="shared" ca="1" si="25"/>
        <v>0</v>
      </c>
      <c r="P575" s="47">
        <f t="shared" ca="1" si="26"/>
        <v>0</v>
      </c>
    </row>
    <row r="576" spans="12:16" s="23" customFormat="1" ht="13.8">
      <c r="L576" s="33">
        <v>573</v>
      </c>
      <c r="M576" s="23">
        <f ca="1"/>
        <v>47181.878270978981</v>
      </c>
      <c r="N576" s="25">
        <f t="shared" si="24"/>
        <v>31343.917000000001</v>
      </c>
      <c r="O576" s="25">
        <f t="shared" ca="1" si="25"/>
        <v>0</v>
      </c>
      <c r="P576" s="47">
        <f t="shared" ca="1" si="26"/>
        <v>0</v>
      </c>
    </row>
    <row r="577" spans="12:16" s="23" customFormat="1" ht="13.8">
      <c r="L577" s="23">
        <v>574</v>
      </c>
      <c r="M577" s="23">
        <f ca="1"/>
        <v>60378.966128376451</v>
      </c>
      <c r="N577" s="25">
        <f t="shared" si="24"/>
        <v>31343.917000000001</v>
      </c>
      <c r="O577" s="25">
        <f t="shared" ca="1" si="25"/>
        <v>0</v>
      </c>
      <c r="P577" s="47">
        <f t="shared" ca="1" si="26"/>
        <v>0</v>
      </c>
    </row>
    <row r="578" spans="12:16" s="23" customFormat="1" ht="13.8">
      <c r="L578" s="33">
        <v>575</v>
      </c>
      <c r="M578" s="23">
        <f ca="1"/>
        <v>57657.99079296962</v>
      </c>
      <c r="N578" s="25">
        <f t="shared" si="24"/>
        <v>31343.917000000001</v>
      </c>
      <c r="O578" s="25">
        <f t="shared" ca="1" si="25"/>
        <v>0</v>
      </c>
      <c r="P578" s="47">
        <f t="shared" ca="1" si="26"/>
        <v>0</v>
      </c>
    </row>
    <row r="579" spans="12:16" s="23" customFormat="1" ht="13.8">
      <c r="L579" s="23">
        <v>576</v>
      </c>
      <c r="M579" s="23">
        <f ca="1"/>
        <v>44404.825407375887</v>
      </c>
      <c r="N579" s="25">
        <f t="shared" si="24"/>
        <v>31343.917000000001</v>
      </c>
      <c r="O579" s="25">
        <f t="shared" ca="1" si="25"/>
        <v>0</v>
      </c>
      <c r="P579" s="47">
        <f t="shared" ca="1" si="26"/>
        <v>0</v>
      </c>
    </row>
    <row r="580" spans="12:16" s="23" customFormat="1" ht="13.8">
      <c r="L580" s="33">
        <v>577</v>
      </c>
      <c r="M580" s="23">
        <f ca="1"/>
        <v>36233.057676619537</v>
      </c>
      <c r="N580" s="25">
        <f t="shared" ref="N580:N643" si="27">($C$23+$E$23)*1.1</f>
        <v>31343.917000000001</v>
      </c>
      <c r="O580" s="25">
        <f t="shared" ref="O580:O643" ca="1" si="28">IF(M580&lt;N580,1,0)</f>
        <v>0</v>
      </c>
      <c r="P580" s="47">
        <f t="shared" ca="1" si="26"/>
        <v>0</v>
      </c>
    </row>
    <row r="581" spans="12:16" s="23" customFormat="1" ht="13.8">
      <c r="L581" s="23">
        <v>578</v>
      </c>
      <c r="M581" s="23">
        <f ca="1"/>
        <v>42353.141685622417</v>
      </c>
      <c r="N581" s="25">
        <f t="shared" si="27"/>
        <v>31343.917000000001</v>
      </c>
      <c r="O581" s="25">
        <f t="shared" ca="1" si="28"/>
        <v>0</v>
      </c>
      <c r="P581" s="47">
        <f t="shared" ref="P581:P644" ca="1" si="29">MAX((N581-M581)/N581,0)</f>
        <v>0</v>
      </c>
    </row>
    <row r="582" spans="12:16" s="23" customFormat="1" ht="13.8">
      <c r="L582" s="33">
        <v>579</v>
      </c>
      <c r="M582" s="23">
        <f ca="1"/>
        <v>50716.720555288404</v>
      </c>
      <c r="N582" s="25">
        <f t="shared" si="27"/>
        <v>31343.917000000001</v>
      </c>
      <c r="O582" s="25">
        <f t="shared" ca="1" si="28"/>
        <v>0</v>
      </c>
      <c r="P582" s="47">
        <f t="shared" ca="1" si="29"/>
        <v>0</v>
      </c>
    </row>
    <row r="583" spans="12:16" s="23" customFormat="1" ht="13.8">
      <c r="L583" s="23">
        <v>580</v>
      </c>
      <c r="M583" s="23">
        <f ca="1"/>
        <v>38128.700621659569</v>
      </c>
      <c r="N583" s="25">
        <f t="shared" si="27"/>
        <v>31343.917000000001</v>
      </c>
      <c r="O583" s="25">
        <f t="shared" ca="1" si="28"/>
        <v>0</v>
      </c>
      <c r="P583" s="47">
        <f t="shared" ca="1" si="29"/>
        <v>0</v>
      </c>
    </row>
    <row r="584" spans="12:16" s="23" customFormat="1" ht="13.8">
      <c r="L584" s="33">
        <v>581</v>
      </c>
      <c r="M584" s="23">
        <f ca="1"/>
        <v>51550.074631204792</v>
      </c>
      <c r="N584" s="25">
        <f t="shared" si="27"/>
        <v>31343.917000000001</v>
      </c>
      <c r="O584" s="25">
        <f t="shared" ca="1" si="28"/>
        <v>0</v>
      </c>
      <c r="P584" s="47">
        <f t="shared" ca="1" si="29"/>
        <v>0</v>
      </c>
    </row>
    <row r="585" spans="12:16" s="23" customFormat="1" ht="13.8">
      <c r="L585" s="23">
        <v>582</v>
      </c>
      <c r="M585" s="23">
        <f ca="1"/>
        <v>53218.893113702492</v>
      </c>
      <c r="N585" s="25">
        <f t="shared" si="27"/>
        <v>31343.917000000001</v>
      </c>
      <c r="O585" s="25">
        <f t="shared" ca="1" si="28"/>
        <v>0</v>
      </c>
      <c r="P585" s="47">
        <f t="shared" ca="1" si="29"/>
        <v>0</v>
      </c>
    </row>
    <row r="586" spans="12:16" s="23" customFormat="1" ht="13.8">
      <c r="L586" s="33">
        <v>583</v>
      </c>
      <c r="M586" s="23">
        <f ca="1"/>
        <v>40483.162796337849</v>
      </c>
      <c r="N586" s="25">
        <f t="shared" si="27"/>
        <v>31343.917000000001</v>
      </c>
      <c r="O586" s="25">
        <f t="shared" ca="1" si="28"/>
        <v>0</v>
      </c>
      <c r="P586" s="47">
        <f t="shared" ca="1" si="29"/>
        <v>0</v>
      </c>
    </row>
    <row r="587" spans="12:16" s="23" customFormat="1" ht="13.8">
      <c r="L587" s="23">
        <v>584</v>
      </c>
      <c r="M587" s="23">
        <f ca="1"/>
        <v>87280.859003416641</v>
      </c>
      <c r="N587" s="25">
        <f t="shared" si="27"/>
        <v>31343.917000000001</v>
      </c>
      <c r="O587" s="25">
        <f t="shared" ca="1" si="28"/>
        <v>0</v>
      </c>
      <c r="P587" s="47">
        <f t="shared" ca="1" si="29"/>
        <v>0</v>
      </c>
    </row>
    <row r="588" spans="12:16" s="23" customFormat="1" ht="13.8">
      <c r="L588" s="33">
        <v>585</v>
      </c>
      <c r="M588" s="23">
        <f ca="1"/>
        <v>26748.19469346491</v>
      </c>
      <c r="N588" s="25">
        <f t="shared" si="27"/>
        <v>31343.917000000001</v>
      </c>
      <c r="O588" s="25">
        <f t="shared" ca="1" si="28"/>
        <v>1</v>
      </c>
      <c r="P588" s="47">
        <f t="shared" ca="1" si="29"/>
        <v>0.14662246287007114</v>
      </c>
    </row>
    <row r="589" spans="12:16" s="23" customFormat="1" ht="13.8">
      <c r="L589" s="23">
        <v>586</v>
      </c>
      <c r="M589" s="23">
        <f ca="1"/>
        <v>38455.328651331038</v>
      </c>
      <c r="N589" s="25">
        <f t="shared" si="27"/>
        <v>31343.917000000001</v>
      </c>
      <c r="O589" s="25">
        <f t="shared" ca="1" si="28"/>
        <v>0</v>
      </c>
      <c r="P589" s="47">
        <f t="shared" ca="1" si="29"/>
        <v>0</v>
      </c>
    </row>
    <row r="590" spans="12:16" s="23" customFormat="1" ht="13.8">
      <c r="L590" s="33">
        <v>587</v>
      </c>
      <c r="M590" s="23">
        <f ca="1"/>
        <v>15875.092391458049</v>
      </c>
      <c r="N590" s="25">
        <f t="shared" si="27"/>
        <v>31343.917000000001</v>
      </c>
      <c r="O590" s="25">
        <f t="shared" ca="1" si="28"/>
        <v>1</v>
      </c>
      <c r="P590" s="47">
        <f t="shared" ca="1" si="29"/>
        <v>0.49351919252919002</v>
      </c>
    </row>
    <row r="591" spans="12:16" s="23" customFormat="1" ht="13.8">
      <c r="L591" s="23">
        <v>588</v>
      </c>
      <c r="M591" s="23">
        <f ca="1"/>
        <v>29496.285126120718</v>
      </c>
      <c r="N591" s="25">
        <f t="shared" si="27"/>
        <v>31343.917000000001</v>
      </c>
      <c r="O591" s="25">
        <f t="shared" ca="1" si="28"/>
        <v>1</v>
      </c>
      <c r="P591" s="47">
        <f t="shared" ca="1" si="29"/>
        <v>5.8947063759749084E-2</v>
      </c>
    </row>
    <row r="592" spans="12:16" s="23" customFormat="1" ht="13.8">
      <c r="L592" s="33">
        <v>589</v>
      </c>
      <c r="M592" s="23">
        <f ca="1"/>
        <v>46122.459304536416</v>
      </c>
      <c r="N592" s="25">
        <f t="shared" si="27"/>
        <v>31343.917000000001</v>
      </c>
      <c r="O592" s="25">
        <f t="shared" ca="1" si="28"/>
        <v>0</v>
      </c>
      <c r="P592" s="47">
        <f t="shared" ca="1" si="29"/>
        <v>0</v>
      </c>
    </row>
    <row r="593" spans="12:16" s="23" customFormat="1" ht="13.8">
      <c r="L593" s="23">
        <v>590</v>
      </c>
      <c r="M593" s="23">
        <f ca="1"/>
        <v>60666.346731913043</v>
      </c>
      <c r="N593" s="25">
        <f t="shared" si="27"/>
        <v>31343.917000000001</v>
      </c>
      <c r="O593" s="25">
        <f t="shared" ca="1" si="28"/>
        <v>0</v>
      </c>
      <c r="P593" s="47">
        <f t="shared" ca="1" si="29"/>
        <v>0</v>
      </c>
    </row>
    <row r="594" spans="12:16" s="23" customFormat="1" ht="13.8">
      <c r="L594" s="33">
        <v>591</v>
      </c>
      <c r="M594" s="23">
        <f ca="1"/>
        <v>56163.465299533324</v>
      </c>
      <c r="N594" s="25">
        <f t="shared" si="27"/>
        <v>31343.917000000001</v>
      </c>
      <c r="O594" s="25">
        <f t="shared" ca="1" si="28"/>
        <v>0</v>
      </c>
      <c r="P594" s="47">
        <f t="shared" ca="1" si="29"/>
        <v>0</v>
      </c>
    </row>
    <row r="595" spans="12:16" s="23" customFormat="1" ht="13.8">
      <c r="L595" s="23">
        <v>592</v>
      </c>
      <c r="M595" s="23">
        <f ca="1"/>
        <v>44245.969937662718</v>
      </c>
      <c r="N595" s="25">
        <f t="shared" si="27"/>
        <v>31343.917000000001</v>
      </c>
      <c r="O595" s="25">
        <f t="shared" ca="1" si="28"/>
        <v>0</v>
      </c>
      <c r="P595" s="47">
        <f t="shared" ca="1" si="29"/>
        <v>0</v>
      </c>
    </row>
    <row r="596" spans="12:16" s="23" customFormat="1" ht="13.8">
      <c r="L596" s="33">
        <v>593</v>
      </c>
      <c r="M596" s="23">
        <f ca="1"/>
        <v>36385.827788800365</v>
      </c>
      <c r="N596" s="25">
        <f t="shared" si="27"/>
        <v>31343.917000000001</v>
      </c>
      <c r="O596" s="25">
        <f t="shared" ca="1" si="28"/>
        <v>0</v>
      </c>
      <c r="P596" s="47">
        <f t="shared" ca="1" si="29"/>
        <v>0</v>
      </c>
    </row>
    <row r="597" spans="12:16" s="23" customFormat="1" ht="13.8">
      <c r="L597" s="23">
        <v>594</v>
      </c>
      <c r="M597" s="23">
        <f ca="1"/>
        <v>52513.645926343459</v>
      </c>
      <c r="N597" s="25">
        <f t="shared" si="27"/>
        <v>31343.917000000001</v>
      </c>
      <c r="O597" s="25">
        <f t="shared" ca="1" si="28"/>
        <v>0</v>
      </c>
      <c r="P597" s="47">
        <f t="shared" ca="1" si="29"/>
        <v>0</v>
      </c>
    </row>
    <row r="598" spans="12:16" s="23" customFormat="1" ht="13.8">
      <c r="L598" s="33">
        <v>595</v>
      </c>
      <c r="M598" s="23">
        <f ca="1"/>
        <v>60024.906367646421</v>
      </c>
      <c r="N598" s="25">
        <f t="shared" si="27"/>
        <v>31343.917000000001</v>
      </c>
      <c r="O598" s="25">
        <f t="shared" ca="1" si="28"/>
        <v>0</v>
      </c>
      <c r="P598" s="47">
        <f t="shared" ca="1" si="29"/>
        <v>0</v>
      </c>
    </row>
    <row r="599" spans="12:16" s="23" customFormat="1" ht="13.8">
      <c r="L599" s="23">
        <v>596</v>
      </c>
      <c r="M599" s="23">
        <f ca="1"/>
        <v>35214.795821304084</v>
      </c>
      <c r="N599" s="25">
        <f t="shared" si="27"/>
        <v>31343.917000000001</v>
      </c>
      <c r="O599" s="25">
        <f t="shared" ca="1" si="28"/>
        <v>0</v>
      </c>
      <c r="P599" s="47">
        <f t="shared" ca="1" si="29"/>
        <v>0</v>
      </c>
    </row>
    <row r="600" spans="12:16" s="23" customFormat="1" ht="13.8">
      <c r="L600" s="33">
        <v>597</v>
      </c>
      <c r="M600" s="23">
        <f ca="1"/>
        <v>8813.4956367212435</v>
      </c>
      <c r="N600" s="25">
        <f t="shared" si="27"/>
        <v>31343.917000000001</v>
      </c>
      <c r="O600" s="25">
        <f t="shared" ca="1" si="28"/>
        <v>1</v>
      </c>
      <c r="P600" s="47">
        <f t="shared" ca="1" si="29"/>
        <v>0.71881320267912774</v>
      </c>
    </row>
    <row r="601" spans="12:16" s="23" customFormat="1" ht="13.8">
      <c r="L601" s="23">
        <v>598</v>
      </c>
      <c r="M601" s="23">
        <f ca="1"/>
        <v>61959.776591207788</v>
      </c>
      <c r="N601" s="25">
        <f t="shared" si="27"/>
        <v>31343.917000000001</v>
      </c>
      <c r="O601" s="25">
        <f t="shared" ca="1" si="28"/>
        <v>0</v>
      </c>
      <c r="P601" s="47">
        <f t="shared" ca="1" si="29"/>
        <v>0</v>
      </c>
    </row>
    <row r="602" spans="12:16" s="23" customFormat="1" ht="13.8">
      <c r="L602" s="33">
        <v>599</v>
      </c>
      <c r="M602" s="23">
        <f ca="1"/>
        <v>59278.838264743965</v>
      </c>
      <c r="N602" s="25">
        <f t="shared" si="27"/>
        <v>31343.917000000001</v>
      </c>
      <c r="O602" s="25">
        <f t="shared" ca="1" si="28"/>
        <v>0</v>
      </c>
      <c r="P602" s="47">
        <f t="shared" ca="1" si="29"/>
        <v>0</v>
      </c>
    </row>
    <row r="603" spans="12:16" s="23" customFormat="1" ht="13.8">
      <c r="L603" s="23">
        <v>600</v>
      </c>
      <c r="M603" s="23">
        <f ca="1"/>
        <v>71040.061405680928</v>
      </c>
      <c r="N603" s="25">
        <f t="shared" si="27"/>
        <v>31343.917000000001</v>
      </c>
      <c r="O603" s="25">
        <f t="shared" ca="1" si="28"/>
        <v>0</v>
      </c>
      <c r="P603" s="47">
        <f t="shared" ca="1" si="29"/>
        <v>0</v>
      </c>
    </row>
    <row r="604" spans="12:16" s="23" customFormat="1" ht="13.8">
      <c r="L604" s="33">
        <v>601</v>
      </c>
      <c r="M604" s="23">
        <f ca="1"/>
        <v>42914.06294264023</v>
      </c>
      <c r="N604" s="25">
        <f t="shared" si="27"/>
        <v>31343.917000000001</v>
      </c>
      <c r="O604" s="25">
        <f t="shared" ca="1" si="28"/>
        <v>0</v>
      </c>
      <c r="P604" s="47">
        <f t="shared" ca="1" si="29"/>
        <v>0</v>
      </c>
    </row>
    <row r="605" spans="12:16" s="23" customFormat="1" ht="13.8">
      <c r="L605" s="23">
        <v>602</v>
      </c>
      <c r="M605" s="23">
        <f ca="1"/>
        <v>48380.876971881065</v>
      </c>
      <c r="N605" s="25">
        <f t="shared" si="27"/>
        <v>31343.917000000001</v>
      </c>
      <c r="O605" s="25">
        <f t="shared" ca="1" si="28"/>
        <v>0</v>
      </c>
      <c r="P605" s="47">
        <f t="shared" ca="1" si="29"/>
        <v>0</v>
      </c>
    </row>
    <row r="606" spans="12:16" s="23" customFormat="1" ht="13.8">
      <c r="L606" s="33">
        <v>603</v>
      </c>
      <c r="M606" s="23">
        <f ca="1"/>
        <v>55137.56609583924</v>
      </c>
      <c r="N606" s="25">
        <f t="shared" si="27"/>
        <v>31343.917000000001</v>
      </c>
      <c r="O606" s="25">
        <f t="shared" ca="1" si="28"/>
        <v>0</v>
      </c>
      <c r="P606" s="47">
        <f t="shared" ca="1" si="29"/>
        <v>0</v>
      </c>
    </row>
    <row r="607" spans="12:16" s="23" customFormat="1" ht="13.8">
      <c r="L607" s="23">
        <v>604</v>
      </c>
      <c r="M607" s="23">
        <f ca="1"/>
        <v>33303.868505546176</v>
      </c>
      <c r="N607" s="25">
        <f t="shared" si="27"/>
        <v>31343.917000000001</v>
      </c>
      <c r="O607" s="25">
        <f t="shared" ca="1" si="28"/>
        <v>0</v>
      </c>
      <c r="P607" s="47">
        <f t="shared" ca="1" si="29"/>
        <v>0</v>
      </c>
    </row>
    <row r="608" spans="12:16" s="23" customFormat="1" ht="13.8">
      <c r="L608" s="33">
        <v>605</v>
      </c>
      <c r="M608" s="23">
        <f ca="1"/>
        <v>43351.73615050409</v>
      </c>
      <c r="N608" s="25">
        <f t="shared" si="27"/>
        <v>31343.917000000001</v>
      </c>
      <c r="O608" s="25">
        <f t="shared" ca="1" si="28"/>
        <v>0</v>
      </c>
      <c r="P608" s="47">
        <f t="shared" ca="1" si="29"/>
        <v>0</v>
      </c>
    </row>
    <row r="609" spans="12:16" s="23" customFormat="1" ht="13.8">
      <c r="L609" s="23">
        <v>606</v>
      </c>
      <c r="M609" s="23">
        <f ca="1"/>
        <v>54729.989177614509</v>
      </c>
      <c r="N609" s="25">
        <f t="shared" si="27"/>
        <v>31343.917000000001</v>
      </c>
      <c r="O609" s="25">
        <f t="shared" ca="1" si="28"/>
        <v>0</v>
      </c>
      <c r="P609" s="47">
        <f t="shared" ca="1" si="29"/>
        <v>0</v>
      </c>
    </row>
    <row r="610" spans="12:16" s="23" customFormat="1" ht="13.8">
      <c r="L610" s="33">
        <v>607</v>
      </c>
      <c r="M610" s="23">
        <f ca="1"/>
        <v>35568.450668384692</v>
      </c>
      <c r="N610" s="25">
        <f t="shared" si="27"/>
        <v>31343.917000000001</v>
      </c>
      <c r="O610" s="25">
        <f t="shared" ca="1" si="28"/>
        <v>0</v>
      </c>
      <c r="P610" s="47">
        <f t="shared" ca="1" si="29"/>
        <v>0</v>
      </c>
    </row>
    <row r="611" spans="12:16" s="23" customFormat="1" ht="13.8">
      <c r="L611" s="23">
        <v>608</v>
      </c>
      <c r="M611" s="23">
        <f ca="1"/>
        <v>41816.261263479544</v>
      </c>
      <c r="N611" s="25">
        <f t="shared" si="27"/>
        <v>31343.917000000001</v>
      </c>
      <c r="O611" s="25">
        <f t="shared" ca="1" si="28"/>
        <v>0</v>
      </c>
      <c r="P611" s="47">
        <f t="shared" ca="1" si="29"/>
        <v>0</v>
      </c>
    </row>
    <row r="612" spans="12:16" s="23" customFormat="1" ht="13.8">
      <c r="L612" s="33">
        <v>609</v>
      </c>
      <c r="M612" s="23">
        <f ca="1"/>
        <v>47797.874087735778</v>
      </c>
      <c r="N612" s="25">
        <f t="shared" si="27"/>
        <v>31343.917000000001</v>
      </c>
      <c r="O612" s="25">
        <f t="shared" ca="1" si="28"/>
        <v>0</v>
      </c>
      <c r="P612" s="47">
        <f t="shared" ca="1" si="29"/>
        <v>0</v>
      </c>
    </row>
    <row r="613" spans="12:16" s="23" customFormat="1" ht="13.8">
      <c r="L613" s="23">
        <v>610</v>
      </c>
      <c r="M613" s="23">
        <f ca="1"/>
        <v>66312.985795496628</v>
      </c>
      <c r="N613" s="25">
        <f t="shared" si="27"/>
        <v>31343.917000000001</v>
      </c>
      <c r="O613" s="25">
        <f t="shared" ca="1" si="28"/>
        <v>0</v>
      </c>
      <c r="P613" s="47">
        <f t="shared" ca="1" si="29"/>
        <v>0</v>
      </c>
    </row>
    <row r="614" spans="12:16" s="23" customFormat="1" ht="13.8">
      <c r="L614" s="33">
        <v>611</v>
      </c>
      <c r="M614" s="23">
        <f ca="1"/>
        <v>78752.548944036171</v>
      </c>
      <c r="N614" s="25">
        <f t="shared" si="27"/>
        <v>31343.917000000001</v>
      </c>
      <c r="O614" s="25">
        <f t="shared" ca="1" si="28"/>
        <v>0</v>
      </c>
      <c r="P614" s="47">
        <f t="shared" ca="1" si="29"/>
        <v>0</v>
      </c>
    </row>
    <row r="615" spans="12:16" s="23" customFormat="1" ht="13.8">
      <c r="L615" s="23">
        <v>612</v>
      </c>
      <c r="M615" s="23">
        <f ca="1"/>
        <v>13620.957545405958</v>
      </c>
      <c r="N615" s="25">
        <f t="shared" si="27"/>
        <v>31343.917000000001</v>
      </c>
      <c r="O615" s="25">
        <f t="shared" ca="1" si="28"/>
        <v>1</v>
      </c>
      <c r="P615" s="47">
        <f t="shared" ca="1" si="29"/>
        <v>0.56543537473615824</v>
      </c>
    </row>
    <row r="616" spans="12:16" s="23" customFormat="1" ht="13.8">
      <c r="L616" s="33">
        <v>613</v>
      </c>
      <c r="M616" s="23">
        <f ca="1"/>
        <v>39717.451382697494</v>
      </c>
      <c r="N616" s="25">
        <f t="shared" si="27"/>
        <v>31343.917000000001</v>
      </c>
      <c r="O616" s="25">
        <f t="shared" ca="1" si="28"/>
        <v>0</v>
      </c>
      <c r="P616" s="47">
        <f t="shared" ca="1" si="29"/>
        <v>0</v>
      </c>
    </row>
    <row r="617" spans="12:16" s="23" customFormat="1" ht="13.8">
      <c r="L617" s="23">
        <v>614</v>
      </c>
      <c r="M617" s="23">
        <f ca="1"/>
        <v>34484.241319906883</v>
      </c>
      <c r="N617" s="25">
        <f t="shared" si="27"/>
        <v>31343.917000000001</v>
      </c>
      <c r="O617" s="25">
        <f t="shared" ca="1" si="28"/>
        <v>0</v>
      </c>
      <c r="P617" s="47">
        <f t="shared" ca="1" si="29"/>
        <v>0</v>
      </c>
    </row>
    <row r="618" spans="12:16" s="23" customFormat="1" ht="13.8">
      <c r="L618" s="33">
        <v>615</v>
      </c>
      <c r="M618" s="23">
        <f ca="1"/>
        <v>27625.068016794306</v>
      </c>
      <c r="N618" s="25">
        <f t="shared" si="27"/>
        <v>31343.917000000001</v>
      </c>
      <c r="O618" s="25">
        <f t="shared" ca="1" si="28"/>
        <v>1</v>
      </c>
      <c r="P618" s="47">
        <f t="shared" ca="1" si="29"/>
        <v>0.118646593634283</v>
      </c>
    </row>
    <row r="619" spans="12:16" s="23" customFormat="1" ht="13.8">
      <c r="L619" s="23">
        <v>616</v>
      </c>
      <c r="M619" s="23">
        <f ca="1"/>
        <v>33188.882641917124</v>
      </c>
      <c r="N619" s="25">
        <f t="shared" si="27"/>
        <v>31343.917000000001</v>
      </c>
      <c r="O619" s="25">
        <f t="shared" ca="1" si="28"/>
        <v>0</v>
      </c>
      <c r="P619" s="47">
        <f t="shared" ca="1" si="29"/>
        <v>0</v>
      </c>
    </row>
    <row r="620" spans="12:16" s="23" customFormat="1" ht="13.8">
      <c r="L620" s="33">
        <v>617</v>
      </c>
      <c r="M620" s="23">
        <f ca="1"/>
        <v>16192.838648496167</v>
      </c>
      <c r="N620" s="25">
        <f t="shared" si="27"/>
        <v>31343.917000000001</v>
      </c>
      <c r="O620" s="25">
        <f t="shared" ca="1" si="28"/>
        <v>1</v>
      </c>
      <c r="P620" s="47">
        <f t="shared" ca="1" si="29"/>
        <v>0.48338177871973798</v>
      </c>
    </row>
    <row r="621" spans="12:16" s="23" customFormat="1" ht="13.8">
      <c r="L621" s="23">
        <v>618</v>
      </c>
      <c r="M621" s="23">
        <f ca="1"/>
        <v>47146.76832269282</v>
      </c>
      <c r="N621" s="25">
        <f t="shared" si="27"/>
        <v>31343.917000000001</v>
      </c>
      <c r="O621" s="25">
        <f t="shared" ca="1" si="28"/>
        <v>0</v>
      </c>
      <c r="P621" s="47">
        <f t="shared" ca="1" si="29"/>
        <v>0</v>
      </c>
    </row>
    <row r="622" spans="12:16" s="23" customFormat="1" ht="13.8">
      <c r="L622" s="33">
        <v>619</v>
      </c>
      <c r="M622" s="23">
        <f ca="1"/>
        <v>23196.195262915055</v>
      </c>
      <c r="N622" s="25">
        <f t="shared" si="27"/>
        <v>31343.917000000001</v>
      </c>
      <c r="O622" s="25">
        <f t="shared" ca="1" si="28"/>
        <v>1</v>
      </c>
      <c r="P622" s="47">
        <f t="shared" ca="1" si="29"/>
        <v>0.25994586882950671</v>
      </c>
    </row>
    <row r="623" spans="12:16" s="23" customFormat="1" ht="13.8">
      <c r="L623" s="23">
        <v>620</v>
      </c>
      <c r="M623" s="23">
        <f ca="1"/>
        <v>41935.836547508792</v>
      </c>
      <c r="N623" s="25">
        <f t="shared" si="27"/>
        <v>31343.917000000001</v>
      </c>
      <c r="O623" s="25">
        <f t="shared" ca="1" si="28"/>
        <v>0</v>
      </c>
      <c r="P623" s="47">
        <f t="shared" ca="1" si="29"/>
        <v>0</v>
      </c>
    </row>
    <row r="624" spans="12:16" s="23" customFormat="1" ht="13.8">
      <c r="L624" s="33">
        <v>621</v>
      </c>
      <c r="M624" s="23">
        <f ca="1"/>
        <v>46622.862920580468</v>
      </c>
      <c r="N624" s="25">
        <f t="shared" si="27"/>
        <v>31343.917000000001</v>
      </c>
      <c r="O624" s="25">
        <f t="shared" ca="1" si="28"/>
        <v>0</v>
      </c>
      <c r="P624" s="47">
        <f t="shared" ca="1" si="29"/>
        <v>0</v>
      </c>
    </row>
    <row r="625" spans="12:16" s="23" customFormat="1" ht="13.8">
      <c r="L625" s="23">
        <v>622</v>
      </c>
      <c r="M625" s="23">
        <f ca="1"/>
        <v>42852.972761269317</v>
      </c>
      <c r="N625" s="25">
        <f t="shared" si="27"/>
        <v>31343.917000000001</v>
      </c>
      <c r="O625" s="25">
        <f t="shared" ca="1" si="28"/>
        <v>0</v>
      </c>
      <c r="P625" s="47">
        <f t="shared" ca="1" si="29"/>
        <v>0</v>
      </c>
    </row>
    <row r="626" spans="12:16" s="23" customFormat="1" ht="13.8">
      <c r="L626" s="33">
        <v>623</v>
      </c>
      <c r="M626" s="23">
        <f ca="1"/>
        <v>58675.536918558195</v>
      </c>
      <c r="N626" s="25">
        <f t="shared" si="27"/>
        <v>31343.917000000001</v>
      </c>
      <c r="O626" s="25">
        <f t="shared" ca="1" si="28"/>
        <v>0</v>
      </c>
      <c r="P626" s="47">
        <f t="shared" ca="1" si="29"/>
        <v>0</v>
      </c>
    </row>
    <row r="627" spans="12:16" s="23" customFormat="1" ht="13.8">
      <c r="L627" s="23">
        <v>624</v>
      </c>
      <c r="M627" s="23">
        <f ca="1"/>
        <v>37928.188870100763</v>
      </c>
      <c r="N627" s="25">
        <f t="shared" si="27"/>
        <v>31343.917000000001</v>
      </c>
      <c r="O627" s="25">
        <f t="shared" ca="1" si="28"/>
        <v>0</v>
      </c>
      <c r="P627" s="47">
        <f t="shared" ca="1" si="29"/>
        <v>0</v>
      </c>
    </row>
    <row r="628" spans="12:16" s="23" customFormat="1" ht="13.8">
      <c r="L628" s="33">
        <v>625</v>
      </c>
      <c r="M628" s="23">
        <f ca="1"/>
        <v>31128.998423469096</v>
      </c>
      <c r="N628" s="25">
        <f t="shared" si="27"/>
        <v>31343.917000000001</v>
      </c>
      <c r="O628" s="25">
        <f t="shared" ca="1" si="28"/>
        <v>1</v>
      </c>
      <c r="P628" s="47">
        <f t="shared" ca="1" si="29"/>
        <v>6.8567874439848988E-3</v>
      </c>
    </row>
    <row r="629" spans="12:16" s="23" customFormat="1" ht="13.8">
      <c r="L629" s="23">
        <v>626</v>
      </c>
      <c r="M629" s="23">
        <f ca="1"/>
        <v>45823.989111886556</v>
      </c>
      <c r="N629" s="25">
        <f t="shared" si="27"/>
        <v>31343.917000000001</v>
      </c>
      <c r="O629" s="25">
        <f t="shared" ca="1" si="28"/>
        <v>0</v>
      </c>
      <c r="P629" s="47">
        <f t="shared" ca="1" si="29"/>
        <v>0</v>
      </c>
    </row>
    <row r="630" spans="12:16" s="23" customFormat="1" ht="13.8">
      <c r="L630" s="33">
        <v>627</v>
      </c>
      <c r="M630" s="23">
        <f ca="1"/>
        <v>90063.244377713854</v>
      </c>
      <c r="N630" s="25">
        <f t="shared" si="27"/>
        <v>31343.917000000001</v>
      </c>
      <c r="O630" s="25">
        <f t="shared" ca="1" si="28"/>
        <v>0</v>
      </c>
      <c r="P630" s="47">
        <f t="shared" ca="1" si="29"/>
        <v>0</v>
      </c>
    </row>
    <row r="631" spans="12:16" s="23" customFormat="1" ht="13.8">
      <c r="L631" s="23">
        <v>628</v>
      </c>
      <c r="M631" s="23">
        <f ca="1"/>
        <v>44817.205256672118</v>
      </c>
      <c r="N631" s="25">
        <f t="shared" si="27"/>
        <v>31343.917000000001</v>
      </c>
      <c r="O631" s="25">
        <f t="shared" ca="1" si="28"/>
        <v>0</v>
      </c>
      <c r="P631" s="47">
        <f t="shared" ca="1" si="29"/>
        <v>0</v>
      </c>
    </row>
    <row r="632" spans="12:16" s="23" customFormat="1" ht="13.8">
      <c r="L632" s="33">
        <v>629</v>
      </c>
      <c r="M632" s="23">
        <f ca="1"/>
        <v>40823.058509619317</v>
      </c>
      <c r="N632" s="25">
        <f t="shared" si="27"/>
        <v>31343.917000000001</v>
      </c>
      <c r="O632" s="25">
        <f t="shared" ca="1" si="28"/>
        <v>0</v>
      </c>
      <c r="P632" s="47">
        <f t="shared" ca="1" si="29"/>
        <v>0</v>
      </c>
    </row>
    <row r="633" spans="12:16" s="23" customFormat="1" ht="13.8">
      <c r="L633" s="23">
        <v>630</v>
      </c>
      <c r="M633" s="23">
        <f ca="1"/>
        <v>38990.533374480088</v>
      </c>
      <c r="N633" s="25">
        <f t="shared" si="27"/>
        <v>31343.917000000001</v>
      </c>
      <c r="O633" s="25">
        <f t="shared" ca="1" si="28"/>
        <v>0</v>
      </c>
      <c r="P633" s="47">
        <f t="shared" ca="1" si="29"/>
        <v>0</v>
      </c>
    </row>
    <row r="634" spans="12:16" s="23" customFormat="1" ht="13.8">
      <c r="L634" s="33">
        <v>631</v>
      </c>
      <c r="M634" s="23">
        <f ca="1"/>
        <v>15290.456028251563</v>
      </c>
      <c r="N634" s="25">
        <f t="shared" si="27"/>
        <v>31343.917000000001</v>
      </c>
      <c r="O634" s="25">
        <f t="shared" ca="1" si="28"/>
        <v>1</v>
      </c>
      <c r="P634" s="47">
        <f t="shared" ca="1" si="29"/>
        <v>0.51217149955279795</v>
      </c>
    </row>
    <row r="635" spans="12:16" s="23" customFormat="1" ht="13.8">
      <c r="L635" s="23">
        <v>632</v>
      </c>
      <c r="M635" s="23">
        <f ca="1"/>
        <v>28454.890710455846</v>
      </c>
      <c r="N635" s="25">
        <f t="shared" si="27"/>
        <v>31343.917000000001</v>
      </c>
      <c r="O635" s="25">
        <f t="shared" ca="1" si="28"/>
        <v>1</v>
      </c>
      <c r="P635" s="47">
        <f t="shared" ca="1" si="29"/>
        <v>9.2171833199537742E-2</v>
      </c>
    </row>
    <row r="636" spans="12:16" s="23" customFormat="1" ht="13.8">
      <c r="L636" s="33">
        <v>633</v>
      </c>
      <c r="M636" s="23">
        <f ca="1"/>
        <v>36871.635435623226</v>
      </c>
      <c r="N636" s="25">
        <f t="shared" si="27"/>
        <v>31343.917000000001</v>
      </c>
      <c r="O636" s="25">
        <f t="shared" ca="1" si="28"/>
        <v>0</v>
      </c>
      <c r="P636" s="47">
        <f t="shared" ca="1" si="29"/>
        <v>0</v>
      </c>
    </row>
    <row r="637" spans="12:16" s="23" customFormat="1" ht="13.8">
      <c r="L637" s="23">
        <v>634</v>
      </c>
      <c r="M637" s="23">
        <f ca="1"/>
        <v>32656.397656363017</v>
      </c>
      <c r="N637" s="25">
        <f t="shared" si="27"/>
        <v>31343.917000000001</v>
      </c>
      <c r="O637" s="25">
        <f t="shared" ca="1" si="28"/>
        <v>0</v>
      </c>
      <c r="P637" s="47">
        <f t="shared" ca="1" si="29"/>
        <v>0</v>
      </c>
    </row>
    <row r="638" spans="12:16" s="23" customFormat="1" ht="13.8">
      <c r="L638" s="33">
        <v>635</v>
      </c>
      <c r="M638" s="23">
        <f ca="1"/>
        <v>29680.187396856265</v>
      </c>
      <c r="N638" s="25">
        <f t="shared" si="27"/>
        <v>31343.917000000001</v>
      </c>
      <c r="O638" s="25">
        <f t="shared" ca="1" si="28"/>
        <v>1</v>
      </c>
      <c r="P638" s="47">
        <f t="shared" ca="1" si="29"/>
        <v>5.3079824169510667E-2</v>
      </c>
    </row>
    <row r="639" spans="12:16" s="23" customFormat="1" ht="13.8">
      <c r="L639" s="23">
        <v>636</v>
      </c>
      <c r="M639" s="23">
        <f ca="1"/>
        <v>48776.036342274449</v>
      </c>
      <c r="N639" s="25">
        <f t="shared" si="27"/>
        <v>31343.917000000001</v>
      </c>
      <c r="O639" s="25">
        <f t="shared" ca="1" si="28"/>
        <v>0</v>
      </c>
      <c r="P639" s="47">
        <f t="shared" ca="1" si="29"/>
        <v>0</v>
      </c>
    </row>
    <row r="640" spans="12:16" s="23" customFormat="1" ht="13.8">
      <c r="L640" s="33">
        <v>637</v>
      </c>
      <c r="M640" s="23">
        <f ca="1"/>
        <v>43920.593628975832</v>
      </c>
      <c r="N640" s="25">
        <f t="shared" si="27"/>
        <v>31343.917000000001</v>
      </c>
      <c r="O640" s="25">
        <f t="shared" ca="1" si="28"/>
        <v>0</v>
      </c>
      <c r="P640" s="47">
        <f t="shared" ca="1" si="29"/>
        <v>0</v>
      </c>
    </row>
    <row r="641" spans="12:16" s="23" customFormat="1" ht="13.8">
      <c r="L641" s="23">
        <v>638</v>
      </c>
      <c r="M641" s="23">
        <f ca="1"/>
        <v>48129.837365019528</v>
      </c>
      <c r="N641" s="25">
        <f t="shared" si="27"/>
        <v>31343.917000000001</v>
      </c>
      <c r="O641" s="25">
        <f t="shared" ca="1" si="28"/>
        <v>0</v>
      </c>
      <c r="P641" s="47">
        <f t="shared" ca="1" si="29"/>
        <v>0</v>
      </c>
    </row>
    <row r="642" spans="12:16" s="23" customFormat="1" ht="13.8">
      <c r="L642" s="33">
        <v>639</v>
      </c>
      <c r="M642" s="23">
        <f ca="1"/>
        <v>45660.119974874244</v>
      </c>
      <c r="N642" s="25">
        <f t="shared" si="27"/>
        <v>31343.917000000001</v>
      </c>
      <c r="O642" s="25">
        <f t="shared" ca="1" si="28"/>
        <v>0</v>
      </c>
      <c r="P642" s="47">
        <f t="shared" ca="1" si="29"/>
        <v>0</v>
      </c>
    </row>
    <row r="643" spans="12:16" s="23" customFormat="1" ht="13.8">
      <c r="L643" s="23">
        <v>640</v>
      </c>
      <c r="M643" s="23">
        <f ca="1"/>
        <v>38589.889670160243</v>
      </c>
      <c r="N643" s="25">
        <f t="shared" si="27"/>
        <v>31343.917000000001</v>
      </c>
      <c r="O643" s="25">
        <f t="shared" ca="1" si="28"/>
        <v>0</v>
      </c>
      <c r="P643" s="47">
        <f t="shared" ca="1" si="29"/>
        <v>0</v>
      </c>
    </row>
    <row r="644" spans="12:16" s="23" customFormat="1" ht="13.8">
      <c r="L644" s="33">
        <v>641</v>
      </c>
      <c r="M644" s="23">
        <f ca="1"/>
        <v>7071.3848628592823</v>
      </c>
      <c r="N644" s="25">
        <f t="shared" ref="N644:N707" si="30">($C$23+$E$23)*1.1</f>
        <v>31343.917000000001</v>
      </c>
      <c r="O644" s="25">
        <f t="shared" ref="O644:O707" ca="1" si="31">IF(M644&lt;N644,1,0)</f>
        <v>1</v>
      </c>
      <c r="P644" s="47">
        <f t="shared" ca="1" si="29"/>
        <v>0.77439370890181713</v>
      </c>
    </row>
    <row r="645" spans="12:16" s="23" customFormat="1" ht="13.8">
      <c r="L645" s="23">
        <v>642</v>
      </c>
      <c r="M645" s="23">
        <f ca="1"/>
        <v>8161.8740796459624</v>
      </c>
      <c r="N645" s="25">
        <f t="shared" si="30"/>
        <v>31343.917000000001</v>
      </c>
      <c r="O645" s="25">
        <f t="shared" ca="1" si="31"/>
        <v>1</v>
      </c>
      <c r="P645" s="47">
        <f t="shared" ref="P645:P708" ca="1" si="32">MAX((N645-M645)/N645,0)</f>
        <v>0.73960261317543818</v>
      </c>
    </row>
    <row r="646" spans="12:16" s="23" customFormat="1" ht="13.8">
      <c r="L646" s="33">
        <v>643</v>
      </c>
      <c r="M646" s="23">
        <f ca="1"/>
        <v>49717.345885576942</v>
      </c>
      <c r="N646" s="25">
        <f t="shared" si="30"/>
        <v>31343.917000000001</v>
      </c>
      <c r="O646" s="25">
        <f t="shared" ca="1" si="31"/>
        <v>0</v>
      </c>
      <c r="P646" s="47">
        <f t="shared" ca="1" si="32"/>
        <v>0</v>
      </c>
    </row>
    <row r="647" spans="12:16" s="23" customFormat="1" ht="13.8">
      <c r="L647" s="23">
        <v>644</v>
      </c>
      <c r="M647" s="23">
        <f ca="1"/>
        <v>42104.418346527222</v>
      </c>
      <c r="N647" s="25">
        <f t="shared" si="30"/>
        <v>31343.917000000001</v>
      </c>
      <c r="O647" s="25">
        <f t="shared" ca="1" si="31"/>
        <v>0</v>
      </c>
      <c r="P647" s="47">
        <f t="shared" ca="1" si="32"/>
        <v>0</v>
      </c>
    </row>
    <row r="648" spans="12:16" s="23" customFormat="1" ht="13.8">
      <c r="L648" s="33">
        <v>645</v>
      </c>
      <c r="M648" s="23">
        <f ca="1"/>
        <v>39055.795572449861</v>
      </c>
      <c r="N648" s="25">
        <f t="shared" si="30"/>
        <v>31343.917000000001</v>
      </c>
      <c r="O648" s="25">
        <f t="shared" ca="1" si="31"/>
        <v>0</v>
      </c>
      <c r="P648" s="47">
        <f t="shared" ca="1" si="32"/>
        <v>0</v>
      </c>
    </row>
    <row r="649" spans="12:16" s="23" customFormat="1" ht="13.8">
      <c r="L649" s="23">
        <v>646</v>
      </c>
      <c r="M649" s="23">
        <f ca="1"/>
        <v>45713.204576570126</v>
      </c>
      <c r="N649" s="25">
        <f t="shared" si="30"/>
        <v>31343.917000000001</v>
      </c>
      <c r="O649" s="25">
        <f t="shared" ca="1" si="31"/>
        <v>0</v>
      </c>
      <c r="P649" s="47">
        <f t="shared" ca="1" si="32"/>
        <v>0</v>
      </c>
    </row>
    <row r="650" spans="12:16" s="23" customFormat="1" ht="13.8">
      <c r="L650" s="33">
        <v>647</v>
      </c>
      <c r="M650" s="23">
        <f ca="1"/>
        <v>64762.721534973483</v>
      </c>
      <c r="N650" s="25">
        <f t="shared" si="30"/>
        <v>31343.917000000001</v>
      </c>
      <c r="O650" s="25">
        <f t="shared" ca="1" si="31"/>
        <v>0</v>
      </c>
      <c r="P650" s="47">
        <f t="shared" ca="1" si="32"/>
        <v>0</v>
      </c>
    </row>
    <row r="651" spans="12:16" s="23" customFormat="1" ht="13.8">
      <c r="L651" s="23">
        <v>648</v>
      </c>
      <c r="M651" s="23">
        <f ca="1"/>
        <v>41411.643498175217</v>
      </c>
      <c r="N651" s="25">
        <f t="shared" si="30"/>
        <v>31343.917000000001</v>
      </c>
      <c r="O651" s="25">
        <f t="shared" ca="1" si="31"/>
        <v>0</v>
      </c>
      <c r="P651" s="47">
        <f t="shared" ca="1" si="32"/>
        <v>0</v>
      </c>
    </row>
    <row r="652" spans="12:16" s="23" customFormat="1" ht="13.8">
      <c r="L652" s="33">
        <v>649</v>
      </c>
      <c r="M652" s="23">
        <f ca="1"/>
        <v>29648.351453168892</v>
      </c>
      <c r="N652" s="25">
        <f t="shared" si="30"/>
        <v>31343.917000000001</v>
      </c>
      <c r="O652" s="25">
        <f t="shared" ca="1" si="31"/>
        <v>1</v>
      </c>
      <c r="P652" s="47">
        <f t="shared" ca="1" si="32"/>
        <v>5.4095521846586968E-2</v>
      </c>
    </row>
    <row r="653" spans="12:16" s="23" customFormat="1" ht="13.8">
      <c r="L653" s="23">
        <v>650</v>
      </c>
      <c r="M653" s="23">
        <f ca="1"/>
        <v>42973.369617990298</v>
      </c>
      <c r="N653" s="25">
        <f t="shared" si="30"/>
        <v>31343.917000000001</v>
      </c>
      <c r="O653" s="25">
        <f t="shared" ca="1" si="31"/>
        <v>0</v>
      </c>
      <c r="P653" s="47">
        <f t="shared" ca="1" si="32"/>
        <v>0</v>
      </c>
    </row>
    <row r="654" spans="12:16" s="23" customFormat="1" ht="13.8">
      <c r="L654" s="33">
        <v>651</v>
      </c>
      <c r="M654" s="23">
        <f ca="1"/>
        <v>52449.104447631187</v>
      </c>
      <c r="N654" s="25">
        <f t="shared" si="30"/>
        <v>31343.917000000001</v>
      </c>
      <c r="O654" s="25">
        <f t="shared" ca="1" si="31"/>
        <v>0</v>
      </c>
      <c r="P654" s="47">
        <f t="shared" ca="1" si="32"/>
        <v>0</v>
      </c>
    </row>
    <row r="655" spans="12:16" s="23" customFormat="1" ht="13.8">
      <c r="L655" s="23">
        <v>652</v>
      </c>
      <c r="M655" s="23">
        <f ca="1"/>
        <v>68282.134232240423</v>
      </c>
      <c r="N655" s="25">
        <f t="shared" si="30"/>
        <v>31343.917000000001</v>
      </c>
      <c r="O655" s="25">
        <f t="shared" ca="1" si="31"/>
        <v>0</v>
      </c>
      <c r="P655" s="47">
        <f t="shared" ca="1" si="32"/>
        <v>0</v>
      </c>
    </row>
    <row r="656" spans="12:16" s="23" customFormat="1" ht="13.8">
      <c r="L656" s="33">
        <v>653</v>
      </c>
      <c r="M656" s="23">
        <f ca="1"/>
        <v>55986.052185041175</v>
      </c>
      <c r="N656" s="25">
        <f t="shared" si="30"/>
        <v>31343.917000000001</v>
      </c>
      <c r="O656" s="25">
        <f t="shared" ca="1" si="31"/>
        <v>0</v>
      </c>
      <c r="P656" s="47">
        <f t="shared" ca="1" si="32"/>
        <v>0</v>
      </c>
    </row>
    <row r="657" spans="12:16" s="23" customFormat="1" ht="13.8">
      <c r="L657" s="23">
        <v>654</v>
      </c>
      <c r="M657" s="23">
        <f ca="1"/>
        <v>39071.938010915226</v>
      </c>
      <c r="N657" s="25">
        <f t="shared" si="30"/>
        <v>31343.917000000001</v>
      </c>
      <c r="O657" s="25">
        <f t="shared" ca="1" si="31"/>
        <v>0</v>
      </c>
      <c r="P657" s="47">
        <f t="shared" ca="1" si="32"/>
        <v>0</v>
      </c>
    </row>
    <row r="658" spans="12:16" s="23" customFormat="1" ht="13.8">
      <c r="L658" s="33">
        <v>655</v>
      </c>
      <c r="M658" s="23">
        <f ca="1"/>
        <v>43754.378022182056</v>
      </c>
      <c r="N658" s="25">
        <f t="shared" si="30"/>
        <v>31343.917000000001</v>
      </c>
      <c r="O658" s="25">
        <f t="shared" ca="1" si="31"/>
        <v>0</v>
      </c>
      <c r="P658" s="47">
        <f t="shared" ca="1" si="32"/>
        <v>0</v>
      </c>
    </row>
    <row r="659" spans="12:16" s="23" customFormat="1" ht="13.8">
      <c r="L659" s="23">
        <v>656</v>
      </c>
      <c r="M659" s="23">
        <f ca="1"/>
        <v>33019.965179286854</v>
      </c>
      <c r="N659" s="25">
        <f t="shared" si="30"/>
        <v>31343.917000000001</v>
      </c>
      <c r="O659" s="25">
        <f t="shared" ca="1" si="31"/>
        <v>0</v>
      </c>
      <c r="P659" s="47">
        <f t="shared" ca="1" si="32"/>
        <v>0</v>
      </c>
    </row>
    <row r="660" spans="12:16" s="23" customFormat="1" ht="13.8">
      <c r="L660" s="33">
        <v>657</v>
      </c>
      <c r="M660" s="23">
        <f ca="1"/>
        <v>47171.634627554507</v>
      </c>
      <c r="N660" s="25">
        <f t="shared" si="30"/>
        <v>31343.917000000001</v>
      </c>
      <c r="O660" s="25">
        <f t="shared" ca="1" si="31"/>
        <v>0</v>
      </c>
      <c r="P660" s="47">
        <f t="shared" ca="1" si="32"/>
        <v>0</v>
      </c>
    </row>
    <row r="661" spans="12:16" s="23" customFormat="1" ht="13.8">
      <c r="L661" s="23">
        <v>658</v>
      </c>
      <c r="M661" s="23">
        <f ca="1"/>
        <v>44253.195375360956</v>
      </c>
      <c r="N661" s="25">
        <f t="shared" si="30"/>
        <v>31343.917000000001</v>
      </c>
      <c r="O661" s="25">
        <f t="shared" ca="1" si="31"/>
        <v>0</v>
      </c>
      <c r="P661" s="47">
        <f t="shared" ca="1" si="32"/>
        <v>0</v>
      </c>
    </row>
    <row r="662" spans="12:16" s="23" customFormat="1" ht="13.8">
      <c r="L662" s="33">
        <v>659</v>
      </c>
      <c r="M662" s="23">
        <f ca="1"/>
        <v>43416.45264555866</v>
      </c>
      <c r="N662" s="25">
        <f t="shared" si="30"/>
        <v>31343.917000000001</v>
      </c>
      <c r="O662" s="25">
        <f t="shared" ca="1" si="31"/>
        <v>0</v>
      </c>
      <c r="P662" s="47">
        <f t="shared" ca="1" si="32"/>
        <v>0</v>
      </c>
    </row>
    <row r="663" spans="12:16" s="23" customFormat="1" ht="13.8">
      <c r="L663" s="23">
        <v>660</v>
      </c>
      <c r="M663" s="23">
        <f ca="1"/>
        <v>64271.111759414853</v>
      </c>
      <c r="N663" s="25">
        <f t="shared" si="30"/>
        <v>31343.917000000001</v>
      </c>
      <c r="O663" s="25">
        <f t="shared" ca="1" si="31"/>
        <v>0</v>
      </c>
      <c r="P663" s="47">
        <f t="shared" ca="1" si="32"/>
        <v>0</v>
      </c>
    </row>
    <row r="664" spans="12:16" s="23" customFormat="1" ht="13.8">
      <c r="L664" s="33">
        <v>661</v>
      </c>
      <c r="M664" s="23">
        <f ca="1"/>
        <v>51216.382185745497</v>
      </c>
      <c r="N664" s="25">
        <f t="shared" si="30"/>
        <v>31343.917000000001</v>
      </c>
      <c r="O664" s="25">
        <f t="shared" ca="1" si="31"/>
        <v>0</v>
      </c>
      <c r="P664" s="47">
        <f t="shared" ca="1" si="32"/>
        <v>0</v>
      </c>
    </row>
    <row r="665" spans="12:16" s="23" customFormat="1" ht="13.8">
      <c r="L665" s="23">
        <v>662</v>
      </c>
      <c r="M665" s="23">
        <f ca="1"/>
        <v>16079.491934185075</v>
      </c>
      <c r="N665" s="25">
        <f t="shared" si="30"/>
        <v>31343.917000000001</v>
      </c>
      <c r="O665" s="25">
        <f t="shared" ca="1" si="31"/>
        <v>1</v>
      </c>
      <c r="P665" s="47">
        <f t="shared" ca="1" si="32"/>
        <v>0.48699800557201978</v>
      </c>
    </row>
    <row r="666" spans="12:16" s="23" customFormat="1" ht="13.8">
      <c r="L666" s="33">
        <v>663</v>
      </c>
      <c r="M666" s="23">
        <f ca="1"/>
        <v>27301.545043350186</v>
      </c>
      <c r="N666" s="25">
        <f t="shared" si="30"/>
        <v>31343.917000000001</v>
      </c>
      <c r="O666" s="25">
        <f t="shared" ca="1" si="31"/>
        <v>1</v>
      </c>
      <c r="P666" s="47">
        <f t="shared" ca="1" si="32"/>
        <v>0.12896830848071142</v>
      </c>
    </row>
    <row r="667" spans="12:16" s="23" customFormat="1" ht="13.8">
      <c r="L667" s="23">
        <v>664</v>
      </c>
      <c r="M667" s="23">
        <f ca="1"/>
        <v>55006.382523206288</v>
      </c>
      <c r="N667" s="25">
        <f t="shared" si="30"/>
        <v>31343.917000000001</v>
      </c>
      <c r="O667" s="25">
        <f t="shared" ca="1" si="31"/>
        <v>0</v>
      </c>
      <c r="P667" s="47">
        <f t="shared" ca="1" si="32"/>
        <v>0</v>
      </c>
    </row>
    <row r="668" spans="12:16" s="23" customFormat="1" ht="13.8">
      <c r="L668" s="33">
        <v>665</v>
      </c>
      <c r="M668" s="23">
        <f ca="1"/>
        <v>65969.138745534903</v>
      </c>
      <c r="N668" s="25">
        <f t="shared" si="30"/>
        <v>31343.917000000001</v>
      </c>
      <c r="O668" s="25">
        <f t="shared" ca="1" si="31"/>
        <v>0</v>
      </c>
      <c r="P668" s="47">
        <f t="shared" ca="1" si="32"/>
        <v>0</v>
      </c>
    </row>
    <row r="669" spans="12:16" s="23" customFormat="1" ht="13.8">
      <c r="L669" s="23">
        <v>666</v>
      </c>
      <c r="M669" s="23">
        <f ca="1"/>
        <v>43732.177338416142</v>
      </c>
      <c r="N669" s="25">
        <f t="shared" si="30"/>
        <v>31343.917000000001</v>
      </c>
      <c r="O669" s="25">
        <f t="shared" ca="1" si="31"/>
        <v>0</v>
      </c>
      <c r="P669" s="47">
        <f t="shared" ca="1" si="32"/>
        <v>0</v>
      </c>
    </row>
    <row r="670" spans="12:16" s="23" customFormat="1" ht="13.8">
      <c r="L670" s="33">
        <v>667</v>
      </c>
      <c r="M670" s="23">
        <f ca="1"/>
        <v>29326.022508172206</v>
      </c>
      <c r="N670" s="25">
        <f t="shared" si="30"/>
        <v>31343.917000000001</v>
      </c>
      <c r="O670" s="25">
        <f t="shared" ca="1" si="31"/>
        <v>1</v>
      </c>
      <c r="P670" s="47">
        <f t="shared" ca="1" si="32"/>
        <v>6.437914226954454E-2</v>
      </c>
    </row>
    <row r="671" spans="12:16" s="23" customFormat="1" ht="13.8">
      <c r="L671" s="23">
        <v>668</v>
      </c>
      <c r="M671" s="23">
        <f ca="1"/>
        <v>36938.355024727665</v>
      </c>
      <c r="N671" s="25">
        <f t="shared" si="30"/>
        <v>31343.917000000001</v>
      </c>
      <c r="O671" s="25">
        <f t="shared" ca="1" si="31"/>
        <v>0</v>
      </c>
      <c r="P671" s="47">
        <f t="shared" ca="1" si="32"/>
        <v>0</v>
      </c>
    </row>
    <row r="672" spans="12:16" s="23" customFormat="1" ht="13.8">
      <c r="L672" s="33">
        <v>669</v>
      </c>
      <c r="M672" s="23">
        <f ca="1"/>
        <v>40937.08203562862</v>
      </c>
      <c r="N672" s="25">
        <f t="shared" si="30"/>
        <v>31343.917000000001</v>
      </c>
      <c r="O672" s="25">
        <f t="shared" ca="1" si="31"/>
        <v>0</v>
      </c>
      <c r="P672" s="47">
        <f t="shared" ca="1" si="32"/>
        <v>0</v>
      </c>
    </row>
    <row r="673" spans="12:16" s="23" customFormat="1" ht="13.8">
      <c r="L673" s="23">
        <v>670</v>
      </c>
      <c r="M673" s="23">
        <f ca="1"/>
        <v>24149.503365630153</v>
      </c>
      <c r="N673" s="25">
        <f t="shared" si="30"/>
        <v>31343.917000000001</v>
      </c>
      <c r="O673" s="25">
        <f t="shared" ca="1" si="31"/>
        <v>1</v>
      </c>
      <c r="P673" s="47">
        <f t="shared" ca="1" si="32"/>
        <v>0.22953141543763814</v>
      </c>
    </row>
    <row r="674" spans="12:16" s="23" customFormat="1" ht="13.8">
      <c r="L674" s="33">
        <v>671</v>
      </c>
      <c r="M674" s="23">
        <f ca="1"/>
        <v>50267.293622684178</v>
      </c>
      <c r="N674" s="25">
        <f t="shared" si="30"/>
        <v>31343.917000000001</v>
      </c>
      <c r="O674" s="25">
        <f t="shared" ca="1" si="31"/>
        <v>0</v>
      </c>
      <c r="P674" s="47">
        <f t="shared" ca="1" si="32"/>
        <v>0</v>
      </c>
    </row>
    <row r="675" spans="12:16" s="23" customFormat="1" ht="13.8">
      <c r="L675" s="23">
        <v>672</v>
      </c>
      <c r="M675" s="23">
        <f ca="1"/>
        <v>43934.684087035246</v>
      </c>
      <c r="N675" s="25">
        <f t="shared" si="30"/>
        <v>31343.917000000001</v>
      </c>
      <c r="O675" s="25">
        <f t="shared" ca="1" si="31"/>
        <v>0</v>
      </c>
      <c r="P675" s="47">
        <f t="shared" ca="1" si="32"/>
        <v>0</v>
      </c>
    </row>
    <row r="676" spans="12:16" s="23" customFormat="1" ht="13.8">
      <c r="L676" s="33">
        <v>673</v>
      </c>
      <c r="M676" s="23">
        <f ca="1"/>
        <v>29392.268396899031</v>
      </c>
      <c r="N676" s="25">
        <f t="shared" si="30"/>
        <v>31343.917000000001</v>
      </c>
      <c r="O676" s="25">
        <f t="shared" ca="1" si="31"/>
        <v>1</v>
      </c>
      <c r="P676" s="47">
        <f t="shared" ca="1" si="32"/>
        <v>6.2265625674703319E-2</v>
      </c>
    </row>
    <row r="677" spans="12:16" s="23" customFormat="1" ht="13.8">
      <c r="L677" s="23">
        <v>674</v>
      </c>
      <c r="M677" s="23">
        <f ca="1"/>
        <v>76619.104299122773</v>
      </c>
      <c r="N677" s="25">
        <f t="shared" si="30"/>
        <v>31343.917000000001</v>
      </c>
      <c r="O677" s="25">
        <f t="shared" ca="1" si="31"/>
        <v>0</v>
      </c>
      <c r="P677" s="47">
        <f t="shared" ca="1" si="32"/>
        <v>0</v>
      </c>
    </row>
    <row r="678" spans="12:16" s="23" customFormat="1" ht="13.8">
      <c r="L678" s="33">
        <v>675</v>
      </c>
      <c r="M678" s="23">
        <f ca="1"/>
        <v>59775.230984252492</v>
      </c>
      <c r="N678" s="25">
        <f t="shared" si="30"/>
        <v>31343.917000000001</v>
      </c>
      <c r="O678" s="25">
        <f t="shared" ca="1" si="31"/>
        <v>0</v>
      </c>
      <c r="P678" s="47">
        <f t="shared" ca="1" si="32"/>
        <v>0</v>
      </c>
    </row>
    <row r="679" spans="12:16" s="23" customFormat="1" ht="13.8">
      <c r="L679" s="23">
        <v>676</v>
      </c>
      <c r="M679" s="23">
        <f ca="1"/>
        <v>55469.715926798897</v>
      </c>
      <c r="N679" s="25">
        <f t="shared" si="30"/>
        <v>31343.917000000001</v>
      </c>
      <c r="O679" s="25">
        <f t="shared" ca="1" si="31"/>
        <v>0</v>
      </c>
      <c r="P679" s="47">
        <f t="shared" ca="1" si="32"/>
        <v>0</v>
      </c>
    </row>
    <row r="680" spans="12:16" s="23" customFormat="1" ht="13.8">
      <c r="L680" s="33">
        <v>677</v>
      </c>
      <c r="M680" s="23">
        <f ca="1"/>
        <v>53885.180641297797</v>
      </c>
      <c r="N680" s="25">
        <f t="shared" si="30"/>
        <v>31343.917000000001</v>
      </c>
      <c r="O680" s="25">
        <f t="shared" ca="1" si="31"/>
        <v>0</v>
      </c>
      <c r="P680" s="47">
        <f t="shared" ca="1" si="32"/>
        <v>0</v>
      </c>
    </row>
    <row r="681" spans="12:16" s="23" customFormat="1" ht="13.8">
      <c r="L681" s="23">
        <v>678</v>
      </c>
      <c r="M681" s="23">
        <f ca="1"/>
        <v>56450.307728848536</v>
      </c>
      <c r="N681" s="25">
        <f t="shared" si="30"/>
        <v>31343.917000000001</v>
      </c>
      <c r="O681" s="25">
        <f t="shared" ca="1" si="31"/>
        <v>0</v>
      </c>
      <c r="P681" s="47">
        <f t="shared" ca="1" si="32"/>
        <v>0</v>
      </c>
    </row>
    <row r="682" spans="12:16" s="23" customFormat="1" ht="13.8">
      <c r="L682" s="33">
        <v>679</v>
      </c>
      <c r="M682" s="23">
        <f ca="1"/>
        <v>52385.145675176573</v>
      </c>
      <c r="N682" s="25">
        <f t="shared" si="30"/>
        <v>31343.917000000001</v>
      </c>
      <c r="O682" s="25">
        <f t="shared" ca="1" si="31"/>
        <v>0</v>
      </c>
      <c r="P682" s="47">
        <f t="shared" ca="1" si="32"/>
        <v>0</v>
      </c>
    </row>
    <row r="683" spans="12:16" s="23" customFormat="1" ht="13.8">
      <c r="L683" s="23">
        <v>680</v>
      </c>
      <c r="M683" s="23">
        <f ca="1"/>
        <v>56554.71892925429</v>
      </c>
      <c r="N683" s="25">
        <f t="shared" si="30"/>
        <v>31343.917000000001</v>
      </c>
      <c r="O683" s="25">
        <f t="shared" ca="1" si="31"/>
        <v>0</v>
      </c>
      <c r="P683" s="47">
        <f t="shared" ca="1" si="32"/>
        <v>0</v>
      </c>
    </row>
    <row r="684" spans="12:16" s="23" customFormat="1" ht="13.8">
      <c r="L684" s="33">
        <v>681</v>
      </c>
      <c r="M684" s="23">
        <f ca="1"/>
        <v>46233.69467750856</v>
      </c>
      <c r="N684" s="25">
        <f t="shared" si="30"/>
        <v>31343.917000000001</v>
      </c>
      <c r="O684" s="25">
        <f t="shared" ca="1" si="31"/>
        <v>0</v>
      </c>
      <c r="P684" s="47">
        <f t="shared" ca="1" si="32"/>
        <v>0</v>
      </c>
    </row>
    <row r="685" spans="12:16" s="23" customFormat="1" ht="13.8">
      <c r="L685" s="23">
        <v>682</v>
      </c>
      <c r="M685" s="23">
        <f ca="1"/>
        <v>15494.815148372125</v>
      </c>
      <c r="N685" s="25">
        <f t="shared" si="30"/>
        <v>31343.917000000001</v>
      </c>
      <c r="O685" s="25">
        <f t="shared" ca="1" si="31"/>
        <v>1</v>
      </c>
      <c r="P685" s="47">
        <f t="shared" ca="1" si="32"/>
        <v>0.50565160224320005</v>
      </c>
    </row>
    <row r="686" spans="12:16" s="23" customFormat="1" ht="13.8">
      <c r="L686" s="33">
        <v>683</v>
      </c>
      <c r="M686" s="23">
        <f ca="1"/>
        <v>38551.065513178386</v>
      </c>
      <c r="N686" s="25">
        <f t="shared" si="30"/>
        <v>31343.917000000001</v>
      </c>
      <c r="O686" s="25">
        <f t="shared" ca="1" si="31"/>
        <v>0</v>
      </c>
      <c r="P686" s="47">
        <f t="shared" ca="1" si="32"/>
        <v>0</v>
      </c>
    </row>
    <row r="687" spans="12:16" s="23" customFormat="1" ht="13.8">
      <c r="L687" s="23">
        <v>684</v>
      </c>
      <c r="M687" s="23">
        <f ca="1"/>
        <v>42089.222857457018</v>
      </c>
      <c r="N687" s="25">
        <f t="shared" si="30"/>
        <v>31343.917000000001</v>
      </c>
      <c r="O687" s="25">
        <f t="shared" ca="1" si="31"/>
        <v>0</v>
      </c>
      <c r="P687" s="47">
        <f t="shared" ca="1" si="32"/>
        <v>0</v>
      </c>
    </row>
    <row r="688" spans="12:16" s="23" customFormat="1" ht="13.8">
      <c r="L688" s="33">
        <v>685</v>
      </c>
      <c r="M688" s="23">
        <f ca="1"/>
        <v>42655.520031639979</v>
      </c>
      <c r="N688" s="25">
        <f t="shared" si="30"/>
        <v>31343.917000000001</v>
      </c>
      <c r="O688" s="25">
        <f t="shared" ca="1" si="31"/>
        <v>0</v>
      </c>
      <c r="P688" s="47">
        <f t="shared" ca="1" si="32"/>
        <v>0</v>
      </c>
    </row>
    <row r="689" spans="12:16" s="23" customFormat="1" ht="13.8">
      <c r="L689" s="23">
        <v>686</v>
      </c>
      <c r="M689" s="23">
        <f ca="1"/>
        <v>45932.979602721287</v>
      </c>
      <c r="N689" s="25">
        <f t="shared" si="30"/>
        <v>31343.917000000001</v>
      </c>
      <c r="O689" s="25">
        <f t="shared" ca="1" si="31"/>
        <v>0</v>
      </c>
      <c r="P689" s="47">
        <f t="shared" ca="1" si="32"/>
        <v>0</v>
      </c>
    </row>
    <row r="690" spans="12:16" s="23" customFormat="1" ht="13.8">
      <c r="L690" s="33">
        <v>687</v>
      </c>
      <c r="M690" s="23">
        <f ca="1"/>
        <v>57781.328413944619</v>
      </c>
      <c r="N690" s="25">
        <f t="shared" si="30"/>
        <v>31343.917000000001</v>
      </c>
      <c r="O690" s="25">
        <f t="shared" ca="1" si="31"/>
        <v>0</v>
      </c>
      <c r="P690" s="47">
        <f t="shared" ca="1" si="32"/>
        <v>0</v>
      </c>
    </row>
    <row r="691" spans="12:16" s="23" customFormat="1" ht="13.8">
      <c r="L691" s="23">
        <v>688</v>
      </c>
      <c r="M691" s="23">
        <f ca="1"/>
        <v>76320.364884038892</v>
      </c>
      <c r="N691" s="25">
        <f t="shared" si="30"/>
        <v>31343.917000000001</v>
      </c>
      <c r="O691" s="25">
        <f t="shared" ca="1" si="31"/>
        <v>0</v>
      </c>
      <c r="P691" s="47">
        <f t="shared" ca="1" si="32"/>
        <v>0</v>
      </c>
    </row>
    <row r="692" spans="12:16" s="23" customFormat="1" ht="13.8">
      <c r="L692" s="33">
        <v>689</v>
      </c>
      <c r="M692" s="23">
        <f ca="1"/>
        <v>57934.389229991641</v>
      </c>
      <c r="N692" s="25">
        <f t="shared" si="30"/>
        <v>31343.917000000001</v>
      </c>
      <c r="O692" s="25">
        <f t="shared" ca="1" si="31"/>
        <v>0</v>
      </c>
      <c r="P692" s="47">
        <f t="shared" ca="1" si="32"/>
        <v>0</v>
      </c>
    </row>
    <row r="693" spans="12:16" s="23" customFormat="1" ht="13.8">
      <c r="L693" s="23">
        <v>690</v>
      </c>
      <c r="M693" s="23">
        <f ca="1"/>
        <v>51267.270953480838</v>
      </c>
      <c r="N693" s="25">
        <f t="shared" si="30"/>
        <v>31343.917000000001</v>
      </c>
      <c r="O693" s="25">
        <f t="shared" ca="1" si="31"/>
        <v>0</v>
      </c>
      <c r="P693" s="47">
        <f t="shared" ca="1" si="32"/>
        <v>0</v>
      </c>
    </row>
    <row r="694" spans="12:16" s="23" customFormat="1" ht="13.8">
      <c r="L694" s="33">
        <v>691</v>
      </c>
      <c r="M694" s="23">
        <f ca="1"/>
        <v>59101.45255548149</v>
      </c>
      <c r="N694" s="25">
        <f t="shared" si="30"/>
        <v>31343.917000000001</v>
      </c>
      <c r="O694" s="25">
        <f t="shared" ca="1" si="31"/>
        <v>0</v>
      </c>
      <c r="P694" s="47">
        <f t="shared" ca="1" si="32"/>
        <v>0</v>
      </c>
    </row>
    <row r="695" spans="12:16" s="23" customFormat="1" ht="13.8">
      <c r="L695" s="23">
        <v>692</v>
      </c>
      <c r="M695" s="23">
        <f ca="1"/>
        <v>17574.274125152489</v>
      </c>
      <c r="N695" s="25">
        <f t="shared" si="30"/>
        <v>31343.917000000001</v>
      </c>
      <c r="O695" s="25">
        <f t="shared" ca="1" si="31"/>
        <v>1</v>
      </c>
      <c r="P695" s="47">
        <f t="shared" ca="1" si="32"/>
        <v>0.43930829943326838</v>
      </c>
    </row>
    <row r="696" spans="12:16" s="23" customFormat="1" ht="13.8">
      <c r="L696" s="33">
        <v>693</v>
      </c>
      <c r="M696" s="23">
        <f ca="1"/>
        <v>46064.564255971381</v>
      </c>
      <c r="N696" s="25">
        <f t="shared" si="30"/>
        <v>31343.917000000001</v>
      </c>
      <c r="O696" s="25">
        <f t="shared" ca="1" si="31"/>
        <v>0</v>
      </c>
      <c r="P696" s="47">
        <f t="shared" ca="1" si="32"/>
        <v>0</v>
      </c>
    </row>
    <row r="697" spans="12:16" s="23" customFormat="1" ht="13.8">
      <c r="L697" s="23">
        <v>694</v>
      </c>
      <c r="M697" s="23">
        <f ca="1"/>
        <v>35536.228832921399</v>
      </c>
      <c r="N697" s="25">
        <f t="shared" si="30"/>
        <v>31343.917000000001</v>
      </c>
      <c r="O697" s="25">
        <f t="shared" ca="1" si="31"/>
        <v>0</v>
      </c>
      <c r="P697" s="47">
        <f t="shared" ca="1" si="32"/>
        <v>0</v>
      </c>
    </row>
    <row r="698" spans="12:16" s="23" customFormat="1" ht="13.8">
      <c r="L698" s="33">
        <v>695</v>
      </c>
      <c r="M698" s="23">
        <f ca="1"/>
        <v>69732.933573618793</v>
      </c>
      <c r="N698" s="25">
        <f t="shared" si="30"/>
        <v>31343.917000000001</v>
      </c>
      <c r="O698" s="25">
        <f t="shared" ca="1" si="31"/>
        <v>0</v>
      </c>
      <c r="P698" s="47">
        <f t="shared" ca="1" si="32"/>
        <v>0</v>
      </c>
    </row>
    <row r="699" spans="12:16" s="23" customFormat="1" ht="13.8">
      <c r="L699" s="23">
        <v>696</v>
      </c>
      <c r="M699" s="23">
        <f ca="1"/>
        <v>45259.833784578914</v>
      </c>
      <c r="N699" s="25">
        <f t="shared" si="30"/>
        <v>31343.917000000001</v>
      </c>
      <c r="O699" s="25">
        <f t="shared" ca="1" si="31"/>
        <v>0</v>
      </c>
      <c r="P699" s="47">
        <f t="shared" ca="1" si="32"/>
        <v>0</v>
      </c>
    </row>
    <row r="700" spans="12:16" s="23" customFormat="1" ht="13.8">
      <c r="L700" s="33">
        <v>697</v>
      </c>
      <c r="M700" s="23">
        <f ca="1"/>
        <v>49954.734139783708</v>
      </c>
      <c r="N700" s="25">
        <f t="shared" si="30"/>
        <v>31343.917000000001</v>
      </c>
      <c r="O700" s="25">
        <f t="shared" ca="1" si="31"/>
        <v>0</v>
      </c>
      <c r="P700" s="47">
        <f t="shared" ca="1" si="32"/>
        <v>0</v>
      </c>
    </row>
    <row r="701" spans="12:16" s="23" customFormat="1" ht="13.8">
      <c r="L701" s="23">
        <v>698</v>
      </c>
      <c r="M701" s="23">
        <f ca="1"/>
        <v>34149.633115460907</v>
      </c>
      <c r="N701" s="25">
        <f t="shared" si="30"/>
        <v>31343.917000000001</v>
      </c>
      <c r="O701" s="25">
        <f t="shared" ca="1" si="31"/>
        <v>0</v>
      </c>
      <c r="P701" s="47">
        <f t="shared" ca="1" si="32"/>
        <v>0</v>
      </c>
    </row>
    <row r="702" spans="12:16" s="23" customFormat="1" ht="13.8">
      <c r="L702" s="33">
        <v>699</v>
      </c>
      <c r="M702" s="23">
        <f ca="1"/>
        <v>52806.530364029022</v>
      </c>
      <c r="N702" s="25">
        <f t="shared" si="30"/>
        <v>31343.917000000001</v>
      </c>
      <c r="O702" s="25">
        <f t="shared" ca="1" si="31"/>
        <v>0</v>
      </c>
      <c r="P702" s="47">
        <f t="shared" ca="1" si="32"/>
        <v>0</v>
      </c>
    </row>
    <row r="703" spans="12:16" s="23" customFormat="1" ht="13.8">
      <c r="L703" s="23">
        <v>700</v>
      </c>
      <c r="M703" s="23">
        <f ca="1"/>
        <v>35931.691106857899</v>
      </c>
      <c r="N703" s="25">
        <f t="shared" si="30"/>
        <v>31343.917000000001</v>
      </c>
      <c r="O703" s="25">
        <f t="shared" ca="1" si="31"/>
        <v>0</v>
      </c>
      <c r="P703" s="47">
        <f t="shared" ca="1" si="32"/>
        <v>0</v>
      </c>
    </row>
    <row r="704" spans="12:16" s="23" customFormat="1" ht="13.8">
      <c r="L704" s="33">
        <v>701</v>
      </c>
      <c r="M704" s="23">
        <f ca="1"/>
        <v>63048.734268802298</v>
      </c>
      <c r="N704" s="25">
        <f t="shared" si="30"/>
        <v>31343.917000000001</v>
      </c>
      <c r="O704" s="25">
        <f t="shared" ca="1" si="31"/>
        <v>0</v>
      </c>
      <c r="P704" s="47">
        <f t="shared" ca="1" si="32"/>
        <v>0</v>
      </c>
    </row>
    <row r="705" spans="12:16" s="23" customFormat="1" ht="13.8">
      <c r="L705" s="23">
        <v>702</v>
      </c>
      <c r="M705" s="23">
        <f ca="1"/>
        <v>45660.346010172339</v>
      </c>
      <c r="N705" s="25">
        <f t="shared" si="30"/>
        <v>31343.917000000001</v>
      </c>
      <c r="O705" s="25">
        <f t="shared" ca="1" si="31"/>
        <v>0</v>
      </c>
      <c r="P705" s="47">
        <f t="shared" ca="1" si="32"/>
        <v>0</v>
      </c>
    </row>
    <row r="706" spans="12:16" s="23" customFormat="1" ht="13.8">
      <c r="L706" s="33">
        <v>703</v>
      </c>
      <c r="M706" s="23">
        <f ca="1"/>
        <v>46989.86952724139</v>
      </c>
      <c r="N706" s="25">
        <f t="shared" si="30"/>
        <v>31343.917000000001</v>
      </c>
      <c r="O706" s="25">
        <f t="shared" ca="1" si="31"/>
        <v>0</v>
      </c>
      <c r="P706" s="47">
        <f t="shared" ca="1" si="32"/>
        <v>0</v>
      </c>
    </row>
    <row r="707" spans="12:16" s="23" customFormat="1" ht="13.8">
      <c r="L707" s="23">
        <v>704</v>
      </c>
      <c r="M707" s="23">
        <f ca="1"/>
        <v>54136.296060295914</v>
      </c>
      <c r="N707" s="25">
        <f t="shared" si="30"/>
        <v>31343.917000000001</v>
      </c>
      <c r="O707" s="25">
        <f t="shared" ca="1" si="31"/>
        <v>0</v>
      </c>
      <c r="P707" s="47">
        <f t="shared" ca="1" si="32"/>
        <v>0</v>
      </c>
    </row>
    <row r="708" spans="12:16" s="23" customFormat="1" ht="13.8">
      <c r="L708" s="33">
        <v>705</v>
      </c>
      <c r="M708" s="23">
        <f ca="1"/>
        <v>65458.493858534559</v>
      </c>
      <c r="N708" s="25">
        <f t="shared" ref="N708:N771" si="33">($C$23+$E$23)*1.1</f>
        <v>31343.917000000001</v>
      </c>
      <c r="O708" s="25">
        <f t="shared" ref="O708:O771" ca="1" si="34">IF(M708&lt;N708,1,0)</f>
        <v>0</v>
      </c>
      <c r="P708" s="47">
        <f t="shared" ca="1" si="32"/>
        <v>0</v>
      </c>
    </row>
    <row r="709" spans="12:16" s="23" customFormat="1" ht="13.8">
      <c r="L709" s="23">
        <v>706</v>
      </c>
      <c r="M709" s="23">
        <f ca="1"/>
        <v>39567.064960226679</v>
      </c>
      <c r="N709" s="25">
        <f t="shared" si="33"/>
        <v>31343.917000000001</v>
      </c>
      <c r="O709" s="25">
        <f t="shared" ca="1" si="34"/>
        <v>0</v>
      </c>
      <c r="P709" s="47">
        <f t="shared" ref="P709:P772" ca="1" si="35">MAX((N709-M709)/N709,0)</f>
        <v>0</v>
      </c>
    </row>
    <row r="710" spans="12:16" s="23" customFormat="1" ht="13.8">
      <c r="L710" s="33">
        <v>707</v>
      </c>
      <c r="M710" s="23">
        <f ca="1"/>
        <v>57619.207616542924</v>
      </c>
      <c r="N710" s="25">
        <f t="shared" si="33"/>
        <v>31343.917000000001</v>
      </c>
      <c r="O710" s="25">
        <f t="shared" ca="1" si="34"/>
        <v>0</v>
      </c>
      <c r="P710" s="47">
        <f t="shared" ca="1" si="35"/>
        <v>0</v>
      </c>
    </row>
    <row r="711" spans="12:16" s="23" customFormat="1" ht="13.8">
      <c r="L711" s="23">
        <v>708</v>
      </c>
      <c r="M711" s="23">
        <f ca="1"/>
        <v>41336.754666450615</v>
      </c>
      <c r="N711" s="25">
        <f t="shared" si="33"/>
        <v>31343.917000000001</v>
      </c>
      <c r="O711" s="25">
        <f t="shared" ca="1" si="34"/>
        <v>0</v>
      </c>
      <c r="P711" s="47">
        <f t="shared" ca="1" si="35"/>
        <v>0</v>
      </c>
    </row>
    <row r="712" spans="12:16" s="23" customFormat="1" ht="13.8">
      <c r="L712" s="33">
        <v>709</v>
      </c>
      <c r="M712" s="23">
        <f ca="1"/>
        <v>40639.653907009866</v>
      </c>
      <c r="N712" s="25">
        <f t="shared" si="33"/>
        <v>31343.917000000001</v>
      </c>
      <c r="O712" s="25">
        <f t="shared" ca="1" si="34"/>
        <v>0</v>
      </c>
      <c r="P712" s="47">
        <f t="shared" ca="1" si="35"/>
        <v>0</v>
      </c>
    </row>
    <row r="713" spans="12:16" s="23" customFormat="1" ht="13.8">
      <c r="L713" s="23">
        <v>710</v>
      </c>
      <c r="M713" s="23">
        <f ca="1"/>
        <v>38583.640654491319</v>
      </c>
      <c r="N713" s="25">
        <f t="shared" si="33"/>
        <v>31343.917000000001</v>
      </c>
      <c r="O713" s="25">
        <f t="shared" ca="1" si="34"/>
        <v>0</v>
      </c>
      <c r="P713" s="47">
        <f t="shared" ca="1" si="35"/>
        <v>0</v>
      </c>
    </row>
    <row r="714" spans="12:16" s="23" customFormat="1" ht="13.8">
      <c r="L714" s="33">
        <v>711</v>
      </c>
      <c r="M714" s="23">
        <f ca="1"/>
        <v>34537.139892486586</v>
      </c>
      <c r="N714" s="25">
        <f t="shared" si="33"/>
        <v>31343.917000000001</v>
      </c>
      <c r="O714" s="25">
        <f t="shared" ca="1" si="34"/>
        <v>0</v>
      </c>
      <c r="P714" s="47">
        <f t="shared" ca="1" si="35"/>
        <v>0</v>
      </c>
    </row>
    <row r="715" spans="12:16" s="23" customFormat="1" ht="13.8">
      <c r="L715" s="23">
        <v>712</v>
      </c>
      <c r="M715" s="23">
        <f ca="1"/>
        <v>8600.7099404879136</v>
      </c>
      <c r="N715" s="25">
        <f t="shared" si="33"/>
        <v>31343.917000000001</v>
      </c>
      <c r="O715" s="25">
        <f t="shared" ca="1" si="34"/>
        <v>1</v>
      </c>
      <c r="P715" s="47">
        <f t="shared" ca="1" si="35"/>
        <v>0.72560194246022569</v>
      </c>
    </row>
    <row r="716" spans="12:16" s="23" customFormat="1" ht="13.8">
      <c r="L716" s="33">
        <v>713</v>
      </c>
      <c r="M716" s="23">
        <f ca="1"/>
        <v>83429.077033836322</v>
      </c>
      <c r="N716" s="25">
        <f t="shared" si="33"/>
        <v>31343.917000000001</v>
      </c>
      <c r="O716" s="25">
        <f t="shared" ca="1" si="34"/>
        <v>0</v>
      </c>
      <c r="P716" s="47">
        <f t="shared" ca="1" si="35"/>
        <v>0</v>
      </c>
    </row>
    <row r="717" spans="12:16" s="23" customFormat="1" ht="13.8">
      <c r="L717" s="23">
        <v>714</v>
      </c>
      <c r="M717" s="23">
        <f ca="1"/>
        <v>48730.751937897454</v>
      </c>
      <c r="N717" s="25">
        <f t="shared" si="33"/>
        <v>31343.917000000001</v>
      </c>
      <c r="O717" s="25">
        <f t="shared" ca="1" si="34"/>
        <v>0</v>
      </c>
      <c r="P717" s="47">
        <f t="shared" ca="1" si="35"/>
        <v>0</v>
      </c>
    </row>
    <row r="718" spans="12:16" s="23" customFormat="1" ht="13.8">
      <c r="L718" s="33">
        <v>715</v>
      </c>
      <c r="M718" s="23">
        <f ca="1"/>
        <v>39170.634491892946</v>
      </c>
      <c r="N718" s="25">
        <f t="shared" si="33"/>
        <v>31343.917000000001</v>
      </c>
      <c r="O718" s="25">
        <f t="shared" ca="1" si="34"/>
        <v>0</v>
      </c>
      <c r="P718" s="47">
        <f t="shared" ca="1" si="35"/>
        <v>0</v>
      </c>
    </row>
    <row r="719" spans="12:16" s="23" customFormat="1" ht="13.8">
      <c r="L719" s="23">
        <v>716</v>
      </c>
      <c r="M719" s="23">
        <f ca="1"/>
        <v>30120.482872615408</v>
      </c>
      <c r="N719" s="25">
        <f t="shared" si="33"/>
        <v>31343.917000000001</v>
      </c>
      <c r="O719" s="25">
        <f t="shared" ca="1" si="34"/>
        <v>1</v>
      </c>
      <c r="P719" s="47">
        <f t="shared" ca="1" si="35"/>
        <v>3.903258572898189E-2</v>
      </c>
    </row>
    <row r="720" spans="12:16" s="23" customFormat="1" ht="13.8">
      <c r="L720" s="33">
        <v>717</v>
      </c>
      <c r="M720" s="23">
        <f ca="1"/>
        <v>28868.064307561235</v>
      </c>
      <c r="N720" s="25">
        <f t="shared" si="33"/>
        <v>31343.917000000001</v>
      </c>
      <c r="O720" s="25">
        <f t="shared" ca="1" si="34"/>
        <v>1</v>
      </c>
      <c r="P720" s="47">
        <f t="shared" ca="1" si="35"/>
        <v>7.8989894352986131E-2</v>
      </c>
    </row>
    <row r="721" spans="12:16" s="23" customFormat="1" ht="13.8">
      <c r="L721" s="23">
        <v>718</v>
      </c>
      <c r="M721" s="23">
        <f ca="1"/>
        <v>64104.177995754791</v>
      </c>
      <c r="N721" s="25">
        <f t="shared" si="33"/>
        <v>31343.917000000001</v>
      </c>
      <c r="O721" s="25">
        <f t="shared" ca="1" si="34"/>
        <v>0</v>
      </c>
      <c r="P721" s="47">
        <f t="shared" ca="1" si="35"/>
        <v>0</v>
      </c>
    </row>
    <row r="722" spans="12:16" s="23" customFormat="1" ht="13.8">
      <c r="L722" s="33">
        <v>719</v>
      </c>
      <c r="M722" s="23">
        <f ca="1"/>
        <v>57075.623135383656</v>
      </c>
      <c r="N722" s="25">
        <f t="shared" si="33"/>
        <v>31343.917000000001</v>
      </c>
      <c r="O722" s="25">
        <f t="shared" ca="1" si="34"/>
        <v>0</v>
      </c>
      <c r="P722" s="47">
        <f t="shared" ca="1" si="35"/>
        <v>0</v>
      </c>
    </row>
    <row r="723" spans="12:16" s="23" customFormat="1" ht="13.8">
      <c r="L723" s="23">
        <v>720</v>
      </c>
      <c r="M723" s="23">
        <f ca="1"/>
        <v>69758.468984926585</v>
      </c>
      <c r="N723" s="25">
        <f t="shared" si="33"/>
        <v>31343.917000000001</v>
      </c>
      <c r="O723" s="25">
        <f t="shared" ca="1" si="34"/>
        <v>0</v>
      </c>
      <c r="P723" s="47">
        <f t="shared" ca="1" si="35"/>
        <v>0</v>
      </c>
    </row>
    <row r="724" spans="12:16" s="23" customFormat="1" ht="13.8">
      <c r="L724" s="33">
        <v>721</v>
      </c>
      <c r="M724" s="23">
        <f ca="1"/>
        <v>16110.626197857784</v>
      </c>
      <c r="N724" s="25">
        <f t="shared" si="33"/>
        <v>31343.917000000001</v>
      </c>
      <c r="O724" s="25">
        <f t="shared" ca="1" si="34"/>
        <v>1</v>
      </c>
      <c r="P724" s="47">
        <f t="shared" ca="1" si="35"/>
        <v>0.4860046943763352</v>
      </c>
    </row>
    <row r="725" spans="12:16" s="23" customFormat="1" ht="13.8">
      <c r="L725" s="23">
        <v>722</v>
      </c>
      <c r="M725" s="23">
        <f ca="1"/>
        <v>62211.357894720757</v>
      </c>
      <c r="N725" s="25">
        <f t="shared" si="33"/>
        <v>31343.917000000001</v>
      </c>
      <c r="O725" s="25">
        <f t="shared" ca="1" si="34"/>
        <v>0</v>
      </c>
      <c r="P725" s="47">
        <f t="shared" ca="1" si="35"/>
        <v>0</v>
      </c>
    </row>
    <row r="726" spans="12:16" s="23" customFormat="1" ht="13.8">
      <c r="L726" s="33">
        <v>723</v>
      </c>
      <c r="M726" s="23">
        <f ca="1"/>
        <v>46280.364383381522</v>
      </c>
      <c r="N726" s="25">
        <f t="shared" si="33"/>
        <v>31343.917000000001</v>
      </c>
      <c r="O726" s="25">
        <f t="shared" ca="1" si="34"/>
        <v>0</v>
      </c>
      <c r="P726" s="47">
        <f t="shared" ca="1" si="35"/>
        <v>0</v>
      </c>
    </row>
    <row r="727" spans="12:16" s="23" customFormat="1" ht="13.8">
      <c r="L727" s="23">
        <v>724</v>
      </c>
      <c r="M727" s="23">
        <f ca="1"/>
        <v>35189.141958442218</v>
      </c>
      <c r="N727" s="25">
        <f t="shared" si="33"/>
        <v>31343.917000000001</v>
      </c>
      <c r="O727" s="25">
        <f t="shared" ca="1" si="34"/>
        <v>0</v>
      </c>
      <c r="P727" s="47">
        <f t="shared" ca="1" si="35"/>
        <v>0</v>
      </c>
    </row>
    <row r="728" spans="12:16" s="23" customFormat="1" ht="13.8">
      <c r="L728" s="33">
        <v>725</v>
      </c>
      <c r="M728" s="23">
        <f ca="1"/>
        <v>73149.369684273377</v>
      </c>
      <c r="N728" s="25">
        <f t="shared" si="33"/>
        <v>31343.917000000001</v>
      </c>
      <c r="O728" s="25">
        <f t="shared" ca="1" si="34"/>
        <v>0</v>
      </c>
      <c r="P728" s="47">
        <f t="shared" ca="1" si="35"/>
        <v>0</v>
      </c>
    </row>
    <row r="729" spans="12:16" s="23" customFormat="1" ht="13.8">
      <c r="L729" s="23">
        <v>726</v>
      </c>
      <c r="M729" s="23">
        <f ca="1"/>
        <v>52614.396952763782</v>
      </c>
      <c r="N729" s="25">
        <f t="shared" si="33"/>
        <v>31343.917000000001</v>
      </c>
      <c r="O729" s="25">
        <f t="shared" ca="1" si="34"/>
        <v>0</v>
      </c>
      <c r="P729" s="47">
        <f t="shared" ca="1" si="35"/>
        <v>0</v>
      </c>
    </row>
    <row r="730" spans="12:16" s="23" customFormat="1" ht="13.8">
      <c r="L730" s="33">
        <v>727</v>
      </c>
      <c r="M730" s="23">
        <f ca="1"/>
        <v>26899.028314042454</v>
      </c>
      <c r="N730" s="25">
        <f t="shared" si="33"/>
        <v>31343.917000000001</v>
      </c>
      <c r="O730" s="25">
        <f t="shared" ca="1" si="34"/>
        <v>1</v>
      </c>
      <c r="P730" s="47">
        <f t="shared" ca="1" si="35"/>
        <v>0.14181024936856318</v>
      </c>
    </row>
    <row r="731" spans="12:16" s="23" customFormat="1" ht="13.8">
      <c r="L731" s="23">
        <v>728</v>
      </c>
      <c r="M731" s="23">
        <f ca="1"/>
        <v>43087.860464894067</v>
      </c>
      <c r="N731" s="25">
        <f t="shared" si="33"/>
        <v>31343.917000000001</v>
      </c>
      <c r="O731" s="25">
        <f t="shared" ca="1" si="34"/>
        <v>0</v>
      </c>
      <c r="P731" s="47">
        <f t="shared" ca="1" si="35"/>
        <v>0</v>
      </c>
    </row>
    <row r="732" spans="12:16" s="23" customFormat="1" ht="13.8">
      <c r="L732" s="33">
        <v>729</v>
      </c>
      <c r="M732" s="23">
        <f ca="1"/>
        <v>22735.440975102116</v>
      </c>
      <c r="N732" s="25">
        <f t="shared" si="33"/>
        <v>31343.917000000001</v>
      </c>
      <c r="O732" s="25">
        <f t="shared" ca="1" si="34"/>
        <v>1</v>
      </c>
      <c r="P732" s="47">
        <f t="shared" ca="1" si="35"/>
        <v>0.27464582760660977</v>
      </c>
    </row>
    <row r="733" spans="12:16" s="23" customFormat="1" ht="13.8">
      <c r="L733" s="23">
        <v>730</v>
      </c>
      <c r="M733" s="23">
        <f ca="1"/>
        <v>56943.000261253255</v>
      </c>
      <c r="N733" s="25">
        <f t="shared" si="33"/>
        <v>31343.917000000001</v>
      </c>
      <c r="O733" s="25">
        <f t="shared" ca="1" si="34"/>
        <v>0</v>
      </c>
      <c r="P733" s="47">
        <f t="shared" ca="1" si="35"/>
        <v>0</v>
      </c>
    </row>
    <row r="734" spans="12:16" s="23" customFormat="1" ht="13.8">
      <c r="L734" s="33">
        <v>731</v>
      </c>
      <c r="M734" s="23">
        <f ca="1"/>
        <v>17702.868087997005</v>
      </c>
      <c r="N734" s="25">
        <f t="shared" si="33"/>
        <v>31343.917000000001</v>
      </c>
      <c r="O734" s="25">
        <f t="shared" ca="1" si="34"/>
        <v>1</v>
      </c>
      <c r="P734" s="47">
        <f t="shared" ca="1" si="35"/>
        <v>0.43520562257751627</v>
      </c>
    </row>
    <row r="735" spans="12:16" s="23" customFormat="1" ht="13.8">
      <c r="L735" s="23">
        <v>732</v>
      </c>
      <c r="M735" s="23">
        <f ca="1"/>
        <v>44659.721544835884</v>
      </c>
      <c r="N735" s="25">
        <f t="shared" si="33"/>
        <v>31343.917000000001</v>
      </c>
      <c r="O735" s="25">
        <f t="shared" ca="1" si="34"/>
        <v>0</v>
      </c>
      <c r="P735" s="47">
        <f t="shared" ca="1" si="35"/>
        <v>0</v>
      </c>
    </row>
    <row r="736" spans="12:16" s="23" customFormat="1" ht="13.8">
      <c r="L736" s="33">
        <v>733</v>
      </c>
      <c r="M736" s="23">
        <f ca="1"/>
        <v>43480.534765300639</v>
      </c>
      <c r="N736" s="25">
        <f t="shared" si="33"/>
        <v>31343.917000000001</v>
      </c>
      <c r="O736" s="25">
        <f t="shared" ca="1" si="34"/>
        <v>0</v>
      </c>
      <c r="P736" s="47">
        <f t="shared" ca="1" si="35"/>
        <v>0</v>
      </c>
    </row>
    <row r="737" spans="12:16" s="23" customFormat="1" ht="13.8">
      <c r="L737" s="23">
        <v>734</v>
      </c>
      <c r="M737" s="23">
        <f ca="1"/>
        <v>51735.867238918217</v>
      </c>
      <c r="N737" s="25">
        <f t="shared" si="33"/>
        <v>31343.917000000001</v>
      </c>
      <c r="O737" s="25">
        <f t="shared" ca="1" si="34"/>
        <v>0</v>
      </c>
      <c r="P737" s="47">
        <f t="shared" ca="1" si="35"/>
        <v>0</v>
      </c>
    </row>
    <row r="738" spans="12:16" s="23" customFormat="1" ht="13.8">
      <c r="L738" s="33">
        <v>735</v>
      </c>
      <c r="M738" s="23">
        <f ca="1"/>
        <v>71868.562642256933</v>
      </c>
      <c r="N738" s="25">
        <f t="shared" si="33"/>
        <v>31343.917000000001</v>
      </c>
      <c r="O738" s="25">
        <f t="shared" ca="1" si="34"/>
        <v>0</v>
      </c>
      <c r="P738" s="47">
        <f t="shared" ca="1" si="35"/>
        <v>0</v>
      </c>
    </row>
    <row r="739" spans="12:16" s="23" customFormat="1" ht="13.8">
      <c r="L739" s="23">
        <v>736</v>
      </c>
      <c r="M739" s="23">
        <f ca="1"/>
        <v>43921.386511199111</v>
      </c>
      <c r="N739" s="25">
        <f t="shared" si="33"/>
        <v>31343.917000000001</v>
      </c>
      <c r="O739" s="25">
        <f t="shared" ca="1" si="34"/>
        <v>0</v>
      </c>
      <c r="P739" s="47">
        <f t="shared" ca="1" si="35"/>
        <v>0</v>
      </c>
    </row>
    <row r="740" spans="12:16" s="23" customFormat="1" ht="13.8">
      <c r="L740" s="33">
        <v>737</v>
      </c>
      <c r="M740" s="23">
        <f ca="1"/>
        <v>66234.724787096362</v>
      </c>
      <c r="N740" s="25">
        <f t="shared" si="33"/>
        <v>31343.917000000001</v>
      </c>
      <c r="O740" s="25">
        <f t="shared" ca="1" si="34"/>
        <v>0</v>
      </c>
      <c r="P740" s="47">
        <f t="shared" ca="1" si="35"/>
        <v>0</v>
      </c>
    </row>
    <row r="741" spans="12:16" s="23" customFormat="1" ht="13.8">
      <c r="L741" s="23">
        <v>738</v>
      </c>
      <c r="M741" s="23">
        <f ca="1"/>
        <v>67484.259751944468</v>
      </c>
      <c r="N741" s="25">
        <f t="shared" si="33"/>
        <v>31343.917000000001</v>
      </c>
      <c r="O741" s="25">
        <f t="shared" ca="1" si="34"/>
        <v>0</v>
      </c>
      <c r="P741" s="47">
        <f t="shared" ca="1" si="35"/>
        <v>0</v>
      </c>
    </row>
    <row r="742" spans="12:16" s="23" customFormat="1" ht="13.8">
      <c r="L742" s="33">
        <v>739</v>
      </c>
      <c r="M742" s="23">
        <f ca="1"/>
        <v>58535.43451633567</v>
      </c>
      <c r="N742" s="25">
        <f t="shared" si="33"/>
        <v>31343.917000000001</v>
      </c>
      <c r="O742" s="25">
        <f t="shared" ca="1" si="34"/>
        <v>0</v>
      </c>
      <c r="P742" s="47">
        <f t="shared" ca="1" si="35"/>
        <v>0</v>
      </c>
    </row>
    <row r="743" spans="12:16" s="23" customFormat="1" ht="13.8">
      <c r="L743" s="23">
        <v>740</v>
      </c>
      <c r="M743" s="23">
        <f ca="1"/>
        <v>78561.262177910117</v>
      </c>
      <c r="N743" s="25">
        <f t="shared" si="33"/>
        <v>31343.917000000001</v>
      </c>
      <c r="O743" s="25">
        <f t="shared" ca="1" si="34"/>
        <v>0</v>
      </c>
      <c r="P743" s="47">
        <f t="shared" ca="1" si="35"/>
        <v>0</v>
      </c>
    </row>
    <row r="744" spans="12:16" s="23" customFormat="1" ht="13.8">
      <c r="L744" s="33">
        <v>741</v>
      </c>
      <c r="M744" s="23">
        <f ca="1"/>
        <v>63952.430739176765</v>
      </c>
      <c r="N744" s="25">
        <f t="shared" si="33"/>
        <v>31343.917000000001</v>
      </c>
      <c r="O744" s="25">
        <f t="shared" ca="1" si="34"/>
        <v>0</v>
      </c>
      <c r="P744" s="47">
        <f t="shared" ca="1" si="35"/>
        <v>0</v>
      </c>
    </row>
    <row r="745" spans="12:16" s="23" customFormat="1" ht="13.8">
      <c r="L745" s="23">
        <v>742</v>
      </c>
      <c r="M745" s="23">
        <f ca="1"/>
        <v>52644.648549681893</v>
      </c>
      <c r="N745" s="25">
        <f t="shared" si="33"/>
        <v>31343.917000000001</v>
      </c>
      <c r="O745" s="25">
        <f t="shared" ca="1" si="34"/>
        <v>0</v>
      </c>
      <c r="P745" s="47">
        <f t="shared" ca="1" si="35"/>
        <v>0</v>
      </c>
    </row>
    <row r="746" spans="12:16" s="23" customFormat="1" ht="13.8">
      <c r="L746" s="33">
        <v>743</v>
      </c>
      <c r="M746" s="23">
        <f ca="1"/>
        <v>48282.910670258607</v>
      </c>
      <c r="N746" s="25">
        <f t="shared" si="33"/>
        <v>31343.917000000001</v>
      </c>
      <c r="O746" s="25">
        <f t="shared" ca="1" si="34"/>
        <v>0</v>
      </c>
      <c r="P746" s="47">
        <f t="shared" ca="1" si="35"/>
        <v>0</v>
      </c>
    </row>
    <row r="747" spans="12:16" s="23" customFormat="1" ht="13.8">
      <c r="L747" s="23">
        <v>744</v>
      </c>
      <c r="M747" s="23">
        <f ca="1"/>
        <v>26288.499351998755</v>
      </c>
      <c r="N747" s="25">
        <f t="shared" si="33"/>
        <v>31343.917000000001</v>
      </c>
      <c r="O747" s="25">
        <f t="shared" ca="1" si="34"/>
        <v>1</v>
      </c>
      <c r="P747" s="47">
        <f t="shared" ca="1" si="35"/>
        <v>0.16128863689886769</v>
      </c>
    </row>
    <row r="748" spans="12:16" s="23" customFormat="1" ht="13.8">
      <c r="L748" s="33">
        <v>745</v>
      </c>
      <c r="M748" s="23">
        <f ca="1"/>
        <v>39672.69673966273</v>
      </c>
      <c r="N748" s="25">
        <f t="shared" si="33"/>
        <v>31343.917000000001</v>
      </c>
      <c r="O748" s="25">
        <f t="shared" ca="1" si="34"/>
        <v>0</v>
      </c>
      <c r="P748" s="47">
        <f t="shared" ca="1" si="35"/>
        <v>0</v>
      </c>
    </row>
    <row r="749" spans="12:16" s="23" customFormat="1" ht="13.8">
      <c r="L749" s="23">
        <v>746</v>
      </c>
      <c r="M749" s="23">
        <f ca="1"/>
        <v>40318.020485660476</v>
      </c>
      <c r="N749" s="25">
        <f t="shared" si="33"/>
        <v>31343.917000000001</v>
      </c>
      <c r="O749" s="25">
        <f t="shared" ca="1" si="34"/>
        <v>0</v>
      </c>
      <c r="P749" s="47">
        <f t="shared" ca="1" si="35"/>
        <v>0</v>
      </c>
    </row>
    <row r="750" spans="12:16" s="23" customFormat="1" ht="13.8">
      <c r="L750" s="33">
        <v>747</v>
      </c>
      <c r="M750" s="23">
        <f ca="1"/>
        <v>67642.621084770537</v>
      </c>
      <c r="N750" s="25">
        <f t="shared" si="33"/>
        <v>31343.917000000001</v>
      </c>
      <c r="O750" s="25">
        <f t="shared" ca="1" si="34"/>
        <v>0</v>
      </c>
      <c r="P750" s="47">
        <f t="shared" ca="1" si="35"/>
        <v>0</v>
      </c>
    </row>
    <row r="751" spans="12:16" s="23" customFormat="1" ht="13.8">
      <c r="L751" s="23">
        <v>748</v>
      </c>
      <c r="M751" s="23">
        <f ca="1"/>
        <v>23409.968040186333</v>
      </c>
      <c r="N751" s="25">
        <f t="shared" si="33"/>
        <v>31343.917000000001</v>
      </c>
      <c r="O751" s="25">
        <f t="shared" ca="1" si="34"/>
        <v>1</v>
      </c>
      <c r="P751" s="47">
        <f t="shared" ca="1" si="35"/>
        <v>0.25312563709933472</v>
      </c>
    </row>
    <row r="752" spans="12:16" s="23" customFormat="1" ht="13.8">
      <c r="L752" s="33">
        <v>749</v>
      </c>
      <c r="M752" s="23">
        <f ca="1"/>
        <v>47267.863981138362</v>
      </c>
      <c r="N752" s="25">
        <f t="shared" si="33"/>
        <v>31343.917000000001</v>
      </c>
      <c r="O752" s="25">
        <f t="shared" ca="1" si="34"/>
        <v>0</v>
      </c>
      <c r="P752" s="47">
        <f t="shared" ca="1" si="35"/>
        <v>0</v>
      </c>
    </row>
    <row r="753" spans="12:16" s="23" customFormat="1" ht="13.8">
      <c r="L753" s="23">
        <v>750</v>
      </c>
      <c r="M753" s="23">
        <f ca="1"/>
        <v>50743.568453886248</v>
      </c>
      <c r="N753" s="25">
        <f t="shared" si="33"/>
        <v>31343.917000000001</v>
      </c>
      <c r="O753" s="25">
        <f t="shared" ca="1" si="34"/>
        <v>0</v>
      </c>
      <c r="P753" s="47">
        <f t="shared" ca="1" si="35"/>
        <v>0</v>
      </c>
    </row>
    <row r="754" spans="12:16" s="23" customFormat="1" ht="13.8">
      <c r="L754" s="33">
        <v>751</v>
      </c>
      <c r="M754" s="23">
        <f ca="1"/>
        <v>54170.427051473838</v>
      </c>
      <c r="N754" s="25">
        <f t="shared" si="33"/>
        <v>31343.917000000001</v>
      </c>
      <c r="O754" s="25">
        <f t="shared" ca="1" si="34"/>
        <v>0</v>
      </c>
      <c r="P754" s="47">
        <f t="shared" ca="1" si="35"/>
        <v>0</v>
      </c>
    </row>
    <row r="755" spans="12:16" s="23" customFormat="1" ht="13.8">
      <c r="L755" s="23">
        <v>752</v>
      </c>
      <c r="M755" s="23">
        <f ca="1"/>
        <v>37584.648122139297</v>
      </c>
      <c r="N755" s="25">
        <f t="shared" si="33"/>
        <v>31343.917000000001</v>
      </c>
      <c r="O755" s="25">
        <f t="shared" ca="1" si="34"/>
        <v>0</v>
      </c>
      <c r="P755" s="47">
        <f t="shared" ca="1" si="35"/>
        <v>0</v>
      </c>
    </row>
    <row r="756" spans="12:16" s="23" customFormat="1" ht="13.8">
      <c r="L756" s="33">
        <v>753</v>
      </c>
      <c r="M756" s="23">
        <f ca="1"/>
        <v>20653.789811958937</v>
      </c>
      <c r="N756" s="25">
        <f t="shared" si="33"/>
        <v>31343.917000000001</v>
      </c>
      <c r="O756" s="25">
        <f t="shared" ca="1" si="34"/>
        <v>1</v>
      </c>
      <c r="P756" s="47">
        <f t="shared" ca="1" si="35"/>
        <v>0.3410590701870817</v>
      </c>
    </row>
    <row r="757" spans="12:16" s="23" customFormat="1" ht="13.8">
      <c r="L757" s="23">
        <v>754</v>
      </c>
      <c r="M757" s="23">
        <f ca="1"/>
        <v>40836.911367104214</v>
      </c>
      <c r="N757" s="25">
        <f t="shared" si="33"/>
        <v>31343.917000000001</v>
      </c>
      <c r="O757" s="25">
        <f t="shared" ca="1" si="34"/>
        <v>0</v>
      </c>
      <c r="P757" s="47">
        <f t="shared" ca="1" si="35"/>
        <v>0</v>
      </c>
    </row>
    <row r="758" spans="12:16" s="23" customFormat="1" ht="13.8">
      <c r="L758" s="33">
        <v>755</v>
      </c>
      <c r="M758" s="23">
        <f ca="1"/>
        <v>56609.375676760952</v>
      </c>
      <c r="N758" s="25">
        <f t="shared" si="33"/>
        <v>31343.917000000001</v>
      </c>
      <c r="O758" s="25">
        <f t="shared" ca="1" si="34"/>
        <v>0</v>
      </c>
      <c r="P758" s="47">
        <f t="shared" ca="1" si="35"/>
        <v>0</v>
      </c>
    </row>
    <row r="759" spans="12:16" s="23" customFormat="1" ht="13.8">
      <c r="L759" s="23">
        <v>756</v>
      </c>
      <c r="M759" s="23">
        <f ca="1"/>
        <v>37069.178997926632</v>
      </c>
      <c r="N759" s="25">
        <f t="shared" si="33"/>
        <v>31343.917000000001</v>
      </c>
      <c r="O759" s="25">
        <f t="shared" ca="1" si="34"/>
        <v>0</v>
      </c>
      <c r="P759" s="47">
        <f t="shared" ca="1" si="35"/>
        <v>0</v>
      </c>
    </row>
    <row r="760" spans="12:16" s="23" customFormat="1" ht="13.8">
      <c r="L760" s="33">
        <v>757</v>
      </c>
      <c r="M760" s="23">
        <f ca="1"/>
        <v>67005.76677623803</v>
      </c>
      <c r="N760" s="25">
        <f t="shared" si="33"/>
        <v>31343.917000000001</v>
      </c>
      <c r="O760" s="25">
        <f t="shared" ca="1" si="34"/>
        <v>0</v>
      </c>
      <c r="P760" s="47">
        <f t="shared" ca="1" si="35"/>
        <v>0</v>
      </c>
    </row>
    <row r="761" spans="12:16" s="23" customFormat="1" ht="13.8">
      <c r="L761" s="23">
        <v>758</v>
      </c>
      <c r="M761" s="23">
        <f ca="1"/>
        <v>49565.990013370771</v>
      </c>
      <c r="N761" s="25">
        <f t="shared" si="33"/>
        <v>31343.917000000001</v>
      </c>
      <c r="O761" s="25">
        <f t="shared" ca="1" si="34"/>
        <v>0</v>
      </c>
      <c r="P761" s="47">
        <f t="shared" ca="1" si="35"/>
        <v>0</v>
      </c>
    </row>
    <row r="762" spans="12:16" s="23" customFormat="1" ht="13.8">
      <c r="L762" s="33">
        <v>759</v>
      </c>
      <c r="M762" s="23">
        <f ca="1"/>
        <v>46203.029766418011</v>
      </c>
      <c r="N762" s="25">
        <f t="shared" si="33"/>
        <v>31343.917000000001</v>
      </c>
      <c r="O762" s="25">
        <f t="shared" ca="1" si="34"/>
        <v>0</v>
      </c>
      <c r="P762" s="47">
        <f t="shared" ca="1" si="35"/>
        <v>0</v>
      </c>
    </row>
    <row r="763" spans="12:16" s="23" customFormat="1" ht="13.8">
      <c r="L763" s="23">
        <v>760</v>
      </c>
      <c r="M763" s="23">
        <f ca="1"/>
        <v>57777.712807772805</v>
      </c>
      <c r="N763" s="25">
        <f t="shared" si="33"/>
        <v>31343.917000000001</v>
      </c>
      <c r="O763" s="25">
        <f t="shared" ca="1" si="34"/>
        <v>0</v>
      </c>
      <c r="P763" s="47">
        <f t="shared" ca="1" si="35"/>
        <v>0</v>
      </c>
    </row>
    <row r="764" spans="12:16" s="23" customFormat="1" ht="13.8">
      <c r="L764" s="33">
        <v>761</v>
      </c>
      <c r="M764" s="23">
        <f ca="1"/>
        <v>27104.846618556359</v>
      </c>
      <c r="N764" s="25">
        <f t="shared" si="33"/>
        <v>31343.917000000001</v>
      </c>
      <c r="O764" s="25">
        <f t="shared" ca="1" si="34"/>
        <v>1</v>
      </c>
      <c r="P764" s="47">
        <f t="shared" ca="1" si="35"/>
        <v>0.13524379806913225</v>
      </c>
    </row>
    <row r="765" spans="12:16" s="23" customFormat="1" ht="13.8">
      <c r="L765" s="23">
        <v>762</v>
      </c>
      <c r="M765" s="23">
        <f ca="1"/>
        <v>30156.380597413179</v>
      </c>
      <c r="N765" s="25">
        <f t="shared" si="33"/>
        <v>31343.917000000001</v>
      </c>
      <c r="O765" s="25">
        <f t="shared" ca="1" si="34"/>
        <v>1</v>
      </c>
      <c r="P765" s="47">
        <f t="shared" ca="1" si="35"/>
        <v>3.788730051150984E-2</v>
      </c>
    </row>
    <row r="766" spans="12:16" s="23" customFormat="1" ht="13.8">
      <c r="L766" s="33">
        <v>763</v>
      </c>
      <c r="M766" s="23">
        <f ca="1"/>
        <v>58365.271020051885</v>
      </c>
      <c r="N766" s="25">
        <f t="shared" si="33"/>
        <v>31343.917000000001</v>
      </c>
      <c r="O766" s="25">
        <f t="shared" ca="1" si="34"/>
        <v>0</v>
      </c>
      <c r="P766" s="47">
        <f t="shared" ca="1" si="35"/>
        <v>0</v>
      </c>
    </row>
    <row r="767" spans="12:16" s="23" customFormat="1" ht="13.8">
      <c r="L767" s="23">
        <v>764</v>
      </c>
      <c r="M767" s="23">
        <f ca="1"/>
        <v>82429.930156558272</v>
      </c>
      <c r="N767" s="25">
        <f t="shared" si="33"/>
        <v>31343.917000000001</v>
      </c>
      <c r="O767" s="25">
        <f t="shared" ca="1" si="34"/>
        <v>0</v>
      </c>
      <c r="P767" s="47">
        <f t="shared" ca="1" si="35"/>
        <v>0</v>
      </c>
    </row>
    <row r="768" spans="12:16" s="23" customFormat="1" ht="13.8">
      <c r="L768" s="33">
        <v>765</v>
      </c>
      <c r="M768" s="23">
        <f ca="1"/>
        <v>43733.362370728464</v>
      </c>
      <c r="N768" s="25">
        <f t="shared" si="33"/>
        <v>31343.917000000001</v>
      </c>
      <c r="O768" s="25">
        <f t="shared" ca="1" si="34"/>
        <v>0</v>
      </c>
      <c r="P768" s="47">
        <f t="shared" ca="1" si="35"/>
        <v>0</v>
      </c>
    </row>
    <row r="769" spans="12:16" s="23" customFormat="1" ht="13.8">
      <c r="L769" s="23">
        <v>766</v>
      </c>
      <c r="M769" s="23">
        <f ca="1"/>
        <v>55731.175200104757</v>
      </c>
      <c r="N769" s="25">
        <f t="shared" si="33"/>
        <v>31343.917000000001</v>
      </c>
      <c r="O769" s="25">
        <f t="shared" ca="1" si="34"/>
        <v>0</v>
      </c>
      <c r="P769" s="47">
        <f t="shared" ca="1" si="35"/>
        <v>0</v>
      </c>
    </row>
    <row r="770" spans="12:16" s="23" customFormat="1" ht="13.8">
      <c r="L770" s="33">
        <v>767</v>
      </c>
      <c r="M770" s="23">
        <f ca="1"/>
        <v>39042.27019177912</v>
      </c>
      <c r="N770" s="25">
        <f t="shared" si="33"/>
        <v>31343.917000000001</v>
      </c>
      <c r="O770" s="25">
        <f t="shared" ca="1" si="34"/>
        <v>0</v>
      </c>
      <c r="P770" s="47">
        <f t="shared" ca="1" si="35"/>
        <v>0</v>
      </c>
    </row>
    <row r="771" spans="12:16" s="23" customFormat="1" ht="13.8">
      <c r="L771" s="23">
        <v>768</v>
      </c>
      <c r="M771" s="23">
        <f ca="1"/>
        <v>78304.26783034949</v>
      </c>
      <c r="N771" s="25">
        <f t="shared" si="33"/>
        <v>31343.917000000001</v>
      </c>
      <c r="O771" s="25">
        <f t="shared" ca="1" si="34"/>
        <v>0</v>
      </c>
      <c r="P771" s="47">
        <f t="shared" ca="1" si="35"/>
        <v>0</v>
      </c>
    </row>
    <row r="772" spans="12:16" s="23" customFormat="1" ht="13.8">
      <c r="L772" s="33">
        <v>769</v>
      </c>
      <c r="M772" s="23">
        <f ca="1"/>
        <v>12430.79713557851</v>
      </c>
      <c r="N772" s="25">
        <f t="shared" ref="N772:N835" si="36">($C$23+$E$23)*1.1</f>
        <v>31343.917000000001</v>
      </c>
      <c r="O772" s="25">
        <f t="shared" ref="O772:O835" ca="1" si="37">IF(M772&lt;N772,1,0)</f>
        <v>1</v>
      </c>
      <c r="P772" s="47">
        <f t="shared" ca="1" si="35"/>
        <v>0.60340639188208312</v>
      </c>
    </row>
    <row r="773" spans="12:16" s="23" customFormat="1" ht="13.8">
      <c r="L773" s="23">
        <v>770</v>
      </c>
      <c r="M773" s="23">
        <f ca="1"/>
        <v>38122.725902757076</v>
      </c>
      <c r="N773" s="25">
        <f t="shared" si="36"/>
        <v>31343.917000000001</v>
      </c>
      <c r="O773" s="25">
        <f t="shared" ca="1" si="37"/>
        <v>0</v>
      </c>
      <c r="P773" s="47">
        <f t="shared" ref="P773:P836" ca="1" si="38">MAX((N773-M773)/N773,0)</f>
        <v>0</v>
      </c>
    </row>
    <row r="774" spans="12:16" s="23" customFormat="1" ht="13.8">
      <c r="L774" s="33">
        <v>771</v>
      </c>
      <c r="M774" s="23">
        <f ca="1"/>
        <v>58416.927597709757</v>
      </c>
      <c r="N774" s="25">
        <f t="shared" si="36"/>
        <v>31343.917000000001</v>
      </c>
      <c r="O774" s="25">
        <f t="shared" ca="1" si="37"/>
        <v>0</v>
      </c>
      <c r="P774" s="47">
        <f t="shared" ca="1" si="38"/>
        <v>0</v>
      </c>
    </row>
    <row r="775" spans="12:16" s="23" customFormat="1" ht="13.8">
      <c r="L775" s="23">
        <v>772</v>
      </c>
      <c r="M775" s="23">
        <f ca="1"/>
        <v>67003.391837906616</v>
      </c>
      <c r="N775" s="25">
        <f t="shared" si="36"/>
        <v>31343.917000000001</v>
      </c>
      <c r="O775" s="25">
        <f t="shared" ca="1" si="37"/>
        <v>0</v>
      </c>
      <c r="P775" s="47">
        <f t="shared" ca="1" si="38"/>
        <v>0</v>
      </c>
    </row>
    <row r="776" spans="12:16" s="23" customFormat="1" ht="13.8">
      <c r="L776" s="33">
        <v>773</v>
      </c>
      <c r="M776" s="23">
        <f ca="1"/>
        <v>56327.734224304491</v>
      </c>
      <c r="N776" s="25">
        <f t="shared" si="36"/>
        <v>31343.917000000001</v>
      </c>
      <c r="O776" s="25">
        <f t="shared" ca="1" si="37"/>
        <v>0</v>
      </c>
      <c r="P776" s="47">
        <f t="shared" ca="1" si="38"/>
        <v>0</v>
      </c>
    </row>
    <row r="777" spans="12:16" s="23" customFormat="1" ht="13.8">
      <c r="L777" s="23">
        <v>774</v>
      </c>
      <c r="M777" s="23">
        <f ca="1"/>
        <v>43021.763448879108</v>
      </c>
      <c r="N777" s="25">
        <f t="shared" si="36"/>
        <v>31343.917000000001</v>
      </c>
      <c r="O777" s="25">
        <f t="shared" ca="1" si="37"/>
        <v>0</v>
      </c>
      <c r="P777" s="47">
        <f t="shared" ca="1" si="38"/>
        <v>0</v>
      </c>
    </row>
    <row r="778" spans="12:16" s="23" customFormat="1" ht="13.8">
      <c r="L778" s="33">
        <v>775</v>
      </c>
      <c r="M778" s="23">
        <f ca="1"/>
        <v>18191.450713075006</v>
      </c>
      <c r="N778" s="25">
        <f t="shared" si="36"/>
        <v>31343.917000000001</v>
      </c>
      <c r="O778" s="25">
        <f t="shared" ca="1" si="37"/>
        <v>1</v>
      </c>
      <c r="P778" s="47">
        <f t="shared" ca="1" si="38"/>
        <v>0.41961782526813718</v>
      </c>
    </row>
    <row r="779" spans="12:16" s="23" customFormat="1" ht="13.8">
      <c r="L779" s="23">
        <v>776</v>
      </c>
      <c r="M779" s="23">
        <f ca="1"/>
        <v>9007.7168660548195</v>
      </c>
      <c r="N779" s="25">
        <f t="shared" si="36"/>
        <v>31343.917000000001</v>
      </c>
      <c r="O779" s="25">
        <f t="shared" ca="1" si="37"/>
        <v>1</v>
      </c>
      <c r="P779" s="47">
        <f t="shared" ca="1" si="38"/>
        <v>0.71261674582488144</v>
      </c>
    </row>
    <row r="780" spans="12:16" s="23" customFormat="1" ht="13.8">
      <c r="L780" s="33">
        <v>777</v>
      </c>
      <c r="M780" s="23">
        <f ca="1"/>
        <v>22825.67128623011</v>
      </c>
      <c r="N780" s="25">
        <f t="shared" si="36"/>
        <v>31343.917000000001</v>
      </c>
      <c r="O780" s="25">
        <f t="shared" ca="1" si="37"/>
        <v>1</v>
      </c>
      <c r="P780" s="47">
        <f t="shared" ca="1" si="38"/>
        <v>0.27176710918963609</v>
      </c>
    </row>
    <row r="781" spans="12:16" s="23" customFormat="1" ht="13.8">
      <c r="L781" s="23">
        <v>778</v>
      </c>
      <c r="M781" s="23">
        <f ca="1"/>
        <v>45676.736832672723</v>
      </c>
      <c r="N781" s="25">
        <f t="shared" si="36"/>
        <v>31343.917000000001</v>
      </c>
      <c r="O781" s="25">
        <f t="shared" ca="1" si="37"/>
        <v>0</v>
      </c>
      <c r="P781" s="47">
        <f t="shared" ca="1" si="38"/>
        <v>0</v>
      </c>
    </row>
    <row r="782" spans="12:16" s="23" customFormat="1" ht="13.8">
      <c r="L782" s="33">
        <v>779</v>
      </c>
      <c r="M782" s="23">
        <f ca="1"/>
        <v>30499.180878715015</v>
      </c>
      <c r="N782" s="25">
        <f t="shared" si="36"/>
        <v>31343.917000000001</v>
      </c>
      <c r="O782" s="25">
        <f t="shared" ca="1" si="37"/>
        <v>1</v>
      </c>
      <c r="P782" s="47">
        <f t="shared" ca="1" si="38"/>
        <v>2.6950560176795594E-2</v>
      </c>
    </row>
    <row r="783" spans="12:16" s="23" customFormat="1" ht="13.8">
      <c r="L783" s="23">
        <v>780</v>
      </c>
      <c r="M783" s="23">
        <f ca="1"/>
        <v>39738.915305617564</v>
      </c>
      <c r="N783" s="25">
        <f t="shared" si="36"/>
        <v>31343.917000000001</v>
      </c>
      <c r="O783" s="25">
        <f t="shared" ca="1" si="37"/>
        <v>0</v>
      </c>
      <c r="P783" s="47">
        <f t="shared" ca="1" si="38"/>
        <v>0</v>
      </c>
    </row>
    <row r="784" spans="12:16" s="23" customFormat="1" ht="13.8">
      <c r="L784" s="33">
        <v>781</v>
      </c>
      <c r="M784" s="23">
        <f ca="1"/>
        <v>38410.977639698162</v>
      </c>
      <c r="N784" s="25">
        <f t="shared" si="36"/>
        <v>31343.917000000001</v>
      </c>
      <c r="O784" s="25">
        <f t="shared" ca="1" si="37"/>
        <v>0</v>
      </c>
      <c r="P784" s="47">
        <f t="shared" ca="1" si="38"/>
        <v>0</v>
      </c>
    </row>
    <row r="785" spans="12:16" s="23" customFormat="1" ht="13.8">
      <c r="L785" s="23">
        <v>782</v>
      </c>
      <c r="M785" s="23">
        <f ca="1"/>
        <v>36667.335089079206</v>
      </c>
      <c r="N785" s="25">
        <f t="shared" si="36"/>
        <v>31343.917000000001</v>
      </c>
      <c r="O785" s="25">
        <f t="shared" ca="1" si="37"/>
        <v>0</v>
      </c>
      <c r="P785" s="47">
        <f t="shared" ca="1" si="38"/>
        <v>0</v>
      </c>
    </row>
    <row r="786" spans="12:16" s="23" customFormat="1" ht="13.8">
      <c r="L786" s="33">
        <v>783</v>
      </c>
      <c r="M786" s="23">
        <f ca="1"/>
        <v>56450.015836409628</v>
      </c>
      <c r="N786" s="25">
        <f t="shared" si="36"/>
        <v>31343.917000000001</v>
      </c>
      <c r="O786" s="25">
        <f t="shared" ca="1" si="37"/>
        <v>0</v>
      </c>
      <c r="P786" s="47">
        <f t="shared" ca="1" si="38"/>
        <v>0</v>
      </c>
    </row>
    <row r="787" spans="12:16" s="23" customFormat="1" ht="13.8">
      <c r="L787" s="23">
        <v>784</v>
      </c>
      <c r="M787" s="23">
        <f ca="1"/>
        <v>20887.706634930979</v>
      </c>
      <c r="N787" s="25">
        <f t="shared" si="36"/>
        <v>31343.917000000001</v>
      </c>
      <c r="O787" s="25">
        <f t="shared" ca="1" si="37"/>
        <v>1</v>
      </c>
      <c r="P787" s="47">
        <f t="shared" ca="1" si="38"/>
        <v>0.33359616046293838</v>
      </c>
    </row>
    <row r="788" spans="12:16" s="23" customFormat="1" ht="13.8">
      <c r="L788" s="33">
        <v>785</v>
      </c>
      <c r="M788" s="23">
        <f ca="1"/>
        <v>73832.742604251544</v>
      </c>
      <c r="N788" s="25">
        <f t="shared" si="36"/>
        <v>31343.917000000001</v>
      </c>
      <c r="O788" s="25">
        <f t="shared" ca="1" si="37"/>
        <v>0</v>
      </c>
      <c r="P788" s="47">
        <f t="shared" ca="1" si="38"/>
        <v>0</v>
      </c>
    </row>
    <row r="789" spans="12:16" s="23" customFormat="1" ht="13.8">
      <c r="L789" s="23">
        <v>786</v>
      </c>
      <c r="M789" s="23">
        <f ca="1"/>
        <v>41190.018595248483</v>
      </c>
      <c r="N789" s="25">
        <f t="shared" si="36"/>
        <v>31343.917000000001</v>
      </c>
      <c r="O789" s="25">
        <f t="shared" ca="1" si="37"/>
        <v>0</v>
      </c>
      <c r="P789" s="47">
        <f t="shared" ca="1" si="38"/>
        <v>0</v>
      </c>
    </row>
    <row r="790" spans="12:16" s="23" customFormat="1" ht="13.8">
      <c r="L790" s="33">
        <v>787</v>
      </c>
      <c r="M790" s="23">
        <f ca="1"/>
        <v>28633.514033944641</v>
      </c>
      <c r="N790" s="25">
        <f t="shared" si="36"/>
        <v>31343.917000000001</v>
      </c>
      <c r="O790" s="25">
        <f t="shared" ca="1" si="37"/>
        <v>1</v>
      </c>
      <c r="P790" s="47">
        <f t="shared" ca="1" si="38"/>
        <v>8.647301376070389E-2</v>
      </c>
    </row>
    <row r="791" spans="12:16" s="23" customFormat="1" ht="13.8">
      <c r="L791" s="23">
        <v>788</v>
      </c>
      <c r="M791" s="23">
        <f ca="1"/>
        <v>44029.126914717919</v>
      </c>
      <c r="N791" s="25">
        <f t="shared" si="36"/>
        <v>31343.917000000001</v>
      </c>
      <c r="O791" s="25">
        <f t="shared" ca="1" si="37"/>
        <v>0</v>
      </c>
      <c r="P791" s="47">
        <f t="shared" ca="1" si="38"/>
        <v>0</v>
      </c>
    </row>
    <row r="792" spans="12:16" s="23" customFormat="1" ht="13.8">
      <c r="L792" s="33">
        <v>789</v>
      </c>
      <c r="M792" s="23">
        <f ca="1"/>
        <v>49759.014134765574</v>
      </c>
      <c r="N792" s="25">
        <f t="shared" si="36"/>
        <v>31343.917000000001</v>
      </c>
      <c r="O792" s="25">
        <f t="shared" ca="1" si="37"/>
        <v>0</v>
      </c>
      <c r="P792" s="47">
        <f t="shared" ca="1" si="38"/>
        <v>0</v>
      </c>
    </row>
    <row r="793" spans="12:16" s="23" customFormat="1" ht="13.8">
      <c r="L793" s="23">
        <v>790</v>
      </c>
      <c r="M793" s="23">
        <f ca="1"/>
        <v>28311.921521167642</v>
      </c>
      <c r="N793" s="25">
        <f t="shared" si="36"/>
        <v>31343.917000000001</v>
      </c>
      <c r="O793" s="25">
        <f t="shared" ca="1" si="37"/>
        <v>1</v>
      </c>
      <c r="P793" s="47">
        <f t="shared" ca="1" si="38"/>
        <v>9.673313896384933E-2</v>
      </c>
    </row>
    <row r="794" spans="12:16" s="23" customFormat="1" ht="13.8">
      <c r="L794" s="33">
        <v>791</v>
      </c>
      <c r="M794" s="23">
        <f ca="1"/>
        <v>79333.103230240813</v>
      </c>
      <c r="N794" s="25">
        <f t="shared" si="36"/>
        <v>31343.917000000001</v>
      </c>
      <c r="O794" s="25">
        <f t="shared" ca="1" si="37"/>
        <v>0</v>
      </c>
      <c r="P794" s="47">
        <f t="shared" ca="1" si="38"/>
        <v>0</v>
      </c>
    </row>
    <row r="795" spans="12:16" s="23" customFormat="1" ht="13.8">
      <c r="L795" s="23">
        <v>792</v>
      </c>
      <c r="M795" s="23">
        <f ca="1"/>
        <v>81545.535416009574</v>
      </c>
      <c r="N795" s="25">
        <f t="shared" si="36"/>
        <v>31343.917000000001</v>
      </c>
      <c r="O795" s="25">
        <f t="shared" ca="1" si="37"/>
        <v>0</v>
      </c>
      <c r="P795" s="47">
        <f t="shared" ca="1" si="38"/>
        <v>0</v>
      </c>
    </row>
    <row r="796" spans="12:16" s="23" customFormat="1" ht="13.8">
      <c r="L796" s="33">
        <v>793</v>
      </c>
      <c r="M796" s="23">
        <f ca="1"/>
        <v>58721.753188273186</v>
      </c>
      <c r="N796" s="25">
        <f t="shared" si="36"/>
        <v>31343.917000000001</v>
      </c>
      <c r="O796" s="25">
        <f t="shared" ca="1" si="37"/>
        <v>0</v>
      </c>
      <c r="P796" s="47">
        <f t="shared" ca="1" si="38"/>
        <v>0</v>
      </c>
    </row>
    <row r="797" spans="12:16" s="23" customFormat="1" ht="13.8">
      <c r="L797" s="23">
        <v>794</v>
      </c>
      <c r="M797" s="23">
        <f ca="1"/>
        <v>46479.72908966292</v>
      </c>
      <c r="N797" s="25">
        <f t="shared" si="36"/>
        <v>31343.917000000001</v>
      </c>
      <c r="O797" s="25">
        <f t="shared" ca="1" si="37"/>
        <v>0</v>
      </c>
      <c r="P797" s="47">
        <f t="shared" ca="1" si="38"/>
        <v>0</v>
      </c>
    </row>
    <row r="798" spans="12:16" s="23" customFormat="1" ht="13.8">
      <c r="L798" s="33">
        <v>795</v>
      </c>
      <c r="M798" s="23">
        <f ca="1"/>
        <v>67244.637451889997</v>
      </c>
      <c r="N798" s="25">
        <f t="shared" si="36"/>
        <v>31343.917000000001</v>
      </c>
      <c r="O798" s="25">
        <f t="shared" ca="1" si="37"/>
        <v>0</v>
      </c>
      <c r="P798" s="47">
        <f t="shared" ca="1" si="38"/>
        <v>0</v>
      </c>
    </row>
    <row r="799" spans="12:16" s="23" customFormat="1" ht="13.8">
      <c r="L799" s="23">
        <v>796</v>
      </c>
      <c r="M799" s="23">
        <f ca="1"/>
        <v>45740.164573700546</v>
      </c>
      <c r="N799" s="25">
        <f t="shared" si="36"/>
        <v>31343.917000000001</v>
      </c>
      <c r="O799" s="25">
        <f t="shared" ca="1" si="37"/>
        <v>0</v>
      </c>
      <c r="P799" s="47">
        <f t="shared" ca="1" si="38"/>
        <v>0</v>
      </c>
    </row>
    <row r="800" spans="12:16" s="23" customFormat="1" ht="13.8">
      <c r="L800" s="33">
        <v>797</v>
      </c>
      <c r="M800" s="23">
        <f ca="1"/>
        <v>29911.90056882086</v>
      </c>
      <c r="N800" s="25">
        <f t="shared" si="36"/>
        <v>31343.917000000001</v>
      </c>
      <c r="O800" s="25">
        <f t="shared" ca="1" si="37"/>
        <v>1</v>
      </c>
      <c r="P800" s="47">
        <f t="shared" ca="1" si="38"/>
        <v>4.56872199852731E-2</v>
      </c>
    </row>
    <row r="801" spans="12:16" s="23" customFormat="1" ht="13.8">
      <c r="L801" s="23">
        <v>798</v>
      </c>
      <c r="M801" s="23">
        <f ca="1"/>
        <v>33817.493009311482</v>
      </c>
      <c r="N801" s="25">
        <f t="shared" si="36"/>
        <v>31343.917000000001</v>
      </c>
      <c r="O801" s="25">
        <f t="shared" ca="1" si="37"/>
        <v>0</v>
      </c>
      <c r="P801" s="47">
        <f t="shared" ca="1" si="38"/>
        <v>0</v>
      </c>
    </row>
    <row r="802" spans="12:16" s="23" customFormat="1" ht="13.8">
      <c r="L802" s="33">
        <v>799</v>
      </c>
      <c r="M802" s="23">
        <f ca="1"/>
        <v>70590.956561334868</v>
      </c>
      <c r="N802" s="25">
        <f t="shared" si="36"/>
        <v>31343.917000000001</v>
      </c>
      <c r="O802" s="25">
        <f t="shared" ca="1" si="37"/>
        <v>0</v>
      </c>
      <c r="P802" s="47">
        <f t="shared" ca="1" si="38"/>
        <v>0</v>
      </c>
    </row>
    <row r="803" spans="12:16" s="23" customFormat="1" ht="13.8">
      <c r="L803" s="23">
        <v>800</v>
      </c>
      <c r="M803" s="23">
        <f ca="1"/>
        <v>65381.328435557945</v>
      </c>
      <c r="N803" s="25">
        <f t="shared" si="36"/>
        <v>31343.917000000001</v>
      </c>
      <c r="O803" s="25">
        <f t="shared" ca="1" si="37"/>
        <v>0</v>
      </c>
      <c r="P803" s="47">
        <f t="shared" ca="1" si="38"/>
        <v>0</v>
      </c>
    </row>
    <row r="804" spans="12:16" s="23" customFormat="1" ht="13.8">
      <c r="L804" s="33">
        <v>801</v>
      </c>
      <c r="M804" s="23">
        <f ca="1"/>
        <v>44799.558206595466</v>
      </c>
      <c r="N804" s="25">
        <f t="shared" si="36"/>
        <v>31343.917000000001</v>
      </c>
      <c r="O804" s="25">
        <f t="shared" ca="1" si="37"/>
        <v>0</v>
      </c>
      <c r="P804" s="47">
        <f t="shared" ca="1" si="38"/>
        <v>0</v>
      </c>
    </row>
    <row r="805" spans="12:16" s="23" customFormat="1" ht="13.8">
      <c r="L805" s="23">
        <v>802</v>
      </c>
      <c r="M805" s="23">
        <f ca="1"/>
        <v>58843.162826782696</v>
      </c>
      <c r="N805" s="25">
        <f t="shared" si="36"/>
        <v>31343.917000000001</v>
      </c>
      <c r="O805" s="25">
        <f t="shared" ca="1" si="37"/>
        <v>0</v>
      </c>
      <c r="P805" s="47">
        <f t="shared" ca="1" si="38"/>
        <v>0</v>
      </c>
    </row>
    <row r="806" spans="12:16" s="23" customFormat="1" ht="13.8">
      <c r="L806" s="33">
        <v>803</v>
      </c>
      <c r="M806" s="23">
        <f ca="1"/>
        <v>64342.377033297933</v>
      </c>
      <c r="N806" s="25">
        <f t="shared" si="36"/>
        <v>31343.917000000001</v>
      </c>
      <c r="O806" s="25">
        <f t="shared" ca="1" si="37"/>
        <v>0</v>
      </c>
      <c r="P806" s="47">
        <f t="shared" ca="1" si="38"/>
        <v>0</v>
      </c>
    </row>
    <row r="807" spans="12:16" s="23" customFormat="1" ht="13.8">
      <c r="L807" s="23">
        <v>804</v>
      </c>
      <c r="M807" s="23">
        <f ca="1"/>
        <v>48813.964708617052</v>
      </c>
      <c r="N807" s="25">
        <f t="shared" si="36"/>
        <v>31343.917000000001</v>
      </c>
      <c r="O807" s="25">
        <f t="shared" ca="1" si="37"/>
        <v>0</v>
      </c>
      <c r="P807" s="47">
        <f t="shared" ca="1" si="38"/>
        <v>0</v>
      </c>
    </row>
    <row r="808" spans="12:16" s="23" customFormat="1" ht="13.8">
      <c r="L808" s="33">
        <v>805</v>
      </c>
      <c r="M808" s="23">
        <f ca="1"/>
        <v>42975.166806770692</v>
      </c>
      <c r="N808" s="25">
        <f t="shared" si="36"/>
        <v>31343.917000000001</v>
      </c>
      <c r="O808" s="25">
        <f t="shared" ca="1" si="37"/>
        <v>0</v>
      </c>
      <c r="P808" s="47">
        <f t="shared" ca="1" si="38"/>
        <v>0</v>
      </c>
    </row>
    <row r="809" spans="12:16" s="23" customFormat="1" ht="13.8">
      <c r="L809" s="23">
        <v>806</v>
      </c>
      <c r="M809" s="23">
        <f ca="1"/>
        <v>37817.751708972763</v>
      </c>
      <c r="N809" s="25">
        <f t="shared" si="36"/>
        <v>31343.917000000001</v>
      </c>
      <c r="O809" s="25">
        <f t="shared" ca="1" si="37"/>
        <v>0</v>
      </c>
      <c r="P809" s="47">
        <f t="shared" ca="1" si="38"/>
        <v>0</v>
      </c>
    </row>
    <row r="810" spans="12:16" s="23" customFormat="1" ht="13.8">
      <c r="L810" s="33">
        <v>807</v>
      </c>
      <c r="M810" s="23">
        <f ca="1"/>
        <v>65615.888236099912</v>
      </c>
      <c r="N810" s="25">
        <f t="shared" si="36"/>
        <v>31343.917000000001</v>
      </c>
      <c r="O810" s="25">
        <f t="shared" ca="1" si="37"/>
        <v>0</v>
      </c>
      <c r="P810" s="47">
        <f t="shared" ca="1" si="38"/>
        <v>0</v>
      </c>
    </row>
    <row r="811" spans="12:16" s="23" customFormat="1" ht="13.8">
      <c r="L811" s="23">
        <v>808</v>
      </c>
      <c r="M811" s="23">
        <f ca="1"/>
        <v>32863.036554413316</v>
      </c>
      <c r="N811" s="25">
        <f t="shared" si="36"/>
        <v>31343.917000000001</v>
      </c>
      <c r="O811" s="25">
        <f t="shared" ca="1" si="37"/>
        <v>0</v>
      </c>
      <c r="P811" s="47">
        <f t="shared" ca="1" si="38"/>
        <v>0</v>
      </c>
    </row>
    <row r="812" spans="12:16" s="23" customFormat="1" ht="13.8">
      <c r="L812" s="33">
        <v>809</v>
      </c>
      <c r="M812" s="23">
        <f ca="1"/>
        <v>24355.087131973196</v>
      </c>
      <c r="N812" s="25">
        <f t="shared" si="36"/>
        <v>31343.917000000001</v>
      </c>
      <c r="O812" s="25">
        <f t="shared" ca="1" si="37"/>
        <v>1</v>
      </c>
      <c r="P812" s="47">
        <f t="shared" ca="1" si="38"/>
        <v>0.22297244687148721</v>
      </c>
    </row>
    <row r="813" spans="12:16" s="23" customFormat="1" ht="13.8">
      <c r="L813" s="23">
        <v>810</v>
      </c>
      <c r="M813" s="23">
        <f ca="1"/>
        <v>15597.481568102907</v>
      </c>
      <c r="N813" s="25">
        <f t="shared" si="36"/>
        <v>31343.917000000001</v>
      </c>
      <c r="O813" s="25">
        <f t="shared" ca="1" si="37"/>
        <v>1</v>
      </c>
      <c r="P813" s="47">
        <f t="shared" ca="1" si="38"/>
        <v>0.50237612076043636</v>
      </c>
    </row>
    <row r="814" spans="12:16" s="23" customFormat="1" ht="13.8">
      <c r="L814" s="33">
        <v>811</v>
      </c>
      <c r="M814" s="23">
        <f ca="1"/>
        <v>53959.607743331086</v>
      </c>
      <c r="N814" s="25">
        <f t="shared" si="36"/>
        <v>31343.917000000001</v>
      </c>
      <c r="O814" s="25">
        <f t="shared" ca="1" si="37"/>
        <v>0</v>
      </c>
      <c r="P814" s="47">
        <f t="shared" ca="1" si="38"/>
        <v>0</v>
      </c>
    </row>
    <row r="815" spans="12:16" s="23" customFormat="1" ht="13.8">
      <c r="L815" s="23">
        <v>812</v>
      </c>
      <c r="M815" s="23">
        <f ca="1"/>
        <v>62797.362634457488</v>
      </c>
      <c r="N815" s="25">
        <f t="shared" si="36"/>
        <v>31343.917000000001</v>
      </c>
      <c r="O815" s="25">
        <f t="shared" ca="1" si="37"/>
        <v>0</v>
      </c>
      <c r="P815" s="47">
        <f t="shared" ca="1" si="38"/>
        <v>0</v>
      </c>
    </row>
    <row r="816" spans="12:16" s="23" customFormat="1" ht="13.8">
      <c r="L816" s="33">
        <v>813</v>
      </c>
      <c r="M816" s="23">
        <f ca="1"/>
        <v>56183.165175430076</v>
      </c>
      <c r="N816" s="25">
        <f t="shared" si="36"/>
        <v>31343.917000000001</v>
      </c>
      <c r="O816" s="25">
        <f t="shared" ca="1" si="37"/>
        <v>0</v>
      </c>
      <c r="P816" s="47">
        <f t="shared" ca="1" si="38"/>
        <v>0</v>
      </c>
    </row>
    <row r="817" spans="12:16" s="23" customFormat="1" ht="13.8">
      <c r="L817" s="23">
        <v>814</v>
      </c>
      <c r="M817" s="23">
        <f ca="1"/>
        <v>69521.178652433358</v>
      </c>
      <c r="N817" s="25">
        <f t="shared" si="36"/>
        <v>31343.917000000001</v>
      </c>
      <c r="O817" s="25">
        <f t="shared" ca="1" si="37"/>
        <v>0</v>
      </c>
      <c r="P817" s="47">
        <f t="shared" ca="1" si="38"/>
        <v>0</v>
      </c>
    </row>
    <row r="818" spans="12:16" s="23" customFormat="1" ht="13.8">
      <c r="L818" s="33">
        <v>815</v>
      </c>
      <c r="M818" s="23">
        <f ca="1"/>
        <v>22156.784040345159</v>
      </c>
      <c r="N818" s="25">
        <f t="shared" si="36"/>
        <v>31343.917000000001</v>
      </c>
      <c r="O818" s="25">
        <f t="shared" ca="1" si="37"/>
        <v>1</v>
      </c>
      <c r="P818" s="47">
        <f t="shared" ca="1" si="38"/>
        <v>0.29310736624445638</v>
      </c>
    </row>
    <row r="819" spans="12:16" s="23" customFormat="1" ht="13.8">
      <c r="L819" s="23">
        <v>816</v>
      </c>
      <c r="M819" s="23">
        <f ca="1"/>
        <v>82589.139792040296</v>
      </c>
      <c r="N819" s="25">
        <f t="shared" si="36"/>
        <v>31343.917000000001</v>
      </c>
      <c r="O819" s="25">
        <f t="shared" ca="1" si="37"/>
        <v>0</v>
      </c>
      <c r="P819" s="47">
        <f t="shared" ca="1" si="38"/>
        <v>0</v>
      </c>
    </row>
    <row r="820" spans="12:16" s="23" customFormat="1" ht="13.8">
      <c r="L820" s="33">
        <v>817</v>
      </c>
      <c r="M820" s="23">
        <f ca="1"/>
        <v>51804.328060343949</v>
      </c>
      <c r="N820" s="25">
        <f t="shared" si="36"/>
        <v>31343.917000000001</v>
      </c>
      <c r="O820" s="25">
        <f t="shared" ca="1" si="37"/>
        <v>0</v>
      </c>
      <c r="P820" s="47">
        <f t="shared" ca="1" si="38"/>
        <v>0</v>
      </c>
    </row>
    <row r="821" spans="12:16" s="23" customFormat="1" ht="13.8">
      <c r="L821" s="23">
        <v>818</v>
      </c>
      <c r="M821" s="23">
        <f ca="1"/>
        <v>68231.049217117485</v>
      </c>
      <c r="N821" s="25">
        <f t="shared" si="36"/>
        <v>31343.917000000001</v>
      </c>
      <c r="O821" s="25">
        <f t="shared" ca="1" si="37"/>
        <v>0</v>
      </c>
      <c r="P821" s="47">
        <f t="shared" ca="1" si="38"/>
        <v>0</v>
      </c>
    </row>
    <row r="822" spans="12:16" s="23" customFormat="1" ht="13.8">
      <c r="L822" s="33">
        <v>819</v>
      </c>
      <c r="M822" s="23">
        <f ca="1"/>
        <v>74768.107184638473</v>
      </c>
      <c r="N822" s="25">
        <f t="shared" si="36"/>
        <v>31343.917000000001</v>
      </c>
      <c r="O822" s="25">
        <f t="shared" ca="1" si="37"/>
        <v>0</v>
      </c>
      <c r="P822" s="47">
        <f t="shared" ca="1" si="38"/>
        <v>0</v>
      </c>
    </row>
    <row r="823" spans="12:16" s="23" customFormat="1" ht="13.8">
      <c r="L823" s="23">
        <v>820</v>
      </c>
      <c r="M823" s="23">
        <f ca="1"/>
        <v>39559.546278999398</v>
      </c>
      <c r="N823" s="25">
        <f t="shared" si="36"/>
        <v>31343.917000000001</v>
      </c>
      <c r="O823" s="25">
        <f t="shared" ca="1" si="37"/>
        <v>0</v>
      </c>
      <c r="P823" s="47">
        <f t="shared" ca="1" si="38"/>
        <v>0</v>
      </c>
    </row>
    <row r="824" spans="12:16" s="23" customFormat="1" ht="13.8">
      <c r="L824" s="33">
        <v>821</v>
      </c>
      <c r="M824" s="23">
        <f ca="1"/>
        <v>54532.749257694428</v>
      </c>
      <c r="N824" s="25">
        <f t="shared" si="36"/>
        <v>31343.917000000001</v>
      </c>
      <c r="O824" s="25">
        <f t="shared" ca="1" si="37"/>
        <v>0</v>
      </c>
      <c r="P824" s="47">
        <f t="shared" ca="1" si="38"/>
        <v>0</v>
      </c>
    </row>
    <row r="825" spans="12:16" s="23" customFormat="1" ht="13.8">
      <c r="L825" s="23">
        <v>822</v>
      </c>
      <c r="M825" s="23">
        <f ca="1"/>
        <v>72646.416369078026</v>
      </c>
      <c r="N825" s="25">
        <f t="shared" si="36"/>
        <v>31343.917000000001</v>
      </c>
      <c r="O825" s="25">
        <f t="shared" ca="1" si="37"/>
        <v>0</v>
      </c>
      <c r="P825" s="47">
        <f t="shared" ca="1" si="38"/>
        <v>0</v>
      </c>
    </row>
    <row r="826" spans="12:16" s="23" customFormat="1" ht="13.8">
      <c r="L826" s="33">
        <v>823</v>
      </c>
      <c r="M826" s="23">
        <f ca="1"/>
        <v>41448.969215630357</v>
      </c>
      <c r="N826" s="25">
        <f t="shared" si="36"/>
        <v>31343.917000000001</v>
      </c>
      <c r="O826" s="25">
        <f t="shared" ca="1" si="37"/>
        <v>0</v>
      </c>
      <c r="P826" s="47">
        <f t="shared" ca="1" si="38"/>
        <v>0</v>
      </c>
    </row>
    <row r="827" spans="12:16" s="23" customFormat="1" ht="13.8">
      <c r="L827" s="23">
        <v>824</v>
      </c>
      <c r="M827" s="23">
        <f ca="1"/>
        <v>50822.046009385107</v>
      </c>
      <c r="N827" s="25">
        <f t="shared" si="36"/>
        <v>31343.917000000001</v>
      </c>
      <c r="O827" s="25">
        <f t="shared" ca="1" si="37"/>
        <v>0</v>
      </c>
      <c r="P827" s="47">
        <f t="shared" ca="1" si="38"/>
        <v>0</v>
      </c>
    </row>
    <row r="828" spans="12:16" s="23" customFormat="1" ht="13.8">
      <c r="L828" s="33">
        <v>825</v>
      </c>
      <c r="M828" s="23">
        <f ca="1"/>
        <v>38267.650248062004</v>
      </c>
      <c r="N828" s="25">
        <f t="shared" si="36"/>
        <v>31343.917000000001</v>
      </c>
      <c r="O828" s="25">
        <f t="shared" ca="1" si="37"/>
        <v>0</v>
      </c>
      <c r="P828" s="47">
        <f t="shared" ca="1" si="38"/>
        <v>0</v>
      </c>
    </row>
    <row r="829" spans="12:16" s="23" customFormat="1" ht="13.8">
      <c r="L829" s="23">
        <v>826</v>
      </c>
      <c r="M829" s="23">
        <f ca="1"/>
        <v>47140.876019243515</v>
      </c>
      <c r="N829" s="25">
        <f t="shared" si="36"/>
        <v>31343.917000000001</v>
      </c>
      <c r="O829" s="25">
        <f t="shared" ca="1" si="37"/>
        <v>0</v>
      </c>
      <c r="P829" s="47">
        <f t="shared" ca="1" si="38"/>
        <v>0</v>
      </c>
    </row>
    <row r="830" spans="12:16" s="23" customFormat="1" ht="13.8">
      <c r="L830" s="33">
        <v>827</v>
      </c>
      <c r="M830" s="23">
        <f ca="1"/>
        <v>69129.494286034445</v>
      </c>
      <c r="N830" s="25">
        <f t="shared" si="36"/>
        <v>31343.917000000001</v>
      </c>
      <c r="O830" s="25">
        <f t="shared" ca="1" si="37"/>
        <v>0</v>
      </c>
      <c r="P830" s="47">
        <f t="shared" ca="1" si="38"/>
        <v>0</v>
      </c>
    </row>
    <row r="831" spans="12:16" s="23" customFormat="1" ht="13.8">
      <c r="L831" s="23">
        <v>828</v>
      </c>
      <c r="M831" s="23">
        <f ca="1"/>
        <v>54963.251793617608</v>
      </c>
      <c r="N831" s="25">
        <f t="shared" si="36"/>
        <v>31343.917000000001</v>
      </c>
      <c r="O831" s="25">
        <f t="shared" ca="1" si="37"/>
        <v>0</v>
      </c>
      <c r="P831" s="47">
        <f t="shared" ca="1" si="38"/>
        <v>0</v>
      </c>
    </row>
    <row r="832" spans="12:16" s="23" customFormat="1" ht="13.8">
      <c r="L832" s="33">
        <v>829</v>
      </c>
      <c r="M832" s="23">
        <f ca="1"/>
        <v>45745.018182065221</v>
      </c>
      <c r="N832" s="25">
        <f t="shared" si="36"/>
        <v>31343.917000000001</v>
      </c>
      <c r="O832" s="25">
        <f t="shared" ca="1" si="37"/>
        <v>0</v>
      </c>
      <c r="P832" s="47">
        <f t="shared" ca="1" si="38"/>
        <v>0</v>
      </c>
    </row>
    <row r="833" spans="12:16" s="23" customFormat="1" ht="13.8">
      <c r="L833" s="23">
        <v>830</v>
      </c>
      <c r="M833" s="23">
        <f ca="1"/>
        <v>50168.844769457697</v>
      </c>
      <c r="N833" s="25">
        <f t="shared" si="36"/>
        <v>31343.917000000001</v>
      </c>
      <c r="O833" s="25">
        <f t="shared" ca="1" si="37"/>
        <v>0</v>
      </c>
      <c r="P833" s="47">
        <f t="shared" ca="1" si="38"/>
        <v>0</v>
      </c>
    </row>
    <row r="834" spans="12:16" s="23" customFormat="1" ht="13.8">
      <c r="L834" s="33">
        <v>831</v>
      </c>
      <c r="M834" s="23">
        <f ca="1"/>
        <v>40411.198181422173</v>
      </c>
      <c r="N834" s="25">
        <f t="shared" si="36"/>
        <v>31343.917000000001</v>
      </c>
      <c r="O834" s="25">
        <f t="shared" ca="1" si="37"/>
        <v>0</v>
      </c>
      <c r="P834" s="47">
        <f t="shared" ca="1" si="38"/>
        <v>0</v>
      </c>
    </row>
    <row r="835" spans="12:16" s="23" customFormat="1" ht="13.8">
      <c r="L835" s="23">
        <v>832</v>
      </c>
      <c r="M835" s="23">
        <f ca="1"/>
        <v>48475.265498709174</v>
      </c>
      <c r="N835" s="25">
        <f t="shared" si="36"/>
        <v>31343.917000000001</v>
      </c>
      <c r="O835" s="25">
        <f t="shared" ca="1" si="37"/>
        <v>0</v>
      </c>
      <c r="P835" s="47">
        <f t="shared" ca="1" si="38"/>
        <v>0</v>
      </c>
    </row>
    <row r="836" spans="12:16" s="23" customFormat="1" ht="13.8">
      <c r="L836" s="33">
        <v>833</v>
      </c>
      <c r="M836" s="23">
        <f ca="1"/>
        <v>36429.774971295934</v>
      </c>
      <c r="N836" s="25">
        <f t="shared" ref="N836:N899" si="39">($C$23+$E$23)*1.1</f>
        <v>31343.917000000001</v>
      </c>
      <c r="O836" s="25">
        <f t="shared" ref="O836:O899" ca="1" si="40">IF(M836&lt;N836,1,0)</f>
        <v>0</v>
      </c>
      <c r="P836" s="47">
        <f t="shared" ca="1" si="38"/>
        <v>0</v>
      </c>
    </row>
    <row r="837" spans="12:16" s="23" customFormat="1" ht="13.8">
      <c r="L837" s="23">
        <v>834</v>
      </c>
      <c r="M837" s="23">
        <f ca="1"/>
        <v>40251.070133205794</v>
      </c>
      <c r="N837" s="25">
        <f t="shared" si="39"/>
        <v>31343.917000000001</v>
      </c>
      <c r="O837" s="25">
        <f t="shared" ca="1" si="40"/>
        <v>0</v>
      </c>
      <c r="P837" s="47">
        <f t="shared" ref="P837:P900" ca="1" si="41">MAX((N837-M837)/N837,0)</f>
        <v>0</v>
      </c>
    </row>
    <row r="838" spans="12:16" s="23" customFormat="1" ht="13.8">
      <c r="L838" s="33">
        <v>835</v>
      </c>
      <c r="M838" s="23">
        <f ca="1"/>
        <v>23727.765582083932</v>
      </c>
      <c r="N838" s="25">
        <f t="shared" si="39"/>
        <v>31343.917000000001</v>
      </c>
      <c r="O838" s="25">
        <f t="shared" ca="1" si="40"/>
        <v>1</v>
      </c>
      <c r="P838" s="47">
        <f t="shared" ca="1" si="41"/>
        <v>0.24298658709171764</v>
      </c>
    </row>
    <row r="839" spans="12:16" s="23" customFormat="1" ht="13.8">
      <c r="L839" s="23">
        <v>836</v>
      </c>
      <c r="M839" s="23">
        <f ca="1"/>
        <v>62157.612677186735</v>
      </c>
      <c r="N839" s="25">
        <f t="shared" si="39"/>
        <v>31343.917000000001</v>
      </c>
      <c r="O839" s="25">
        <f t="shared" ca="1" si="40"/>
        <v>0</v>
      </c>
      <c r="P839" s="47">
        <f t="shared" ca="1" si="41"/>
        <v>0</v>
      </c>
    </row>
    <row r="840" spans="12:16" s="23" customFormat="1" ht="13.8">
      <c r="L840" s="33">
        <v>837</v>
      </c>
      <c r="M840" s="23">
        <f ca="1"/>
        <v>53490.906948628079</v>
      </c>
      <c r="N840" s="25">
        <f t="shared" si="39"/>
        <v>31343.917000000001</v>
      </c>
      <c r="O840" s="25">
        <f t="shared" ca="1" si="40"/>
        <v>0</v>
      </c>
      <c r="P840" s="47">
        <f t="shared" ca="1" si="41"/>
        <v>0</v>
      </c>
    </row>
    <row r="841" spans="12:16" s="23" customFormat="1" ht="13.8">
      <c r="L841" s="23">
        <v>838</v>
      </c>
      <c r="M841" s="23">
        <f ca="1"/>
        <v>66687.229987739163</v>
      </c>
      <c r="N841" s="25">
        <f t="shared" si="39"/>
        <v>31343.917000000001</v>
      </c>
      <c r="O841" s="25">
        <f t="shared" ca="1" si="40"/>
        <v>0</v>
      </c>
      <c r="P841" s="47">
        <f t="shared" ca="1" si="41"/>
        <v>0</v>
      </c>
    </row>
    <row r="842" spans="12:16" s="23" customFormat="1" ht="13.8">
      <c r="L842" s="33">
        <v>839</v>
      </c>
      <c r="M842" s="23">
        <f ca="1"/>
        <v>41392.208562518572</v>
      </c>
      <c r="N842" s="25">
        <f t="shared" si="39"/>
        <v>31343.917000000001</v>
      </c>
      <c r="O842" s="25">
        <f t="shared" ca="1" si="40"/>
        <v>0</v>
      </c>
      <c r="P842" s="47">
        <f t="shared" ca="1" si="41"/>
        <v>0</v>
      </c>
    </row>
    <row r="843" spans="12:16" s="23" customFormat="1" ht="13.8">
      <c r="L843" s="23">
        <v>840</v>
      </c>
      <c r="M843" s="23">
        <f ca="1"/>
        <v>37679.96009819099</v>
      </c>
      <c r="N843" s="25">
        <f t="shared" si="39"/>
        <v>31343.917000000001</v>
      </c>
      <c r="O843" s="25">
        <f t="shared" ca="1" si="40"/>
        <v>0</v>
      </c>
      <c r="P843" s="47">
        <f t="shared" ca="1" si="41"/>
        <v>0</v>
      </c>
    </row>
    <row r="844" spans="12:16" s="23" customFormat="1" ht="13.8">
      <c r="L844" s="33">
        <v>841</v>
      </c>
      <c r="M844" s="23">
        <f ca="1"/>
        <v>74374.632765794871</v>
      </c>
      <c r="N844" s="25">
        <f t="shared" si="39"/>
        <v>31343.917000000001</v>
      </c>
      <c r="O844" s="25">
        <f t="shared" ca="1" si="40"/>
        <v>0</v>
      </c>
      <c r="P844" s="47">
        <f t="shared" ca="1" si="41"/>
        <v>0</v>
      </c>
    </row>
    <row r="845" spans="12:16" s="23" customFormat="1" ht="13.8">
      <c r="L845" s="23">
        <v>842</v>
      </c>
      <c r="M845" s="23">
        <f ca="1"/>
        <v>76003.077101638439</v>
      </c>
      <c r="N845" s="25">
        <f t="shared" si="39"/>
        <v>31343.917000000001</v>
      </c>
      <c r="O845" s="25">
        <f t="shared" ca="1" si="40"/>
        <v>0</v>
      </c>
      <c r="P845" s="47">
        <f t="shared" ca="1" si="41"/>
        <v>0</v>
      </c>
    </row>
    <row r="846" spans="12:16" s="23" customFormat="1" ht="13.8">
      <c r="L846" s="33">
        <v>843</v>
      </c>
      <c r="M846" s="23">
        <f ca="1"/>
        <v>49980.987398005964</v>
      </c>
      <c r="N846" s="25">
        <f t="shared" si="39"/>
        <v>31343.917000000001</v>
      </c>
      <c r="O846" s="25">
        <f t="shared" ca="1" si="40"/>
        <v>0</v>
      </c>
      <c r="P846" s="47">
        <f t="shared" ca="1" si="41"/>
        <v>0</v>
      </c>
    </row>
    <row r="847" spans="12:16" s="23" customFormat="1" ht="13.8">
      <c r="L847" s="23">
        <v>844</v>
      </c>
      <c r="M847" s="23">
        <f ca="1"/>
        <v>54384.749208055269</v>
      </c>
      <c r="N847" s="25">
        <f t="shared" si="39"/>
        <v>31343.917000000001</v>
      </c>
      <c r="O847" s="25">
        <f t="shared" ca="1" si="40"/>
        <v>0</v>
      </c>
      <c r="P847" s="47">
        <f t="shared" ca="1" si="41"/>
        <v>0</v>
      </c>
    </row>
    <row r="848" spans="12:16" s="23" customFormat="1" ht="13.8">
      <c r="L848" s="33">
        <v>845</v>
      </c>
      <c r="M848" s="23">
        <f ca="1"/>
        <v>49805.976416171645</v>
      </c>
      <c r="N848" s="25">
        <f t="shared" si="39"/>
        <v>31343.917000000001</v>
      </c>
      <c r="O848" s="25">
        <f t="shared" ca="1" si="40"/>
        <v>0</v>
      </c>
      <c r="P848" s="47">
        <f t="shared" ca="1" si="41"/>
        <v>0</v>
      </c>
    </row>
    <row r="849" spans="12:16" s="23" customFormat="1" ht="13.8">
      <c r="L849" s="23">
        <v>846</v>
      </c>
      <c r="M849" s="23">
        <f ca="1"/>
        <v>38901.438744409163</v>
      </c>
      <c r="N849" s="25">
        <f t="shared" si="39"/>
        <v>31343.917000000001</v>
      </c>
      <c r="O849" s="25">
        <f t="shared" ca="1" si="40"/>
        <v>0</v>
      </c>
      <c r="P849" s="47">
        <f t="shared" ca="1" si="41"/>
        <v>0</v>
      </c>
    </row>
    <row r="850" spans="12:16" s="23" customFormat="1" ht="13.8">
      <c r="L850" s="33">
        <v>847</v>
      </c>
      <c r="M850" s="23">
        <f ca="1"/>
        <v>32523.88337249916</v>
      </c>
      <c r="N850" s="25">
        <f t="shared" si="39"/>
        <v>31343.917000000001</v>
      </c>
      <c r="O850" s="25">
        <f t="shared" ca="1" si="40"/>
        <v>0</v>
      </c>
      <c r="P850" s="47">
        <f t="shared" ca="1" si="41"/>
        <v>0</v>
      </c>
    </row>
    <row r="851" spans="12:16" s="23" customFormat="1" ht="13.8">
      <c r="L851" s="23">
        <v>848</v>
      </c>
      <c r="M851" s="23">
        <f ca="1"/>
        <v>62739.502290986224</v>
      </c>
      <c r="N851" s="25">
        <f t="shared" si="39"/>
        <v>31343.917000000001</v>
      </c>
      <c r="O851" s="25">
        <f t="shared" ca="1" si="40"/>
        <v>0</v>
      </c>
      <c r="P851" s="47">
        <f t="shared" ca="1" si="41"/>
        <v>0</v>
      </c>
    </row>
    <row r="852" spans="12:16" s="23" customFormat="1" ht="13.8">
      <c r="L852" s="33">
        <v>849</v>
      </c>
      <c r="M852" s="23">
        <f ca="1"/>
        <v>59093.161594703961</v>
      </c>
      <c r="N852" s="25">
        <f t="shared" si="39"/>
        <v>31343.917000000001</v>
      </c>
      <c r="O852" s="25">
        <f t="shared" ca="1" si="40"/>
        <v>0</v>
      </c>
      <c r="P852" s="47">
        <f t="shared" ca="1" si="41"/>
        <v>0</v>
      </c>
    </row>
    <row r="853" spans="12:16" s="23" customFormat="1" ht="13.8">
      <c r="L853" s="23">
        <v>850</v>
      </c>
      <c r="M853" s="23">
        <f ca="1"/>
        <v>39004.660921220944</v>
      </c>
      <c r="N853" s="25">
        <f t="shared" si="39"/>
        <v>31343.917000000001</v>
      </c>
      <c r="O853" s="25">
        <f t="shared" ca="1" si="40"/>
        <v>0</v>
      </c>
      <c r="P853" s="47">
        <f t="shared" ca="1" si="41"/>
        <v>0</v>
      </c>
    </row>
    <row r="854" spans="12:16" s="23" customFormat="1" ht="13.8">
      <c r="L854" s="33">
        <v>851</v>
      </c>
      <c r="M854" s="23">
        <f ca="1"/>
        <v>51158.907981142656</v>
      </c>
      <c r="N854" s="25">
        <f t="shared" si="39"/>
        <v>31343.917000000001</v>
      </c>
      <c r="O854" s="25">
        <f t="shared" ca="1" si="40"/>
        <v>0</v>
      </c>
      <c r="P854" s="47">
        <f t="shared" ca="1" si="41"/>
        <v>0</v>
      </c>
    </row>
    <row r="855" spans="12:16" s="23" customFormat="1" ht="13.8">
      <c r="L855" s="23">
        <v>852</v>
      </c>
      <c r="M855" s="23">
        <f ca="1"/>
        <v>78648.293865113068</v>
      </c>
      <c r="N855" s="25">
        <f t="shared" si="39"/>
        <v>31343.917000000001</v>
      </c>
      <c r="O855" s="25">
        <f t="shared" ca="1" si="40"/>
        <v>0</v>
      </c>
      <c r="P855" s="47">
        <f t="shared" ca="1" si="41"/>
        <v>0</v>
      </c>
    </row>
    <row r="856" spans="12:16" s="23" customFormat="1" ht="13.8">
      <c r="L856" s="33">
        <v>853</v>
      </c>
      <c r="M856" s="23">
        <f ca="1"/>
        <v>35937.104144470948</v>
      </c>
      <c r="N856" s="25">
        <f t="shared" si="39"/>
        <v>31343.917000000001</v>
      </c>
      <c r="O856" s="25">
        <f t="shared" ca="1" si="40"/>
        <v>0</v>
      </c>
      <c r="P856" s="47">
        <f t="shared" ca="1" si="41"/>
        <v>0</v>
      </c>
    </row>
    <row r="857" spans="12:16" s="23" customFormat="1" ht="13.8">
      <c r="L857" s="23">
        <v>854</v>
      </c>
      <c r="M857" s="23">
        <f ca="1"/>
        <v>72105.041689912614</v>
      </c>
      <c r="N857" s="25">
        <f t="shared" si="39"/>
        <v>31343.917000000001</v>
      </c>
      <c r="O857" s="25">
        <f t="shared" ca="1" si="40"/>
        <v>0</v>
      </c>
      <c r="P857" s="47">
        <f t="shared" ca="1" si="41"/>
        <v>0</v>
      </c>
    </row>
    <row r="858" spans="12:16" s="23" customFormat="1" ht="13.8">
      <c r="L858" s="33">
        <v>855</v>
      </c>
      <c r="M858" s="23">
        <f ca="1"/>
        <v>71779.62281610952</v>
      </c>
      <c r="N858" s="25">
        <f t="shared" si="39"/>
        <v>31343.917000000001</v>
      </c>
      <c r="O858" s="25">
        <f t="shared" ca="1" si="40"/>
        <v>0</v>
      </c>
      <c r="P858" s="47">
        <f t="shared" ca="1" si="41"/>
        <v>0</v>
      </c>
    </row>
    <row r="859" spans="12:16" s="23" customFormat="1" ht="13.8">
      <c r="L859" s="23">
        <v>856</v>
      </c>
      <c r="M859" s="23">
        <f ca="1"/>
        <v>18762.839864274607</v>
      </c>
      <c r="N859" s="25">
        <f t="shared" si="39"/>
        <v>31343.917000000001</v>
      </c>
      <c r="O859" s="25">
        <f t="shared" ca="1" si="40"/>
        <v>1</v>
      </c>
      <c r="P859" s="47">
        <f t="shared" ca="1" si="41"/>
        <v>0.40138815884834667</v>
      </c>
    </row>
    <row r="860" spans="12:16" s="23" customFormat="1" ht="13.8">
      <c r="L860" s="33">
        <v>857</v>
      </c>
      <c r="M860" s="23">
        <f ca="1"/>
        <v>37110.137070438745</v>
      </c>
      <c r="N860" s="25">
        <f t="shared" si="39"/>
        <v>31343.917000000001</v>
      </c>
      <c r="O860" s="25">
        <f t="shared" ca="1" si="40"/>
        <v>0</v>
      </c>
      <c r="P860" s="47">
        <f t="shared" ca="1" si="41"/>
        <v>0</v>
      </c>
    </row>
    <row r="861" spans="12:16" s="23" customFormat="1" ht="13.8">
      <c r="L861" s="23">
        <v>858</v>
      </c>
      <c r="M861" s="23">
        <f ca="1"/>
        <v>43759.678482965639</v>
      </c>
      <c r="N861" s="25">
        <f t="shared" si="39"/>
        <v>31343.917000000001</v>
      </c>
      <c r="O861" s="25">
        <f t="shared" ca="1" si="40"/>
        <v>0</v>
      </c>
      <c r="P861" s="47">
        <f t="shared" ca="1" si="41"/>
        <v>0</v>
      </c>
    </row>
    <row r="862" spans="12:16" s="23" customFormat="1" ht="13.8">
      <c r="L862" s="33">
        <v>859</v>
      </c>
      <c r="M862" s="23">
        <f ca="1"/>
        <v>38721.384043507183</v>
      </c>
      <c r="N862" s="25">
        <f t="shared" si="39"/>
        <v>31343.917000000001</v>
      </c>
      <c r="O862" s="25">
        <f t="shared" ca="1" si="40"/>
        <v>0</v>
      </c>
      <c r="P862" s="47">
        <f t="shared" ca="1" si="41"/>
        <v>0</v>
      </c>
    </row>
    <row r="863" spans="12:16" s="23" customFormat="1" ht="13.8">
      <c r="L863" s="23">
        <v>860</v>
      </c>
      <c r="M863" s="23">
        <f ca="1"/>
        <v>73590.999412223275</v>
      </c>
      <c r="N863" s="25">
        <f t="shared" si="39"/>
        <v>31343.917000000001</v>
      </c>
      <c r="O863" s="25">
        <f t="shared" ca="1" si="40"/>
        <v>0</v>
      </c>
      <c r="P863" s="47">
        <f t="shared" ca="1" si="41"/>
        <v>0</v>
      </c>
    </row>
    <row r="864" spans="12:16" s="23" customFormat="1" ht="13.8">
      <c r="L864" s="33">
        <v>861</v>
      </c>
      <c r="M864" s="23">
        <f ca="1"/>
        <v>54553.727672298279</v>
      </c>
      <c r="N864" s="25">
        <f t="shared" si="39"/>
        <v>31343.917000000001</v>
      </c>
      <c r="O864" s="25">
        <f t="shared" ca="1" si="40"/>
        <v>0</v>
      </c>
      <c r="P864" s="47">
        <f t="shared" ca="1" si="41"/>
        <v>0</v>
      </c>
    </row>
    <row r="865" spans="12:16" s="23" customFormat="1" ht="13.8">
      <c r="L865" s="23">
        <v>862</v>
      </c>
      <c r="M865" s="23">
        <f ca="1"/>
        <v>64716.552734603996</v>
      </c>
      <c r="N865" s="25">
        <f t="shared" si="39"/>
        <v>31343.917000000001</v>
      </c>
      <c r="O865" s="25">
        <f t="shared" ca="1" si="40"/>
        <v>0</v>
      </c>
      <c r="P865" s="47">
        <f t="shared" ca="1" si="41"/>
        <v>0</v>
      </c>
    </row>
    <row r="866" spans="12:16" s="23" customFormat="1" ht="13.8">
      <c r="L866" s="33">
        <v>863</v>
      </c>
      <c r="M866" s="23">
        <f ca="1"/>
        <v>58500.218120840123</v>
      </c>
      <c r="N866" s="25">
        <f t="shared" si="39"/>
        <v>31343.917000000001</v>
      </c>
      <c r="O866" s="25">
        <f t="shared" ca="1" si="40"/>
        <v>0</v>
      </c>
      <c r="P866" s="47">
        <f t="shared" ca="1" si="41"/>
        <v>0</v>
      </c>
    </row>
    <row r="867" spans="12:16" s="23" customFormat="1" ht="13.8">
      <c r="L867" s="23">
        <v>864</v>
      </c>
      <c r="M867" s="23">
        <f ca="1"/>
        <v>27056.970431998776</v>
      </c>
      <c r="N867" s="25">
        <f t="shared" si="39"/>
        <v>31343.917000000001</v>
      </c>
      <c r="O867" s="25">
        <f t="shared" ca="1" si="40"/>
        <v>1</v>
      </c>
      <c r="P867" s="47">
        <f t="shared" ca="1" si="41"/>
        <v>0.13677124553390138</v>
      </c>
    </row>
    <row r="868" spans="12:16" s="23" customFormat="1" ht="13.8">
      <c r="L868" s="33">
        <v>865</v>
      </c>
      <c r="M868" s="23">
        <f ca="1"/>
        <v>26338.211389964115</v>
      </c>
      <c r="N868" s="25">
        <f t="shared" si="39"/>
        <v>31343.917000000001</v>
      </c>
      <c r="O868" s="25">
        <f t="shared" ca="1" si="40"/>
        <v>1</v>
      </c>
      <c r="P868" s="47">
        <f t="shared" ca="1" si="41"/>
        <v>0.15970261821570947</v>
      </c>
    </row>
    <row r="869" spans="12:16" s="23" customFormat="1" ht="13.8">
      <c r="L869" s="23">
        <v>866</v>
      </c>
      <c r="M869" s="23">
        <f ca="1"/>
        <v>37069.354393085348</v>
      </c>
      <c r="N869" s="25">
        <f t="shared" si="39"/>
        <v>31343.917000000001</v>
      </c>
      <c r="O869" s="25">
        <f t="shared" ca="1" si="40"/>
        <v>0</v>
      </c>
      <c r="P869" s="47">
        <f t="shared" ca="1" si="41"/>
        <v>0</v>
      </c>
    </row>
    <row r="870" spans="12:16" s="23" customFormat="1" ht="13.8">
      <c r="L870" s="33">
        <v>867</v>
      </c>
      <c r="M870" s="23">
        <f ca="1"/>
        <v>56167.692204750449</v>
      </c>
      <c r="N870" s="25">
        <f t="shared" si="39"/>
        <v>31343.917000000001</v>
      </c>
      <c r="O870" s="25">
        <f t="shared" ca="1" si="40"/>
        <v>0</v>
      </c>
      <c r="P870" s="47">
        <f t="shared" ca="1" si="41"/>
        <v>0</v>
      </c>
    </row>
    <row r="871" spans="12:16" s="23" customFormat="1" ht="13.8">
      <c r="L871" s="23">
        <v>868</v>
      </c>
      <c r="M871" s="23">
        <f ca="1"/>
        <v>48338.133739250792</v>
      </c>
      <c r="N871" s="25">
        <f t="shared" si="39"/>
        <v>31343.917000000001</v>
      </c>
      <c r="O871" s="25">
        <f t="shared" ca="1" si="40"/>
        <v>0</v>
      </c>
      <c r="P871" s="47">
        <f t="shared" ca="1" si="41"/>
        <v>0</v>
      </c>
    </row>
    <row r="872" spans="12:16" s="23" customFormat="1" ht="13.8">
      <c r="L872" s="33">
        <v>869</v>
      </c>
      <c r="M872" s="23">
        <f ca="1"/>
        <v>64812.889759466692</v>
      </c>
      <c r="N872" s="25">
        <f t="shared" si="39"/>
        <v>31343.917000000001</v>
      </c>
      <c r="O872" s="25">
        <f t="shared" ca="1" si="40"/>
        <v>0</v>
      </c>
      <c r="P872" s="47">
        <f t="shared" ca="1" si="41"/>
        <v>0</v>
      </c>
    </row>
    <row r="873" spans="12:16" s="23" customFormat="1" ht="13.8">
      <c r="L873" s="23">
        <v>870</v>
      </c>
      <c r="M873" s="23">
        <f ca="1"/>
        <v>60226.469493214354</v>
      </c>
      <c r="N873" s="25">
        <f t="shared" si="39"/>
        <v>31343.917000000001</v>
      </c>
      <c r="O873" s="25">
        <f t="shared" ca="1" si="40"/>
        <v>0</v>
      </c>
      <c r="P873" s="47">
        <f t="shared" ca="1" si="41"/>
        <v>0</v>
      </c>
    </row>
    <row r="874" spans="12:16" s="23" customFormat="1" ht="13.8">
      <c r="L874" s="33">
        <v>871</v>
      </c>
      <c r="M874" s="23">
        <f ca="1"/>
        <v>61850.044128027876</v>
      </c>
      <c r="N874" s="25">
        <f t="shared" si="39"/>
        <v>31343.917000000001</v>
      </c>
      <c r="O874" s="25">
        <f t="shared" ca="1" si="40"/>
        <v>0</v>
      </c>
      <c r="P874" s="47">
        <f t="shared" ca="1" si="41"/>
        <v>0</v>
      </c>
    </row>
    <row r="875" spans="12:16" s="23" customFormat="1" ht="13.8">
      <c r="L875" s="23">
        <v>872</v>
      </c>
      <c r="M875" s="23">
        <f ca="1"/>
        <v>49649.120712584932</v>
      </c>
      <c r="N875" s="25">
        <f t="shared" si="39"/>
        <v>31343.917000000001</v>
      </c>
      <c r="O875" s="25">
        <f t="shared" ca="1" si="40"/>
        <v>0</v>
      </c>
      <c r="P875" s="47">
        <f t="shared" ca="1" si="41"/>
        <v>0</v>
      </c>
    </row>
    <row r="876" spans="12:16" s="23" customFormat="1" ht="13.8">
      <c r="L876" s="33">
        <v>873</v>
      </c>
      <c r="M876" s="23">
        <f ca="1"/>
        <v>52372.038256411935</v>
      </c>
      <c r="N876" s="25">
        <f t="shared" si="39"/>
        <v>31343.917000000001</v>
      </c>
      <c r="O876" s="25">
        <f t="shared" ca="1" si="40"/>
        <v>0</v>
      </c>
      <c r="P876" s="47">
        <f t="shared" ca="1" si="41"/>
        <v>0</v>
      </c>
    </row>
    <row r="877" spans="12:16" s="23" customFormat="1" ht="13.8">
      <c r="L877" s="23">
        <v>874</v>
      </c>
      <c r="M877" s="23">
        <f ca="1"/>
        <v>27855.247894200442</v>
      </c>
      <c r="N877" s="25">
        <f t="shared" si="39"/>
        <v>31343.917000000001</v>
      </c>
      <c r="O877" s="25">
        <f t="shared" ca="1" si="40"/>
        <v>1</v>
      </c>
      <c r="P877" s="47">
        <f t="shared" ca="1" si="41"/>
        <v>0.1113029078592685</v>
      </c>
    </row>
    <row r="878" spans="12:16" s="23" customFormat="1" ht="13.8">
      <c r="L878" s="33">
        <v>875</v>
      </c>
      <c r="M878" s="23">
        <f ca="1"/>
        <v>40233.685585393781</v>
      </c>
      <c r="N878" s="25">
        <f t="shared" si="39"/>
        <v>31343.917000000001</v>
      </c>
      <c r="O878" s="25">
        <f t="shared" ca="1" si="40"/>
        <v>0</v>
      </c>
      <c r="P878" s="47">
        <f t="shared" ca="1" si="41"/>
        <v>0</v>
      </c>
    </row>
    <row r="879" spans="12:16" s="23" customFormat="1" ht="13.8">
      <c r="L879" s="23">
        <v>876</v>
      </c>
      <c r="M879" s="23">
        <f ca="1"/>
        <v>36724.121260459171</v>
      </c>
      <c r="N879" s="25">
        <f t="shared" si="39"/>
        <v>31343.917000000001</v>
      </c>
      <c r="O879" s="25">
        <f t="shared" ca="1" si="40"/>
        <v>0</v>
      </c>
      <c r="P879" s="47">
        <f t="shared" ca="1" si="41"/>
        <v>0</v>
      </c>
    </row>
    <row r="880" spans="12:16" s="23" customFormat="1" ht="13.8">
      <c r="L880" s="33">
        <v>877</v>
      </c>
      <c r="M880" s="23">
        <f ca="1"/>
        <v>31363.351394466616</v>
      </c>
      <c r="N880" s="25">
        <f t="shared" si="39"/>
        <v>31343.917000000001</v>
      </c>
      <c r="O880" s="25">
        <f t="shared" ca="1" si="40"/>
        <v>0</v>
      </c>
      <c r="P880" s="47">
        <f t="shared" ca="1" si="41"/>
        <v>0</v>
      </c>
    </row>
    <row r="881" spans="12:16" s="23" customFormat="1" ht="13.8">
      <c r="L881" s="23">
        <v>878</v>
      </c>
      <c r="M881" s="23">
        <f ca="1"/>
        <v>51021.484395789666</v>
      </c>
      <c r="N881" s="25">
        <f t="shared" si="39"/>
        <v>31343.917000000001</v>
      </c>
      <c r="O881" s="25">
        <f t="shared" ca="1" si="40"/>
        <v>0</v>
      </c>
      <c r="P881" s="47">
        <f t="shared" ca="1" si="41"/>
        <v>0</v>
      </c>
    </row>
    <row r="882" spans="12:16" s="23" customFormat="1" ht="13.8">
      <c r="L882" s="33">
        <v>879</v>
      </c>
      <c r="M882" s="23">
        <f ca="1"/>
        <v>99046.141877611502</v>
      </c>
      <c r="N882" s="25">
        <f t="shared" si="39"/>
        <v>31343.917000000001</v>
      </c>
      <c r="O882" s="25">
        <f t="shared" ca="1" si="40"/>
        <v>0</v>
      </c>
      <c r="P882" s="47">
        <f t="shared" ca="1" si="41"/>
        <v>0</v>
      </c>
    </row>
    <row r="883" spans="12:16" s="23" customFormat="1" ht="13.8">
      <c r="L883" s="23">
        <v>880</v>
      </c>
      <c r="M883" s="23">
        <f ca="1"/>
        <v>15766.464433876734</v>
      </c>
      <c r="N883" s="25">
        <f t="shared" si="39"/>
        <v>31343.917000000001</v>
      </c>
      <c r="O883" s="25">
        <f t="shared" ca="1" si="40"/>
        <v>1</v>
      </c>
      <c r="P883" s="47">
        <f t="shared" ca="1" si="41"/>
        <v>0.49698487161394878</v>
      </c>
    </row>
    <row r="884" spans="12:16" s="23" customFormat="1" ht="13.8">
      <c r="L884" s="33">
        <v>881</v>
      </c>
      <c r="M884" s="23">
        <f ca="1"/>
        <v>60432.82862186907</v>
      </c>
      <c r="N884" s="25">
        <f t="shared" si="39"/>
        <v>31343.917000000001</v>
      </c>
      <c r="O884" s="25">
        <f t="shared" ca="1" si="40"/>
        <v>0</v>
      </c>
      <c r="P884" s="47">
        <f t="shared" ca="1" si="41"/>
        <v>0</v>
      </c>
    </row>
    <row r="885" spans="12:16" s="23" customFormat="1" ht="13.8">
      <c r="L885" s="23">
        <v>882</v>
      </c>
      <c r="M885" s="23">
        <f ca="1"/>
        <v>37390.317148125512</v>
      </c>
      <c r="N885" s="25">
        <f t="shared" si="39"/>
        <v>31343.917000000001</v>
      </c>
      <c r="O885" s="25">
        <f t="shared" ca="1" si="40"/>
        <v>0</v>
      </c>
      <c r="P885" s="47">
        <f t="shared" ca="1" si="41"/>
        <v>0</v>
      </c>
    </row>
    <row r="886" spans="12:16" s="23" customFormat="1" ht="13.8">
      <c r="L886" s="33">
        <v>883</v>
      </c>
      <c r="M886" s="23">
        <f ca="1"/>
        <v>66337.57377087108</v>
      </c>
      <c r="N886" s="25">
        <f t="shared" si="39"/>
        <v>31343.917000000001</v>
      </c>
      <c r="O886" s="25">
        <f t="shared" ca="1" si="40"/>
        <v>0</v>
      </c>
      <c r="P886" s="47">
        <f t="shared" ca="1" si="41"/>
        <v>0</v>
      </c>
    </row>
    <row r="887" spans="12:16" s="23" customFormat="1" ht="13.8">
      <c r="L887" s="23">
        <v>884</v>
      </c>
      <c r="M887" s="23">
        <f ca="1"/>
        <v>14937.873871261303</v>
      </c>
      <c r="N887" s="25">
        <f t="shared" si="39"/>
        <v>31343.917000000001</v>
      </c>
      <c r="O887" s="25">
        <f t="shared" ca="1" si="40"/>
        <v>1</v>
      </c>
      <c r="P887" s="47">
        <f t="shared" ca="1" si="41"/>
        <v>0.52342032199545119</v>
      </c>
    </row>
    <row r="888" spans="12:16" s="23" customFormat="1" ht="13.8">
      <c r="L888" s="33">
        <v>885</v>
      </c>
      <c r="M888" s="23">
        <f ca="1"/>
        <v>87285.799113680492</v>
      </c>
      <c r="N888" s="25">
        <f t="shared" si="39"/>
        <v>31343.917000000001</v>
      </c>
      <c r="O888" s="25">
        <f t="shared" ca="1" si="40"/>
        <v>0</v>
      </c>
      <c r="P888" s="47">
        <f t="shared" ca="1" si="41"/>
        <v>0</v>
      </c>
    </row>
    <row r="889" spans="12:16" s="23" customFormat="1" ht="13.8">
      <c r="L889" s="23">
        <v>886</v>
      </c>
      <c r="M889" s="23">
        <f ca="1"/>
        <v>50003.321190215182</v>
      </c>
      <c r="N889" s="25">
        <f t="shared" si="39"/>
        <v>31343.917000000001</v>
      </c>
      <c r="O889" s="25">
        <f t="shared" ca="1" si="40"/>
        <v>0</v>
      </c>
      <c r="P889" s="47">
        <f t="shared" ca="1" si="41"/>
        <v>0</v>
      </c>
    </row>
    <row r="890" spans="12:16" s="23" customFormat="1" ht="13.8">
      <c r="L890" s="33">
        <v>887</v>
      </c>
      <c r="M890" s="23">
        <f ca="1"/>
        <v>45337.120560380332</v>
      </c>
      <c r="N890" s="25">
        <f t="shared" si="39"/>
        <v>31343.917000000001</v>
      </c>
      <c r="O890" s="25">
        <f t="shared" ca="1" si="40"/>
        <v>0</v>
      </c>
      <c r="P890" s="47">
        <f t="shared" ca="1" si="41"/>
        <v>0</v>
      </c>
    </row>
    <row r="891" spans="12:16" s="23" customFormat="1" ht="13.8">
      <c r="L891" s="23">
        <v>888</v>
      </c>
      <c r="M891" s="23">
        <f ca="1"/>
        <v>65339.236816902456</v>
      </c>
      <c r="N891" s="25">
        <f t="shared" si="39"/>
        <v>31343.917000000001</v>
      </c>
      <c r="O891" s="25">
        <f t="shared" ca="1" si="40"/>
        <v>0</v>
      </c>
      <c r="P891" s="47">
        <f t="shared" ca="1" si="41"/>
        <v>0</v>
      </c>
    </row>
    <row r="892" spans="12:16" s="23" customFormat="1" ht="13.8">
      <c r="L892" s="33">
        <v>889</v>
      </c>
      <c r="M892" s="23">
        <f ca="1"/>
        <v>31700.003361718955</v>
      </c>
      <c r="N892" s="25">
        <f t="shared" si="39"/>
        <v>31343.917000000001</v>
      </c>
      <c r="O892" s="25">
        <f t="shared" ca="1" si="40"/>
        <v>0</v>
      </c>
      <c r="P892" s="47">
        <f t="shared" ca="1" si="41"/>
        <v>0</v>
      </c>
    </row>
    <row r="893" spans="12:16" s="23" customFormat="1" ht="13.8">
      <c r="L893" s="23">
        <v>890</v>
      </c>
      <c r="M893" s="23">
        <f ca="1"/>
        <v>48574.233496571971</v>
      </c>
      <c r="N893" s="25">
        <f t="shared" si="39"/>
        <v>31343.917000000001</v>
      </c>
      <c r="O893" s="25">
        <f t="shared" ca="1" si="40"/>
        <v>0</v>
      </c>
      <c r="P893" s="47">
        <f t="shared" ca="1" si="41"/>
        <v>0</v>
      </c>
    </row>
    <row r="894" spans="12:16" s="23" customFormat="1" ht="13.8">
      <c r="L894" s="33">
        <v>891</v>
      </c>
      <c r="M894" s="23">
        <f ca="1"/>
        <v>67448.608067255322</v>
      </c>
      <c r="N894" s="25">
        <f t="shared" si="39"/>
        <v>31343.917000000001</v>
      </c>
      <c r="O894" s="25">
        <f t="shared" ca="1" si="40"/>
        <v>0</v>
      </c>
      <c r="P894" s="47">
        <f t="shared" ca="1" si="41"/>
        <v>0</v>
      </c>
    </row>
    <row r="895" spans="12:16" s="23" customFormat="1" ht="13.8">
      <c r="L895" s="23">
        <v>892</v>
      </c>
      <c r="M895" s="23">
        <f ca="1"/>
        <v>56043.789110903854</v>
      </c>
      <c r="N895" s="25">
        <f t="shared" si="39"/>
        <v>31343.917000000001</v>
      </c>
      <c r="O895" s="25">
        <f t="shared" ca="1" si="40"/>
        <v>0</v>
      </c>
      <c r="P895" s="47">
        <f t="shared" ca="1" si="41"/>
        <v>0</v>
      </c>
    </row>
    <row r="896" spans="12:16" s="23" customFormat="1" ht="13.8">
      <c r="L896" s="33">
        <v>893</v>
      </c>
      <c r="M896" s="23">
        <f ca="1"/>
        <v>49991.514303597127</v>
      </c>
      <c r="N896" s="25">
        <f t="shared" si="39"/>
        <v>31343.917000000001</v>
      </c>
      <c r="O896" s="25">
        <f t="shared" ca="1" si="40"/>
        <v>0</v>
      </c>
      <c r="P896" s="47">
        <f t="shared" ca="1" si="41"/>
        <v>0</v>
      </c>
    </row>
    <row r="897" spans="12:16" s="23" customFormat="1" ht="13.8">
      <c r="L897" s="23">
        <v>894</v>
      </c>
      <c r="M897" s="23">
        <f ca="1"/>
        <v>59691.182728478023</v>
      </c>
      <c r="N897" s="25">
        <f t="shared" si="39"/>
        <v>31343.917000000001</v>
      </c>
      <c r="O897" s="25">
        <f t="shared" ca="1" si="40"/>
        <v>0</v>
      </c>
      <c r="P897" s="47">
        <f t="shared" ca="1" si="41"/>
        <v>0</v>
      </c>
    </row>
    <row r="898" spans="12:16" s="23" customFormat="1" ht="13.8">
      <c r="L898" s="33">
        <v>895</v>
      </c>
      <c r="M898" s="23">
        <f ca="1"/>
        <v>25116.074209681759</v>
      </c>
      <c r="N898" s="25">
        <f t="shared" si="39"/>
        <v>31343.917000000001</v>
      </c>
      <c r="O898" s="25">
        <f t="shared" ca="1" si="40"/>
        <v>1</v>
      </c>
      <c r="P898" s="47">
        <f t="shared" ca="1" si="41"/>
        <v>0.19869382599240043</v>
      </c>
    </row>
    <row r="899" spans="12:16" s="23" customFormat="1" ht="13.8">
      <c r="L899" s="23">
        <v>896</v>
      </c>
      <c r="M899" s="23">
        <f ca="1"/>
        <v>65814.978622297145</v>
      </c>
      <c r="N899" s="25">
        <f t="shared" si="39"/>
        <v>31343.917000000001</v>
      </c>
      <c r="O899" s="25">
        <f t="shared" ca="1" si="40"/>
        <v>0</v>
      </c>
      <c r="P899" s="47">
        <f t="shared" ca="1" si="41"/>
        <v>0</v>
      </c>
    </row>
    <row r="900" spans="12:16" s="23" customFormat="1" ht="13.8">
      <c r="L900" s="33">
        <v>897</v>
      </c>
      <c r="M900" s="23">
        <f ca="1"/>
        <v>73283.048909255362</v>
      </c>
      <c r="N900" s="25">
        <f t="shared" ref="N900:N963" si="42">($C$23+$E$23)*1.1</f>
        <v>31343.917000000001</v>
      </c>
      <c r="O900" s="25">
        <f t="shared" ref="O900:O963" ca="1" si="43">IF(M900&lt;N900,1,0)</f>
        <v>0</v>
      </c>
      <c r="P900" s="47">
        <f t="shared" ca="1" si="41"/>
        <v>0</v>
      </c>
    </row>
    <row r="901" spans="12:16" s="23" customFormat="1" ht="13.8">
      <c r="L901" s="23">
        <v>898</v>
      </c>
      <c r="M901" s="23">
        <f ca="1"/>
        <v>53230.634646938306</v>
      </c>
      <c r="N901" s="25">
        <f t="shared" si="42"/>
        <v>31343.917000000001</v>
      </c>
      <c r="O901" s="25">
        <f t="shared" ca="1" si="43"/>
        <v>0</v>
      </c>
      <c r="P901" s="47">
        <f t="shared" ref="P901:P964" ca="1" si="44">MAX((N901-M901)/N901,0)</f>
        <v>0</v>
      </c>
    </row>
    <row r="902" spans="12:16" s="23" customFormat="1" ht="13.8">
      <c r="L902" s="33">
        <v>899</v>
      </c>
      <c r="M902" s="23">
        <f ca="1"/>
        <v>36139.818642296894</v>
      </c>
      <c r="N902" s="25">
        <f t="shared" si="42"/>
        <v>31343.917000000001</v>
      </c>
      <c r="O902" s="25">
        <f t="shared" ca="1" si="43"/>
        <v>0</v>
      </c>
      <c r="P902" s="47">
        <f t="shared" ca="1" si="44"/>
        <v>0</v>
      </c>
    </row>
    <row r="903" spans="12:16" s="23" customFormat="1" ht="13.8">
      <c r="L903" s="23">
        <v>900</v>
      </c>
      <c r="M903" s="23">
        <f ca="1"/>
        <v>42772.224448960289</v>
      </c>
      <c r="N903" s="25">
        <f t="shared" si="42"/>
        <v>31343.917000000001</v>
      </c>
      <c r="O903" s="25">
        <f t="shared" ca="1" si="43"/>
        <v>0</v>
      </c>
      <c r="P903" s="47">
        <f t="shared" ca="1" si="44"/>
        <v>0</v>
      </c>
    </row>
    <row r="904" spans="12:16" s="23" customFormat="1" ht="13.8">
      <c r="L904" s="33">
        <v>901</v>
      </c>
      <c r="M904" s="23">
        <f ca="1"/>
        <v>56434.331451575839</v>
      </c>
      <c r="N904" s="25">
        <f t="shared" si="42"/>
        <v>31343.917000000001</v>
      </c>
      <c r="O904" s="25">
        <f t="shared" ca="1" si="43"/>
        <v>0</v>
      </c>
      <c r="P904" s="47">
        <f t="shared" ca="1" si="44"/>
        <v>0</v>
      </c>
    </row>
    <row r="905" spans="12:16" s="23" customFormat="1" ht="13.8">
      <c r="L905" s="23">
        <v>902</v>
      </c>
      <c r="M905" s="23">
        <f ca="1"/>
        <v>20669.159469444952</v>
      </c>
      <c r="N905" s="25">
        <f t="shared" si="42"/>
        <v>31343.917000000001</v>
      </c>
      <c r="O905" s="25">
        <f t="shared" ca="1" si="43"/>
        <v>1</v>
      </c>
      <c r="P905" s="47">
        <f t="shared" ca="1" si="44"/>
        <v>0.34056871483404733</v>
      </c>
    </row>
    <row r="906" spans="12:16" s="23" customFormat="1" ht="13.8">
      <c r="L906" s="33">
        <v>903</v>
      </c>
      <c r="M906" s="23">
        <f ca="1"/>
        <v>34999.250361591934</v>
      </c>
      <c r="N906" s="25">
        <f t="shared" si="42"/>
        <v>31343.917000000001</v>
      </c>
      <c r="O906" s="25">
        <f t="shared" ca="1" si="43"/>
        <v>0</v>
      </c>
      <c r="P906" s="47">
        <f t="shared" ca="1" si="44"/>
        <v>0</v>
      </c>
    </row>
    <row r="907" spans="12:16" s="23" customFormat="1" ht="13.8">
      <c r="L907" s="23">
        <v>904</v>
      </c>
      <c r="M907" s="23">
        <f ca="1"/>
        <v>70945.236684585689</v>
      </c>
      <c r="N907" s="25">
        <f t="shared" si="42"/>
        <v>31343.917000000001</v>
      </c>
      <c r="O907" s="25">
        <f t="shared" ca="1" si="43"/>
        <v>0</v>
      </c>
      <c r="P907" s="47">
        <f t="shared" ca="1" si="44"/>
        <v>0</v>
      </c>
    </row>
    <row r="908" spans="12:16" s="23" customFormat="1" ht="13.8">
      <c r="L908" s="33">
        <v>905</v>
      </c>
      <c r="M908" s="23">
        <f ca="1"/>
        <v>53308.515088973218</v>
      </c>
      <c r="N908" s="25">
        <f t="shared" si="42"/>
        <v>31343.917000000001</v>
      </c>
      <c r="O908" s="25">
        <f t="shared" ca="1" si="43"/>
        <v>0</v>
      </c>
      <c r="P908" s="47">
        <f t="shared" ca="1" si="44"/>
        <v>0</v>
      </c>
    </row>
    <row r="909" spans="12:16" s="23" customFormat="1" ht="13.8">
      <c r="L909" s="23">
        <v>906</v>
      </c>
      <c r="M909" s="23">
        <f ca="1"/>
        <v>32408.969899045904</v>
      </c>
      <c r="N909" s="25">
        <f t="shared" si="42"/>
        <v>31343.917000000001</v>
      </c>
      <c r="O909" s="25">
        <f t="shared" ca="1" si="43"/>
        <v>0</v>
      </c>
      <c r="P909" s="47">
        <f t="shared" ca="1" si="44"/>
        <v>0</v>
      </c>
    </row>
    <row r="910" spans="12:16" s="23" customFormat="1" ht="13.8">
      <c r="L910" s="33">
        <v>907</v>
      </c>
      <c r="M910" s="23">
        <f ca="1"/>
        <v>73745.826881359244</v>
      </c>
      <c r="N910" s="25">
        <f t="shared" si="42"/>
        <v>31343.917000000001</v>
      </c>
      <c r="O910" s="25">
        <f t="shared" ca="1" si="43"/>
        <v>0</v>
      </c>
      <c r="P910" s="47">
        <f t="shared" ca="1" si="44"/>
        <v>0</v>
      </c>
    </row>
    <row r="911" spans="12:16" s="23" customFormat="1" ht="13.8">
      <c r="L911" s="23">
        <v>908</v>
      </c>
      <c r="M911" s="23">
        <f ca="1"/>
        <v>26471.657958838368</v>
      </c>
      <c r="N911" s="25">
        <f t="shared" si="42"/>
        <v>31343.917000000001</v>
      </c>
      <c r="O911" s="25">
        <f t="shared" ca="1" si="43"/>
        <v>1</v>
      </c>
      <c r="P911" s="47">
        <f t="shared" ca="1" si="44"/>
        <v>0.15544512324868753</v>
      </c>
    </row>
    <row r="912" spans="12:16" s="23" customFormat="1" ht="13.8">
      <c r="L912" s="33">
        <v>909</v>
      </c>
      <c r="M912" s="23">
        <f ca="1"/>
        <v>34811.852970749511</v>
      </c>
      <c r="N912" s="25">
        <f t="shared" si="42"/>
        <v>31343.917000000001</v>
      </c>
      <c r="O912" s="25">
        <f t="shared" ca="1" si="43"/>
        <v>0</v>
      </c>
      <c r="P912" s="47">
        <f t="shared" ca="1" si="44"/>
        <v>0</v>
      </c>
    </row>
    <row r="913" spans="12:16" s="23" customFormat="1" ht="13.8">
      <c r="L913" s="23">
        <v>910</v>
      </c>
      <c r="M913" s="23">
        <f ca="1"/>
        <v>75791.998434252659</v>
      </c>
      <c r="N913" s="25">
        <f t="shared" si="42"/>
        <v>31343.917000000001</v>
      </c>
      <c r="O913" s="25">
        <f t="shared" ca="1" si="43"/>
        <v>0</v>
      </c>
      <c r="P913" s="47">
        <f t="shared" ca="1" si="44"/>
        <v>0</v>
      </c>
    </row>
    <row r="914" spans="12:16" s="23" customFormat="1" ht="13.8">
      <c r="L914" s="33">
        <v>911</v>
      </c>
      <c r="M914" s="23">
        <f ca="1"/>
        <v>53276.564711920873</v>
      </c>
      <c r="N914" s="25">
        <f t="shared" si="42"/>
        <v>31343.917000000001</v>
      </c>
      <c r="O914" s="25">
        <f t="shared" ca="1" si="43"/>
        <v>0</v>
      </c>
      <c r="P914" s="47">
        <f t="shared" ca="1" si="44"/>
        <v>0</v>
      </c>
    </row>
    <row r="915" spans="12:16" s="23" customFormat="1" ht="13.8">
      <c r="L915" s="23">
        <v>912</v>
      </c>
      <c r="M915" s="23">
        <f ca="1"/>
        <v>37114.09297190763</v>
      </c>
      <c r="N915" s="25">
        <f t="shared" si="42"/>
        <v>31343.917000000001</v>
      </c>
      <c r="O915" s="25">
        <f t="shared" ca="1" si="43"/>
        <v>0</v>
      </c>
      <c r="P915" s="47">
        <f t="shared" ca="1" si="44"/>
        <v>0</v>
      </c>
    </row>
    <row r="916" spans="12:16" s="23" customFormat="1" ht="13.8">
      <c r="L916" s="33">
        <v>913</v>
      </c>
      <c r="M916" s="23">
        <f ca="1"/>
        <v>60099.906788174005</v>
      </c>
      <c r="N916" s="25">
        <f t="shared" si="42"/>
        <v>31343.917000000001</v>
      </c>
      <c r="O916" s="25">
        <f t="shared" ca="1" si="43"/>
        <v>0</v>
      </c>
      <c r="P916" s="47">
        <f t="shared" ca="1" si="44"/>
        <v>0</v>
      </c>
    </row>
    <row r="917" spans="12:16" s="23" customFormat="1" ht="13.8">
      <c r="L917" s="23">
        <v>914</v>
      </c>
      <c r="M917" s="23">
        <f ca="1"/>
        <v>67311.684517543326</v>
      </c>
      <c r="N917" s="25">
        <f t="shared" si="42"/>
        <v>31343.917000000001</v>
      </c>
      <c r="O917" s="25">
        <f t="shared" ca="1" si="43"/>
        <v>0</v>
      </c>
      <c r="P917" s="47">
        <f t="shared" ca="1" si="44"/>
        <v>0</v>
      </c>
    </row>
    <row r="918" spans="12:16" s="23" customFormat="1" ht="13.8">
      <c r="L918" s="33">
        <v>915</v>
      </c>
      <c r="M918" s="23">
        <f ca="1"/>
        <v>41294.034459187504</v>
      </c>
      <c r="N918" s="25">
        <f t="shared" si="42"/>
        <v>31343.917000000001</v>
      </c>
      <c r="O918" s="25">
        <f t="shared" ca="1" si="43"/>
        <v>0</v>
      </c>
      <c r="P918" s="47">
        <f t="shared" ca="1" si="44"/>
        <v>0</v>
      </c>
    </row>
    <row r="919" spans="12:16" s="23" customFormat="1" ht="13.8">
      <c r="L919" s="23">
        <v>916</v>
      </c>
      <c r="M919" s="23">
        <f ca="1"/>
        <v>17667.179527304419</v>
      </c>
      <c r="N919" s="25">
        <f t="shared" si="42"/>
        <v>31343.917000000001</v>
      </c>
      <c r="O919" s="25">
        <f t="shared" ca="1" si="43"/>
        <v>1</v>
      </c>
      <c r="P919" s="47">
        <f t="shared" ca="1" si="44"/>
        <v>0.43634423459887228</v>
      </c>
    </row>
    <row r="920" spans="12:16" s="23" customFormat="1" ht="13.8">
      <c r="L920" s="33">
        <v>917</v>
      </c>
      <c r="M920" s="23">
        <f ca="1"/>
        <v>88279.257195395097</v>
      </c>
      <c r="N920" s="25">
        <f t="shared" si="42"/>
        <v>31343.917000000001</v>
      </c>
      <c r="O920" s="25">
        <f t="shared" ca="1" si="43"/>
        <v>0</v>
      </c>
      <c r="P920" s="47">
        <f t="shared" ca="1" si="44"/>
        <v>0</v>
      </c>
    </row>
    <row r="921" spans="12:16" s="23" customFormat="1" ht="13.8">
      <c r="L921" s="23">
        <v>918</v>
      </c>
      <c r="M921" s="23">
        <f ca="1"/>
        <v>49814.148551972008</v>
      </c>
      <c r="N921" s="25">
        <f t="shared" si="42"/>
        <v>31343.917000000001</v>
      </c>
      <c r="O921" s="25">
        <f t="shared" ca="1" si="43"/>
        <v>0</v>
      </c>
      <c r="P921" s="47">
        <f t="shared" ca="1" si="44"/>
        <v>0</v>
      </c>
    </row>
    <row r="922" spans="12:16" s="23" customFormat="1" ht="13.8">
      <c r="L922" s="33">
        <v>919</v>
      </c>
      <c r="M922" s="23">
        <f ca="1"/>
        <v>53311.662884774421</v>
      </c>
      <c r="N922" s="25">
        <f t="shared" si="42"/>
        <v>31343.917000000001</v>
      </c>
      <c r="O922" s="25">
        <f t="shared" ca="1" si="43"/>
        <v>0</v>
      </c>
      <c r="P922" s="47">
        <f t="shared" ca="1" si="44"/>
        <v>0</v>
      </c>
    </row>
    <row r="923" spans="12:16" s="23" customFormat="1" ht="13.8">
      <c r="L923" s="23">
        <v>920</v>
      </c>
      <c r="M923" s="23">
        <f ca="1"/>
        <v>27930.737814687698</v>
      </c>
      <c r="N923" s="25">
        <f t="shared" si="42"/>
        <v>31343.917000000001</v>
      </c>
      <c r="O923" s="25">
        <f t="shared" ca="1" si="43"/>
        <v>1</v>
      </c>
      <c r="P923" s="47">
        <f t="shared" ca="1" si="44"/>
        <v>0.10889446859217701</v>
      </c>
    </row>
    <row r="924" spans="12:16" s="23" customFormat="1" ht="13.8">
      <c r="L924" s="33">
        <v>921</v>
      </c>
      <c r="M924" s="23">
        <f ca="1"/>
        <v>59181.87871768757</v>
      </c>
      <c r="N924" s="25">
        <f t="shared" si="42"/>
        <v>31343.917000000001</v>
      </c>
      <c r="O924" s="25">
        <f t="shared" ca="1" si="43"/>
        <v>0</v>
      </c>
      <c r="P924" s="47">
        <f t="shared" ca="1" si="44"/>
        <v>0</v>
      </c>
    </row>
    <row r="925" spans="12:16" s="23" customFormat="1" ht="13.8">
      <c r="L925" s="23">
        <v>922</v>
      </c>
      <c r="M925" s="23">
        <f ca="1"/>
        <v>55751.146015880433</v>
      </c>
      <c r="N925" s="25">
        <f t="shared" si="42"/>
        <v>31343.917000000001</v>
      </c>
      <c r="O925" s="25">
        <f t="shared" ca="1" si="43"/>
        <v>0</v>
      </c>
      <c r="P925" s="47">
        <f t="shared" ca="1" si="44"/>
        <v>0</v>
      </c>
    </row>
    <row r="926" spans="12:16" s="23" customFormat="1" ht="13.8">
      <c r="L926" s="33">
        <v>923</v>
      </c>
      <c r="M926" s="23">
        <f ca="1"/>
        <v>67647.070228176875</v>
      </c>
      <c r="N926" s="25">
        <f t="shared" si="42"/>
        <v>31343.917000000001</v>
      </c>
      <c r="O926" s="25">
        <f t="shared" ca="1" si="43"/>
        <v>0</v>
      </c>
      <c r="P926" s="47">
        <f t="shared" ca="1" si="44"/>
        <v>0</v>
      </c>
    </row>
    <row r="927" spans="12:16" s="23" customFormat="1" ht="13.8">
      <c r="L927" s="23">
        <v>924</v>
      </c>
      <c r="M927" s="23">
        <f ca="1"/>
        <v>24308.893406358784</v>
      </c>
      <c r="N927" s="25">
        <f t="shared" si="42"/>
        <v>31343.917000000001</v>
      </c>
      <c r="O927" s="25">
        <f t="shared" ca="1" si="43"/>
        <v>1</v>
      </c>
      <c r="P927" s="47">
        <f t="shared" ca="1" si="44"/>
        <v>0.22444621690522015</v>
      </c>
    </row>
    <row r="928" spans="12:16" s="23" customFormat="1" ht="13.8">
      <c r="L928" s="33">
        <v>925</v>
      </c>
      <c r="M928" s="23">
        <f ca="1"/>
        <v>48437.244787646137</v>
      </c>
      <c r="N928" s="25">
        <f t="shared" si="42"/>
        <v>31343.917000000001</v>
      </c>
      <c r="O928" s="25">
        <f t="shared" ca="1" si="43"/>
        <v>0</v>
      </c>
      <c r="P928" s="47">
        <f t="shared" ca="1" si="44"/>
        <v>0</v>
      </c>
    </row>
    <row r="929" spans="12:16" s="23" customFormat="1" ht="13.8">
      <c r="L929" s="23">
        <v>926</v>
      </c>
      <c r="M929" s="23">
        <f ca="1"/>
        <v>49488.160110238779</v>
      </c>
      <c r="N929" s="25">
        <f t="shared" si="42"/>
        <v>31343.917000000001</v>
      </c>
      <c r="O929" s="25">
        <f t="shared" ca="1" si="43"/>
        <v>0</v>
      </c>
      <c r="P929" s="47">
        <f t="shared" ca="1" si="44"/>
        <v>0</v>
      </c>
    </row>
    <row r="930" spans="12:16" s="23" customFormat="1" ht="13.8">
      <c r="L930" s="33">
        <v>927</v>
      </c>
      <c r="M930" s="23">
        <f ca="1"/>
        <v>39980.824106642962</v>
      </c>
      <c r="N930" s="25">
        <f t="shared" si="42"/>
        <v>31343.917000000001</v>
      </c>
      <c r="O930" s="25">
        <f t="shared" ca="1" si="43"/>
        <v>0</v>
      </c>
      <c r="P930" s="47">
        <f t="shared" ca="1" si="44"/>
        <v>0</v>
      </c>
    </row>
    <row r="931" spans="12:16" s="23" customFormat="1" ht="13.8">
      <c r="L931" s="23">
        <v>928</v>
      </c>
      <c r="M931" s="23">
        <f ca="1"/>
        <v>35014.383949393465</v>
      </c>
      <c r="N931" s="25">
        <f t="shared" si="42"/>
        <v>31343.917000000001</v>
      </c>
      <c r="O931" s="25">
        <f t="shared" ca="1" si="43"/>
        <v>0</v>
      </c>
      <c r="P931" s="47">
        <f t="shared" ca="1" si="44"/>
        <v>0</v>
      </c>
    </row>
    <row r="932" spans="12:16" s="23" customFormat="1" ht="13.8">
      <c r="L932" s="33">
        <v>929</v>
      </c>
      <c r="M932" s="23">
        <f ca="1"/>
        <v>84332.351308221114</v>
      </c>
      <c r="N932" s="25">
        <f t="shared" si="42"/>
        <v>31343.917000000001</v>
      </c>
      <c r="O932" s="25">
        <f t="shared" ca="1" si="43"/>
        <v>0</v>
      </c>
      <c r="P932" s="47">
        <f t="shared" ca="1" si="44"/>
        <v>0</v>
      </c>
    </row>
    <row r="933" spans="12:16" s="23" customFormat="1" ht="13.8">
      <c r="L933" s="23">
        <v>930</v>
      </c>
      <c r="M933" s="23">
        <f ca="1"/>
        <v>48493.257050205706</v>
      </c>
      <c r="N933" s="25">
        <f t="shared" si="42"/>
        <v>31343.917000000001</v>
      </c>
      <c r="O933" s="25">
        <f t="shared" ca="1" si="43"/>
        <v>0</v>
      </c>
      <c r="P933" s="47">
        <f t="shared" ca="1" si="44"/>
        <v>0</v>
      </c>
    </row>
    <row r="934" spans="12:16" s="23" customFormat="1" ht="13.8">
      <c r="L934" s="33">
        <v>931</v>
      </c>
      <c r="M934" s="23">
        <f ca="1"/>
        <v>37381.122563062949</v>
      </c>
      <c r="N934" s="25">
        <f t="shared" si="42"/>
        <v>31343.917000000001</v>
      </c>
      <c r="O934" s="25">
        <f t="shared" ca="1" si="43"/>
        <v>0</v>
      </c>
      <c r="P934" s="47">
        <f t="shared" ca="1" si="44"/>
        <v>0</v>
      </c>
    </row>
    <row r="935" spans="12:16" s="23" customFormat="1" ht="13.8">
      <c r="L935" s="23">
        <v>932</v>
      </c>
      <c r="M935" s="23">
        <f ca="1"/>
        <v>29936.988129745783</v>
      </c>
      <c r="N935" s="25">
        <f t="shared" si="42"/>
        <v>31343.917000000001</v>
      </c>
      <c r="O935" s="25">
        <f t="shared" ca="1" si="43"/>
        <v>1</v>
      </c>
      <c r="P935" s="47">
        <f t="shared" ca="1" si="44"/>
        <v>4.4886823502442851E-2</v>
      </c>
    </row>
    <row r="936" spans="12:16" s="23" customFormat="1" ht="13.8">
      <c r="L936" s="33">
        <v>933</v>
      </c>
      <c r="M936" s="23">
        <f ca="1"/>
        <v>51400.713943640803</v>
      </c>
      <c r="N936" s="25">
        <f t="shared" si="42"/>
        <v>31343.917000000001</v>
      </c>
      <c r="O936" s="25">
        <f t="shared" ca="1" si="43"/>
        <v>0</v>
      </c>
      <c r="P936" s="47">
        <f t="shared" ca="1" si="44"/>
        <v>0</v>
      </c>
    </row>
    <row r="937" spans="12:16" s="23" customFormat="1" ht="13.8">
      <c r="L937" s="23">
        <v>934</v>
      </c>
      <c r="M937" s="23">
        <f ca="1"/>
        <v>30032.911841353347</v>
      </c>
      <c r="N937" s="25">
        <f t="shared" si="42"/>
        <v>31343.917000000001</v>
      </c>
      <c r="O937" s="25">
        <f t="shared" ca="1" si="43"/>
        <v>1</v>
      </c>
      <c r="P937" s="47">
        <f t="shared" ca="1" si="44"/>
        <v>4.1826462169570394E-2</v>
      </c>
    </row>
    <row r="938" spans="12:16" s="23" customFormat="1" ht="13.8">
      <c r="L938" s="33">
        <v>935</v>
      </c>
      <c r="M938" s="23">
        <f ca="1"/>
        <v>58466.89962105317</v>
      </c>
      <c r="N938" s="25">
        <f t="shared" si="42"/>
        <v>31343.917000000001</v>
      </c>
      <c r="O938" s="25">
        <f t="shared" ca="1" si="43"/>
        <v>0</v>
      </c>
      <c r="P938" s="47">
        <f t="shared" ca="1" si="44"/>
        <v>0</v>
      </c>
    </row>
    <row r="939" spans="12:16" s="23" customFormat="1" ht="13.8">
      <c r="L939" s="23">
        <v>936</v>
      </c>
      <c r="M939" s="23">
        <f ca="1"/>
        <v>41948.069927243952</v>
      </c>
      <c r="N939" s="25">
        <f t="shared" si="42"/>
        <v>31343.917000000001</v>
      </c>
      <c r="O939" s="25">
        <f t="shared" ca="1" si="43"/>
        <v>0</v>
      </c>
      <c r="P939" s="47">
        <f t="shared" ca="1" si="44"/>
        <v>0</v>
      </c>
    </row>
    <row r="940" spans="12:16" s="23" customFormat="1" ht="13.8">
      <c r="L940" s="33">
        <v>937</v>
      </c>
      <c r="M940" s="23">
        <f ca="1"/>
        <v>40606.058748048017</v>
      </c>
      <c r="N940" s="25">
        <f t="shared" si="42"/>
        <v>31343.917000000001</v>
      </c>
      <c r="O940" s="25">
        <f t="shared" ca="1" si="43"/>
        <v>0</v>
      </c>
      <c r="P940" s="47">
        <f t="shared" ca="1" si="44"/>
        <v>0</v>
      </c>
    </row>
    <row r="941" spans="12:16" s="23" customFormat="1" ht="13.8">
      <c r="L941" s="23">
        <v>938</v>
      </c>
      <c r="M941" s="23">
        <f ca="1"/>
        <v>60234.494015064418</v>
      </c>
      <c r="N941" s="25">
        <f t="shared" si="42"/>
        <v>31343.917000000001</v>
      </c>
      <c r="O941" s="25">
        <f t="shared" ca="1" si="43"/>
        <v>0</v>
      </c>
      <c r="P941" s="47">
        <f t="shared" ca="1" si="44"/>
        <v>0</v>
      </c>
    </row>
    <row r="942" spans="12:16" s="23" customFormat="1" ht="13.8">
      <c r="L942" s="33">
        <v>939</v>
      </c>
      <c r="M942" s="23">
        <f ca="1"/>
        <v>61009.555867040108</v>
      </c>
      <c r="N942" s="25">
        <f t="shared" si="42"/>
        <v>31343.917000000001</v>
      </c>
      <c r="O942" s="25">
        <f t="shared" ca="1" si="43"/>
        <v>0</v>
      </c>
      <c r="P942" s="47">
        <f t="shared" ca="1" si="44"/>
        <v>0</v>
      </c>
    </row>
    <row r="943" spans="12:16" s="23" customFormat="1" ht="13.8">
      <c r="L943" s="23">
        <v>940</v>
      </c>
      <c r="M943" s="23">
        <f ca="1"/>
        <v>16379.784217461642</v>
      </c>
      <c r="N943" s="25">
        <f t="shared" si="42"/>
        <v>31343.917000000001</v>
      </c>
      <c r="O943" s="25">
        <f t="shared" ca="1" si="43"/>
        <v>1</v>
      </c>
      <c r="P943" s="47">
        <f t="shared" ca="1" si="44"/>
        <v>0.47741744538624065</v>
      </c>
    </row>
    <row r="944" spans="12:16" s="23" customFormat="1" ht="13.8">
      <c r="L944" s="33">
        <v>941</v>
      </c>
      <c r="M944" s="23">
        <f ca="1"/>
        <v>40161.744650953799</v>
      </c>
      <c r="N944" s="25">
        <f t="shared" si="42"/>
        <v>31343.917000000001</v>
      </c>
      <c r="O944" s="25">
        <f t="shared" ca="1" si="43"/>
        <v>0</v>
      </c>
      <c r="P944" s="47">
        <f t="shared" ca="1" si="44"/>
        <v>0</v>
      </c>
    </row>
    <row r="945" spans="12:16" s="23" customFormat="1" ht="13.8">
      <c r="L945" s="23">
        <v>942</v>
      </c>
      <c r="M945" s="23">
        <f ca="1"/>
        <v>41101.890121172859</v>
      </c>
      <c r="N945" s="25">
        <f t="shared" si="42"/>
        <v>31343.917000000001</v>
      </c>
      <c r="O945" s="25">
        <f t="shared" ca="1" si="43"/>
        <v>0</v>
      </c>
      <c r="P945" s="47">
        <f t="shared" ca="1" si="44"/>
        <v>0</v>
      </c>
    </row>
    <row r="946" spans="12:16" s="23" customFormat="1" ht="13.8">
      <c r="L946" s="33">
        <v>943</v>
      </c>
      <c r="M946" s="23">
        <f ca="1"/>
        <v>41084.730663049348</v>
      </c>
      <c r="N946" s="25">
        <f t="shared" si="42"/>
        <v>31343.917000000001</v>
      </c>
      <c r="O946" s="25">
        <f t="shared" ca="1" si="43"/>
        <v>0</v>
      </c>
      <c r="P946" s="47">
        <f t="shared" ca="1" si="44"/>
        <v>0</v>
      </c>
    </row>
    <row r="947" spans="12:16" s="23" customFormat="1" ht="13.8">
      <c r="L947" s="23">
        <v>944</v>
      </c>
      <c r="M947" s="23">
        <f ca="1"/>
        <v>20836.172722382318</v>
      </c>
      <c r="N947" s="25">
        <f t="shared" si="42"/>
        <v>31343.917000000001</v>
      </c>
      <c r="O947" s="25">
        <f t="shared" ca="1" si="43"/>
        <v>1</v>
      </c>
      <c r="P947" s="47">
        <f t="shared" ca="1" si="44"/>
        <v>0.33524030444624014</v>
      </c>
    </row>
    <row r="948" spans="12:16" s="23" customFormat="1" ht="13.8">
      <c r="L948" s="33">
        <v>945</v>
      </c>
      <c r="M948" s="23">
        <f ca="1"/>
        <v>-9696.6793431647602</v>
      </c>
      <c r="N948" s="25">
        <f t="shared" si="42"/>
        <v>31343.917000000001</v>
      </c>
      <c r="O948" s="25">
        <f t="shared" ca="1" si="43"/>
        <v>1</v>
      </c>
      <c r="P948" s="47">
        <f t="shared" ca="1" si="44"/>
        <v>1.3093639937588133</v>
      </c>
    </row>
    <row r="949" spans="12:16" s="23" customFormat="1" ht="13.8">
      <c r="L949" s="23">
        <v>946</v>
      </c>
      <c r="M949" s="23">
        <f ca="1"/>
        <v>53690.737861784801</v>
      </c>
      <c r="N949" s="25">
        <f t="shared" si="42"/>
        <v>31343.917000000001</v>
      </c>
      <c r="O949" s="25">
        <f t="shared" ca="1" si="43"/>
        <v>0</v>
      </c>
      <c r="P949" s="47">
        <f t="shared" ca="1" si="44"/>
        <v>0</v>
      </c>
    </row>
    <row r="950" spans="12:16" s="23" customFormat="1" ht="13.8">
      <c r="L950" s="33">
        <v>947</v>
      </c>
      <c r="M950" s="23">
        <f ca="1"/>
        <v>21273.885787580195</v>
      </c>
      <c r="N950" s="25">
        <f t="shared" si="42"/>
        <v>31343.917000000001</v>
      </c>
      <c r="O950" s="25">
        <f t="shared" ca="1" si="43"/>
        <v>1</v>
      </c>
      <c r="P950" s="47">
        <f t="shared" ca="1" si="44"/>
        <v>0.32127545553479503</v>
      </c>
    </row>
    <row r="951" spans="12:16" s="23" customFormat="1" ht="13.8">
      <c r="L951" s="23">
        <v>948</v>
      </c>
      <c r="M951" s="23">
        <f ca="1"/>
        <v>41964.610563554212</v>
      </c>
      <c r="N951" s="25">
        <f t="shared" si="42"/>
        <v>31343.917000000001</v>
      </c>
      <c r="O951" s="25">
        <f t="shared" ca="1" si="43"/>
        <v>0</v>
      </c>
      <c r="P951" s="47">
        <f t="shared" ca="1" si="44"/>
        <v>0</v>
      </c>
    </row>
    <row r="952" spans="12:16" s="23" customFormat="1" ht="13.8">
      <c r="L952" s="33">
        <v>949</v>
      </c>
      <c r="M952" s="23">
        <f ca="1"/>
        <v>60874.083547552924</v>
      </c>
      <c r="N952" s="25">
        <f t="shared" si="42"/>
        <v>31343.917000000001</v>
      </c>
      <c r="O952" s="25">
        <f t="shared" ca="1" si="43"/>
        <v>0</v>
      </c>
      <c r="P952" s="47">
        <f t="shared" ca="1" si="44"/>
        <v>0</v>
      </c>
    </row>
    <row r="953" spans="12:16" s="23" customFormat="1" ht="13.8">
      <c r="L953" s="23">
        <v>950</v>
      </c>
      <c r="M953" s="23">
        <f ca="1"/>
        <v>68951.74791574062</v>
      </c>
      <c r="N953" s="25">
        <f t="shared" si="42"/>
        <v>31343.917000000001</v>
      </c>
      <c r="O953" s="25">
        <f t="shared" ca="1" si="43"/>
        <v>0</v>
      </c>
      <c r="P953" s="47">
        <f t="shared" ca="1" si="44"/>
        <v>0</v>
      </c>
    </row>
    <row r="954" spans="12:16" s="23" customFormat="1" ht="13.8">
      <c r="L954" s="33">
        <v>951</v>
      </c>
      <c r="M954" s="23">
        <f ca="1"/>
        <v>35752.071727352479</v>
      </c>
      <c r="N954" s="25">
        <f t="shared" si="42"/>
        <v>31343.917000000001</v>
      </c>
      <c r="O954" s="25">
        <f t="shared" ca="1" si="43"/>
        <v>0</v>
      </c>
      <c r="P954" s="47">
        <f t="shared" ca="1" si="44"/>
        <v>0</v>
      </c>
    </row>
    <row r="955" spans="12:16" s="23" customFormat="1" ht="13.8">
      <c r="L955" s="23">
        <v>952</v>
      </c>
      <c r="M955" s="23">
        <f ca="1"/>
        <v>33184.23557699602</v>
      </c>
      <c r="N955" s="25">
        <f t="shared" si="42"/>
        <v>31343.917000000001</v>
      </c>
      <c r="O955" s="25">
        <f t="shared" ca="1" si="43"/>
        <v>0</v>
      </c>
      <c r="P955" s="47">
        <f t="shared" ca="1" si="44"/>
        <v>0</v>
      </c>
    </row>
    <row r="956" spans="12:16" s="23" customFormat="1" ht="13.8">
      <c r="L956" s="33">
        <v>953</v>
      </c>
      <c r="M956" s="23">
        <f ca="1"/>
        <v>25170.63201257043</v>
      </c>
      <c r="N956" s="25">
        <f t="shared" si="42"/>
        <v>31343.917000000001</v>
      </c>
      <c r="O956" s="25">
        <f t="shared" ca="1" si="43"/>
        <v>1</v>
      </c>
      <c r="P956" s="47">
        <f t="shared" ca="1" si="44"/>
        <v>0.19695320745743333</v>
      </c>
    </row>
    <row r="957" spans="12:16" s="23" customFormat="1" ht="13.8">
      <c r="L957" s="23">
        <v>954</v>
      </c>
      <c r="M957" s="23">
        <f ca="1"/>
        <v>47254.229230619494</v>
      </c>
      <c r="N957" s="25">
        <f t="shared" si="42"/>
        <v>31343.917000000001</v>
      </c>
      <c r="O957" s="25">
        <f t="shared" ca="1" si="43"/>
        <v>0</v>
      </c>
      <c r="P957" s="47">
        <f t="shared" ca="1" si="44"/>
        <v>0</v>
      </c>
    </row>
    <row r="958" spans="12:16" s="23" customFormat="1" ht="13.8">
      <c r="L958" s="33">
        <v>955</v>
      </c>
      <c r="M958" s="23">
        <f ca="1"/>
        <v>24263.996994199271</v>
      </c>
      <c r="N958" s="25">
        <f t="shared" si="42"/>
        <v>31343.917000000001</v>
      </c>
      <c r="O958" s="25">
        <f t="shared" ca="1" si="43"/>
        <v>1</v>
      </c>
      <c r="P958" s="47">
        <f t="shared" ca="1" si="44"/>
        <v>0.22587859729850387</v>
      </c>
    </row>
    <row r="959" spans="12:16" s="23" customFormat="1" ht="13.8">
      <c r="L959" s="23">
        <v>956</v>
      </c>
      <c r="M959" s="23">
        <f ca="1"/>
        <v>95089.342936628265</v>
      </c>
      <c r="N959" s="25">
        <f t="shared" si="42"/>
        <v>31343.917000000001</v>
      </c>
      <c r="O959" s="25">
        <f t="shared" ca="1" si="43"/>
        <v>0</v>
      </c>
      <c r="P959" s="47">
        <f t="shared" ca="1" si="44"/>
        <v>0</v>
      </c>
    </row>
    <row r="960" spans="12:16" s="23" customFormat="1" ht="13.8">
      <c r="L960" s="33">
        <v>957</v>
      </c>
      <c r="M960" s="23">
        <f ca="1"/>
        <v>40285.600026697241</v>
      </c>
      <c r="N960" s="25">
        <f t="shared" si="42"/>
        <v>31343.917000000001</v>
      </c>
      <c r="O960" s="25">
        <f t="shared" ca="1" si="43"/>
        <v>0</v>
      </c>
      <c r="P960" s="47">
        <f t="shared" ca="1" si="44"/>
        <v>0</v>
      </c>
    </row>
    <row r="961" spans="12:16" s="23" customFormat="1" ht="13.8">
      <c r="L961" s="23">
        <v>958</v>
      </c>
      <c r="M961" s="23">
        <f ca="1"/>
        <v>67222.800765356093</v>
      </c>
      <c r="N961" s="25">
        <f t="shared" si="42"/>
        <v>31343.917000000001</v>
      </c>
      <c r="O961" s="25">
        <f t="shared" ca="1" si="43"/>
        <v>0</v>
      </c>
      <c r="P961" s="47">
        <f t="shared" ca="1" si="44"/>
        <v>0</v>
      </c>
    </row>
    <row r="962" spans="12:16" s="23" customFormat="1" ht="13.8">
      <c r="L962" s="33">
        <v>959</v>
      </c>
      <c r="M962" s="23">
        <f ca="1"/>
        <v>52931.848330585097</v>
      </c>
      <c r="N962" s="25">
        <f t="shared" si="42"/>
        <v>31343.917000000001</v>
      </c>
      <c r="O962" s="25">
        <f t="shared" ca="1" si="43"/>
        <v>0</v>
      </c>
      <c r="P962" s="47">
        <f t="shared" ca="1" si="44"/>
        <v>0</v>
      </c>
    </row>
    <row r="963" spans="12:16" s="23" customFormat="1" ht="13.8">
      <c r="L963" s="23">
        <v>960</v>
      </c>
      <c r="M963" s="23">
        <f ca="1"/>
        <v>36303.682266971169</v>
      </c>
      <c r="N963" s="25">
        <f t="shared" si="42"/>
        <v>31343.917000000001</v>
      </c>
      <c r="O963" s="25">
        <f t="shared" ca="1" si="43"/>
        <v>0</v>
      </c>
      <c r="P963" s="47">
        <f t="shared" ca="1" si="44"/>
        <v>0</v>
      </c>
    </row>
    <row r="964" spans="12:16" s="23" customFormat="1" ht="13.8">
      <c r="L964" s="33">
        <v>961</v>
      </c>
      <c r="M964" s="23">
        <f ca="1"/>
        <v>74478.153336826508</v>
      </c>
      <c r="N964" s="25">
        <f t="shared" ref="N964:N1003" si="45">($C$23+$E$23)*1.1</f>
        <v>31343.917000000001</v>
      </c>
      <c r="O964" s="25">
        <f t="shared" ref="O964:O1003" ca="1" si="46">IF(M964&lt;N964,1,0)</f>
        <v>0</v>
      </c>
      <c r="P964" s="47">
        <f t="shared" ca="1" si="44"/>
        <v>0</v>
      </c>
    </row>
    <row r="965" spans="12:16" s="23" customFormat="1" ht="13.8">
      <c r="L965" s="23">
        <v>962</v>
      </c>
      <c r="M965" s="23">
        <f ca="1"/>
        <v>45459.326429096785</v>
      </c>
      <c r="N965" s="25">
        <f t="shared" si="45"/>
        <v>31343.917000000001</v>
      </c>
      <c r="O965" s="25">
        <f t="shared" ca="1" si="46"/>
        <v>0</v>
      </c>
      <c r="P965" s="47">
        <f t="shared" ref="P965:P1003" ca="1" si="47">MAX((N965-M965)/N965,0)</f>
        <v>0</v>
      </c>
    </row>
    <row r="966" spans="12:16" s="23" customFormat="1" ht="13.8">
      <c r="L966" s="33">
        <v>963</v>
      </c>
      <c r="M966" s="23">
        <f ca="1"/>
        <v>40765.041963200296</v>
      </c>
      <c r="N966" s="25">
        <f t="shared" si="45"/>
        <v>31343.917000000001</v>
      </c>
      <c r="O966" s="25">
        <f t="shared" ca="1" si="46"/>
        <v>0</v>
      </c>
      <c r="P966" s="47">
        <f t="shared" ca="1" si="47"/>
        <v>0</v>
      </c>
    </row>
    <row r="967" spans="12:16" s="23" customFormat="1" ht="13.8">
      <c r="L967" s="23">
        <v>964</v>
      </c>
      <c r="M967" s="23">
        <f ca="1"/>
        <v>67474.458993955428</v>
      </c>
      <c r="N967" s="25">
        <f t="shared" si="45"/>
        <v>31343.917000000001</v>
      </c>
      <c r="O967" s="25">
        <f t="shared" ca="1" si="46"/>
        <v>0</v>
      </c>
      <c r="P967" s="47">
        <f t="shared" ca="1" si="47"/>
        <v>0</v>
      </c>
    </row>
    <row r="968" spans="12:16" s="23" customFormat="1" ht="13.8">
      <c r="L968" s="33">
        <v>965</v>
      </c>
      <c r="M968" s="23">
        <f ca="1"/>
        <v>23662.387670114942</v>
      </c>
      <c r="N968" s="25">
        <f t="shared" si="45"/>
        <v>31343.917000000001</v>
      </c>
      <c r="O968" s="25">
        <f t="shared" ca="1" si="46"/>
        <v>1</v>
      </c>
      <c r="P968" s="47">
        <f t="shared" ca="1" si="47"/>
        <v>0.24507241165439084</v>
      </c>
    </row>
    <row r="969" spans="12:16" s="23" customFormat="1" ht="13.8">
      <c r="L969" s="23">
        <v>966</v>
      </c>
      <c r="M969" s="23">
        <f ca="1"/>
        <v>43580.137075393846</v>
      </c>
      <c r="N969" s="25">
        <f t="shared" si="45"/>
        <v>31343.917000000001</v>
      </c>
      <c r="O969" s="25">
        <f t="shared" ca="1" si="46"/>
        <v>0</v>
      </c>
      <c r="P969" s="47">
        <f t="shared" ca="1" si="47"/>
        <v>0</v>
      </c>
    </row>
    <row r="970" spans="12:16" s="23" customFormat="1" ht="13.8">
      <c r="L970" s="33">
        <v>967</v>
      </c>
      <c r="M970" s="23">
        <f ca="1"/>
        <v>48582.90281989197</v>
      </c>
      <c r="N970" s="25">
        <f t="shared" si="45"/>
        <v>31343.917000000001</v>
      </c>
      <c r="O970" s="25">
        <f t="shared" ca="1" si="46"/>
        <v>0</v>
      </c>
      <c r="P970" s="47">
        <f t="shared" ca="1" si="47"/>
        <v>0</v>
      </c>
    </row>
    <row r="971" spans="12:16" s="23" customFormat="1" ht="13.8">
      <c r="L971" s="23">
        <v>968</v>
      </c>
      <c r="M971" s="23">
        <f ca="1"/>
        <v>55315.852438523892</v>
      </c>
      <c r="N971" s="25">
        <f t="shared" si="45"/>
        <v>31343.917000000001</v>
      </c>
      <c r="O971" s="25">
        <f t="shared" ca="1" si="46"/>
        <v>0</v>
      </c>
      <c r="P971" s="47">
        <f t="shared" ca="1" si="47"/>
        <v>0</v>
      </c>
    </row>
    <row r="972" spans="12:16" s="23" customFormat="1" ht="13.8">
      <c r="L972" s="33">
        <v>969</v>
      </c>
      <c r="M972" s="23">
        <f ca="1"/>
        <v>-4063.6800961254226</v>
      </c>
      <c r="N972" s="25">
        <f t="shared" si="45"/>
        <v>31343.917000000001</v>
      </c>
      <c r="O972" s="25">
        <f t="shared" ca="1" si="46"/>
        <v>1</v>
      </c>
      <c r="P972" s="47">
        <f t="shared" ca="1" si="47"/>
        <v>1.1296481258588522</v>
      </c>
    </row>
    <row r="973" spans="12:16" s="23" customFormat="1" ht="13.8">
      <c r="L973" s="23">
        <v>970</v>
      </c>
      <c r="M973" s="23">
        <f ca="1"/>
        <v>47528.708504403519</v>
      </c>
      <c r="N973" s="25">
        <f t="shared" si="45"/>
        <v>31343.917000000001</v>
      </c>
      <c r="O973" s="25">
        <f t="shared" ca="1" si="46"/>
        <v>0</v>
      </c>
      <c r="P973" s="47">
        <f t="shared" ca="1" si="47"/>
        <v>0</v>
      </c>
    </row>
    <row r="974" spans="12:16" s="23" customFormat="1" ht="13.8">
      <c r="L974" s="33">
        <v>971</v>
      </c>
      <c r="M974" s="23">
        <f ca="1"/>
        <v>45540.778450206381</v>
      </c>
      <c r="N974" s="25">
        <f t="shared" si="45"/>
        <v>31343.917000000001</v>
      </c>
      <c r="O974" s="25">
        <f t="shared" ca="1" si="46"/>
        <v>0</v>
      </c>
      <c r="P974" s="47">
        <f t="shared" ca="1" si="47"/>
        <v>0</v>
      </c>
    </row>
    <row r="975" spans="12:16" s="23" customFormat="1" ht="13.8">
      <c r="L975" s="23">
        <v>972</v>
      </c>
      <c r="M975" s="23">
        <f ca="1"/>
        <v>54015.052383655588</v>
      </c>
      <c r="N975" s="25">
        <f t="shared" si="45"/>
        <v>31343.917000000001</v>
      </c>
      <c r="O975" s="25">
        <f t="shared" ca="1" si="46"/>
        <v>0</v>
      </c>
      <c r="P975" s="47">
        <f t="shared" ca="1" si="47"/>
        <v>0</v>
      </c>
    </row>
    <row r="976" spans="12:16" s="23" customFormat="1" ht="13.8">
      <c r="L976" s="33">
        <v>973</v>
      </c>
      <c r="M976" s="23">
        <f ca="1"/>
        <v>51306.698495989687</v>
      </c>
      <c r="N976" s="25">
        <f t="shared" si="45"/>
        <v>31343.917000000001</v>
      </c>
      <c r="O976" s="25">
        <f t="shared" ca="1" si="46"/>
        <v>0</v>
      </c>
      <c r="P976" s="47">
        <f t="shared" ca="1" si="47"/>
        <v>0</v>
      </c>
    </row>
    <row r="977" spans="12:16" s="23" customFormat="1" ht="13.8">
      <c r="L977" s="23">
        <v>974</v>
      </c>
      <c r="M977" s="23">
        <f ca="1"/>
        <v>56956.066208992474</v>
      </c>
      <c r="N977" s="25">
        <f t="shared" si="45"/>
        <v>31343.917000000001</v>
      </c>
      <c r="O977" s="25">
        <f t="shared" ca="1" si="46"/>
        <v>0</v>
      </c>
      <c r="P977" s="47">
        <f t="shared" ca="1" si="47"/>
        <v>0</v>
      </c>
    </row>
    <row r="978" spans="12:16" s="23" customFormat="1" ht="13.8">
      <c r="L978" s="33">
        <v>975</v>
      </c>
      <c r="M978" s="23">
        <f ca="1"/>
        <v>14607.426481304952</v>
      </c>
      <c r="N978" s="25">
        <f t="shared" si="45"/>
        <v>31343.917000000001</v>
      </c>
      <c r="O978" s="25">
        <f t="shared" ca="1" si="46"/>
        <v>1</v>
      </c>
      <c r="P978" s="47">
        <f t="shared" ca="1" si="47"/>
        <v>0.53396295423750162</v>
      </c>
    </row>
    <row r="979" spans="12:16" s="23" customFormat="1" ht="13.8">
      <c r="L979" s="23">
        <v>976</v>
      </c>
      <c r="M979" s="23">
        <f ca="1"/>
        <v>10556.717372936348</v>
      </c>
      <c r="N979" s="25">
        <f t="shared" si="45"/>
        <v>31343.917000000001</v>
      </c>
      <c r="O979" s="25">
        <f t="shared" ca="1" si="46"/>
        <v>1</v>
      </c>
      <c r="P979" s="47">
        <f t="shared" ca="1" si="47"/>
        <v>0.663197252183371</v>
      </c>
    </row>
    <row r="980" spans="12:16" s="23" customFormat="1" ht="13.8">
      <c r="L980" s="33">
        <v>977</v>
      </c>
      <c r="M980" s="23">
        <f ca="1"/>
        <v>45951.301387722953</v>
      </c>
      <c r="N980" s="25">
        <f t="shared" si="45"/>
        <v>31343.917000000001</v>
      </c>
      <c r="O980" s="25">
        <f t="shared" ca="1" si="46"/>
        <v>0</v>
      </c>
      <c r="P980" s="47">
        <f t="shared" ca="1" si="47"/>
        <v>0</v>
      </c>
    </row>
    <row r="981" spans="12:16" s="23" customFormat="1" ht="13.8">
      <c r="L981" s="23">
        <v>978</v>
      </c>
      <c r="M981" s="23">
        <f ca="1"/>
        <v>21606.943008315066</v>
      </c>
      <c r="N981" s="25">
        <f t="shared" si="45"/>
        <v>31343.917000000001</v>
      </c>
      <c r="O981" s="25">
        <f t="shared" ca="1" si="46"/>
        <v>1</v>
      </c>
      <c r="P981" s="47">
        <f t="shared" ca="1" si="47"/>
        <v>0.3106495589458374</v>
      </c>
    </row>
    <row r="982" spans="12:16" s="23" customFormat="1" ht="13.8">
      <c r="L982" s="33">
        <v>979</v>
      </c>
      <c r="M982" s="23">
        <f ca="1"/>
        <v>27526.202458181902</v>
      </c>
      <c r="N982" s="25">
        <f t="shared" si="45"/>
        <v>31343.917000000001</v>
      </c>
      <c r="O982" s="25">
        <f t="shared" ca="1" si="46"/>
        <v>1</v>
      </c>
      <c r="P982" s="47">
        <f t="shared" ca="1" si="47"/>
        <v>0.12180081199864391</v>
      </c>
    </row>
    <row r="983" spans="12:16" s="23" customFormat="1" ht="13.8">
      <c r="L983" s="23">
        <v>980</v>
      </c>
      <c r="M983" s="23">
        <f ca="1"/>
        <v>47898.530974094268</v>
      </c>
      <c r="N983" s="25">
        <f t="shared" si="45"/>
        <v>31343.917000000001</v>
      </c>
      <c r="O983" s="25">
        <f t="shared" ca="1" si="46"/>
        <v>0</v>
      </c>
      <c r="P983" s="47">
        <f t="shared" ca="1" si="47"/>
        <v>0</v>
      </c>
    </row>
    <row r="984" spans="12:16" s="23" customFormat="1" ht="13.8">
      <c r="L984" s="33">
        <v>981</v>
      </c>
      <c r="M984" s="23">
        <f ca="1"/>
        <v>54415.730626482866</v>
      </c>
      <c r="N984" s="25">
        <f t="shared" si="45"/>
        <v>31343.917000000001</v>
      </c>
      <c r="O984" s="25">
        <f t="shared" ca="1" si="46"/>
        <v>0</v>
      </c>
      <c r="P984" s="47">
        <f t="shared" ca="1" si="47"/>
        <v>0</v>
      </c>
    </row>
    <row r="985" spans="12:16" s="23" customFormat="1" ht="13.8">
      <c r="L985" s="23">
        <v>982</v>
      </c>
      <c r="M985" s="23">
        <f ca="1"/>
        <v>40414.967289185341</v>
      </c>
      <c r="N985" s="25">
        <f t="shared" si="45"/>
        <v>31343.917000000001</v>
      </c>
      <c r="O985" s="25">
        <f t="shared" ca="1" si="46"/>
        <v>0</v>
      </c>
      <c r="P985" s="47">
        <f t="shared" ca="1" si="47"/>
        <v>0</v>
      </c>
    </row>
    <row r="986" spans="12:16" s="23" customFormat="1" ht="13.8">
      <c r="L986" s="33">
        <v>983</v>
      </c>
      <c r="M986" s="23">
        <f ca="1"/>
        <v>42329.34965011388</v>
      </c>
      <c r="N986" s="25">
        <f t="shared" si="45"/>
        <v>31343.917000000001</v>
      </c>
      <c r="O986" s="25">
        <f t="shared" ca="1" si="46"/>
        <v>0</v>
      </c>
      <c r="P986" s="47">
        <f t="shared" ca="1" si="47"/>
        <v>0</v>
      </c>
    </row>
    <row r="987" spans="12:16" s="23" customFormat="1" ht="13.8">
      <c r="L987" s="23">
        <v>984</v>
      </c>
      <c r="M987" s="23">
        <f ca="1"/>
        <v>35254.236769406045</v>
      </c>
      <c r="N987" s="25">
        <f t="shared" si="45"/>
        <v>31343.917000000001</v>
      </c>
      <c r="O987" s="25">
        <f t="shared" ca="1" si="46"/>
        <v>0</v>
      </c>
      <c r="P987" s="47">
        <f t="shared" ca="1" si="47"/>
        <v>0</v>
      </c>
    </row>
    <row r="988" spans="12:16" s="23" customFormat="1" ht="13.8">
      <c r="L988" s="33">
        <v>985</v>
      </c>
      <c r="M988" s="23">
        <f ca="1"/>
        <v>30850.498345485426</v>
      </c>
      <c r="N988" s="25">
        <f t="shared" si="45"/>
        <v>31343.917000000001</v>
      </c>
      <c r="O988" s="25">
        <f t="shared" ca="1" si="46"/>
        <v>1</v>
      </c>
      <c r="P988" s="47">
        <f t="shared" ca="1" si="47"/>
        <v>1.5742086559078588E-2</v>
      </c>
    </row>
    <row r="989" spans="12:16" s="23" customFormat="1" ht="13.8">
      <c r="L989" s="23">
        <v>986</v>
      </c>
      <c r="M989" s="23">
        <f ca="1"/>
        <v>68702.481740191564</v>
      </c>
      <c r="N989" s="25">
        <f t="shared" si="45"/>
        <v>31343.917000000001</v>
      </c>
      <c r="O989" s="25">
        <f t="shared" ca="1" si="46"/>
        <v>0</v>
      </c>
      <c r="P989" s="47">
        <f t="shared" ca="1" si="47"/>
        <v>0</v>
      </c>
    </row>
    <row r="990" spans="12:16" s="23" customFormat="1" ht="13.8">
      <c r="L990" s="33">
        <v>987</v>
      </c>
      <c r="M990" s="23">
        <f ca="1"/>
        <v>59490.428486628021</v>
      </c>
      <c r="N990" s="25">
        <f t="shared" si="45"/>
        <v>31343.917000000001</v>
      </c>
      <c r="O990" s="25">
        <f t="shared" ca="1" si="46"/>
        <v>0</v>
      </c>
      <c r="P990" s="47">
        <f t="shared" ca="1" si="47"/>
        <v>0</v>
      </c>
    </row>
    <row r="991" spans="12:16" s="23" customFormat="1" ht="13.8">
      <c r="L991" s="23">
        <v>988</v>
      </c>
      <c r="M991" s="23">
        <f ca="1"/>
        <v>34350.276996983106</v>
      </c>
      <c r="N991" s="25">
        <f t="shared" si="45"/>
        <v>31343.917000000001</v>
      </c>
      <c r="O991" s="25">
        <f t="shared" ca="1" si="46"/>
        <v>0</v>
      </c>
      <c r="P991" s="47">
        <f t="shared" ca="1" si="47"/>
        <v>0</v>
      </c>
    </row>
    <row r="992" spans="12:16" s="23" customFormat="1" ht="13.8">
      <c r="L992" s="33">
        <v>989</v>
      </c>
      <c r="M992" s="23">
        <f ca="1"/>
        <v>32054.878243265892</v>
      </c>
      <c r="N992" s="25">
        <f t="shared" si="45"/>
        <v>31343.917000000001</v>
      </c>
      <c r="O992" s="25">
        <f t="shared" ca="1" si="46"/>
        <v>0</v>
      </c>
      <c r="P992" s="47">
        <f t="shared" ca="1" si="47"/>
        <v>0</v>
      </c>
    </row>
    <row r="993" spans="12:16" s="23" customFormat="1" ht="13.8">
      <c r="L993" s="23">
        <v>990</v>
      </c>
      <c r="M993" s="23">
        <f ca="1"/>
        <v>14859.115368194714</v>
      </c>
      <c r="N993" s="25">
        <f t="shared" si="45"/>
        <v>31343.917000000001</v>
      </c>
      <c r="O993" s="25">
        <f t="shared" ca="1" si="46"/>
        <v>1</v>
      </c>
      <c r="P993" s="47">
        <f t="shared" ca="1" si="47"/>
        <v>0.5259330425040778</v>
      </c>
    </row>
    <row r="994" spans="12:16" s="23" customFormat="1" ht="13.8">
      <c r="L994" s="33">
        <v>991</v>
      </c>
      <c r="M994" s="23">
        <f ca="1"/>
        <v>79122.751571748959</v>
      </c>
      <c r="N994" s="25">
        <f t="shared" si="45"/>
        <v>31343.917000000001</v>
      </c>
      <c r="O994" s="25">
        <f t="shared" ca="1" si="46"/>
        <v>0</v>
      </c>
      <c r="P994" s="47">
        <f t="shared" ca="1" si="47"/>
        <v>0</v>
      </c>
    </row>
    <row r="995" spans="12:16" s="23" customFormat="1" ht="13.8">
      <c r="L995" s="23">
        <v>992</v>
      </c>
      <c r="M995" s="23">
        <f ca="1"/>
        <v>73578.209386671486</v>
      </c>
      <c r="N995" s="25">
        <f t="shared" si="45"/>
        <v>31343.917000000001</v>
      </c>
      <c r="O995" s="25">
        <f t="shared" ca="1" si="46"/>
        <v>0</v>
      </c>
      <c r="P995" s="47">
        <f t="shared" ca="1" si="47"/>
        <v>0</v>
      </c>
    </row>
    <row r="996" spans="12:16" s="23" customFormat="1" ht="13.8">
      <c r="L996" s="33">
        <v>993</v>
      </c>
      <c r="M996" s="23">
        <f ca="1"/>
        <v>41346.264979511092</v>
      </c>
      <c r="N996" s="25">
        <f t="shared" si="45"/>
        <v>31343.917000000001</v>
      </c>
      <c r="O996" s="25">
        <f t="shared" ca="1" si="46"/>
        <v>0</v>
      </c>
      <c r="P996" s="47">
        <f t="shared" ca="1" si="47"/>
        <v>0</v>
      </c>
    </row>
    <row r="997" spans="12:16" s="23" customFormat="1" ht="13.8">
      <c r="L997" s="23">
        <v>994</v>
      </c>
      <c r="M997" s="23">
        <f ca="1"/>
        <v>55605.156667582625</v>
      </c>
      <c r="N997" s="25">
        <f t="shared" si="45"/>
        <v>31343.917000000001</v>
      </c>
      <c r="O997" s="25">
        <f t="shared" ca="1" si="46"/>
        <v>0</v>
      </c>
      <c r="P997" s="47">
        <f t="shared" ca="1" si="47"/>
        <v>0</v>
      </c>
    </row>
    <row r="998" spans="12:16" s="23" customFormat="1" ht="13.8">
      <c r="L998" s="33">
        <v>995</v>
      </c>
      <c r="M998" s="23">
        <f ca="1"/>
        <v>55465.951774846537</v>
      </c>
      <c r="N998" s="25">
        <f t="shared" si="45"/>
        <v>31343.917000000001</v>
      </c>
      <c r="O998" s="25">
        <f t="shared" ca="1" si="46"/>
        <v>0</v>
      </c>
      <c r="P998" s="47">
        <f t="shared" ca="1" si="47"/>
        <v>0</v>
      </c>
    </row>
    <row r="999" spans="12:16" s="23" customFormat="1" ht="13.8">
      <c r="L999" s="23">
        <v>996</v>
      </c>
      <c r="M999" s="23">
        <f ca="1"/>
        <v>48594.325694146479</v>
      </c>
      <c r="N999" s="25">
        <f t="shared" si="45"/>
        <v>31343.917000000001</v>
      </c>
      <c r="O999" s="25">
        <f t="shared" ca="1" si="46"/>
        <v>0</v>
      </c>
      <c r="P999" s="47">
        <f t="shared" ca="1" si="47"/>
        <v>0</v>
      </c>
    </row>
    <row r="1000" spans="12:16" s="23" customFormat="1" ht="13.8">
      <c r="L1000" s="33">
        <v>997</v>
      </c>
      <c r="M1000" s="23">
        <f ca="1"/>
        <v>52990.903577599529</v>
      </c>
      <c r="N1000" s="25">
        <f t="shared" si="45"/>
        <v>31343.917000000001</v>
      </c>
      <c r="O1000" s="25">
        <f t="shared" ca="1" si="46"/>
        <v>0</v>
      </c>
      <c r="P1000" s="47">
        <f t="shared" ca="1" si="47"/>
        <v>0</v>
      </c>
    </row>
    <row r="1001" spans="12:16" s="23" customFormat="1" ht="13.8">
      <c r="L1001" s="23">
        <v>998</v>
      </c>
      <c r="M1001" s="23">
        <f ca="1"/>
        <v>44551.585790217068</v>
      </c>
      <c r="N1001" s="25">
        <f t="shared" si="45"/>
        <v>31343.917000000001</v>
      </c>
      <c r="O1001" s="25">
        <f t="shared" ca="1" si="46"/>
        <v>0</v>
      </c>
      <c r="P1001" s="47">
        <f t="shared" ca="1" si="47"/>
        <v>0</v>
      </c>
    </row>
    <row r="1002" spans="12:16" s="23" customFormat="1" ht="13.8">
      <c r="L1002" s="33">
        <v>999</v>
      </c>
      <c r="M1002" s="23">
        <f ca="1"/>
        <v>45406.205405647008</v>
      </c>
      <c r="N1002" s="25">
        <f t="shared" si="45"/>
        <v>31343.917000000001</v>
      </c>
      <c r="O1002" s="25">
        <f t="shared" ca="1" si="46"/>
        <v>0</v>
      </c>
      <c r="P1002" s="47">
        <f t="shared" ca="1" si="47"/>
        <v>0</v>
      </c>
    </row>
    <row r="1003" spans="12:16" s="23" customFormat="1" ht="13.8">
      <c r="L1003" s="23">
        <v>1000</v>
      </c>
      <c r="M1003" s="23">
        <f ca="1"/>
        <v>33463.340796015487</v>
      </c>
      <c r="N1003" s="25">
        <f t="shared" si="45"/>
        <v>31343.917000000001</v>
      </c>
      <c r="O1003" s="25">
        <f t="shared" ca="1" si="46"/>
        <v>0</v>
      </c>
      <c r="P1003" s="47">
        <f t="shared" ca="1" si="47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F9FD-437B-447D-B37A-358E78B239E1}">
  <sheetPr codeName="Sheet5"/>
  <dimension ref="B1:V1003"/>
  <sheetViews>
    <sheetView zoomScale="80" zoomScaleNormal="80" workbookViewId="0">
      <selection activeCell="T4" sqref="T4"/>
    </sheetView>
  </sheetViews>
  <sheetFormatPr defaultColWidth="8.88671875" defaultRowHeight="14.4"/>
  <cols>
    <col min="1" max="2" width="8.88671875" style="23"/>
    <col min="3" max="4" width="11.109375" style="23" bestFit="1" customWidth="1"/>
    <col min="5" max="5" width="20.5546875" style="23" customWidth="1"/>
    <col min="6" max="6" width="11.109375" style="23" customWidth="1"/>
    <col min="7" max="12" width="8.88671875" style="23"/>
    <col min="13" max="13" width="10.44140625" style="23" bestFit="1" customWidth="1"/>
    <col min="14" max="14" width="10.44140625" style="25" bestFit="1" customWidth="1"/>
    <col min="15" max="15" width="11.88671875" style="25" customWidth="1"/>
    <col min="16" max="16" width="10.6640625" style="23" bestFit="1" customWidth="1"/>
    <col min="17" max="20" width="8.88671875" style="23"/>
    <col min="21" max="22" width="8.88671875" style="1"/>
    <col min="23" max="16384" width="8.88671875" style="23"/>
  </cols>
  <sheetData>
    <row r="1" spans="2:20" s="23" customFormat="1" ht="13.8">
      <c r="E1" s="24">
        <v>1</v>
      </c>
      <c r="N1" s="25"/>
    </row>
    <row r="2" spans="2:20" s="23" customFormat="1" ht="13.8">
      <c r="C2" s="26" t="s">
        <v>17</v>
      </c>
      <c r="D2" s="26" t="s">
        <v>1</v>
      </c>
      <c r="E2" s="26" t="s">
        <v>0</v>
      </c>
      <c r="G2" s="26" t="s">
        <v>70</v>
      </c>
      <c r="L2" s="27" t="s">
        <v>66</v>
      </c>
      <c r="M2" s="27" t="s">
        <v>5</v>
      </c>
      <c r="N2" s="27" t="s">
        <v>19</v>
      </c>
      <c r="O2" s="28" t="s">
        <v>64</v>
      </c>
      <c r="P2" s="28" t="s">
        <v>67</v>
      </c>
    </row>
    <row r="3" spans="2:20" s="23" customFormat="1" ht="15.6">
      <c r="B3" s="23" t="s">
        <v>30</v>
      </c>
      <c r="C3" s="29">
        <v>383.75</v>
      </c>
      <c r="D3" s="29">
        <v>1081.78</v>
      </c>
      <c r="E3" s="29">
        <v>900.49</v>
      </c>
      <c r="F3" s="30"/>
      <c r="I3" s="31" t="s">
        <v>18</v>
      </c>
      <c r="J3" s="24">
        <f>AVERAGE(_xlfn.ANCHORARRAY(G4))</f>
        <v>0.35576879608247386</v>
      </c>
      <c r="K3" s="24"/>
      <c r="L3" s="23">
        <v>0</v>
      </c>
      <c r="M3" s="25">
        <f>D24</f>
        <v>132706.85999999999</v>
      </c>
      <c r="N3" s="25">
        <f>($C$24+$E$24)*1.1</f>
        <v>127713.65200000002</v>
      </c>
      <c r="O3" s="25"/>
      <c r="R3" s="31" t="s">
        <v>65</v>
      </c>
      <c r="S3" s="31" t="s">
        <v>2</v>
      </c>
      <c r="T3" s="31" t="s">
        <v>67</v>
      </c>
    </row>
    <row r="4" spans="2:20" s="23" customFormat="1" ht="13.8">
      <c r="B4" s="23" t="s">
        <v>29</v>
      </c>
      <c r="C4" s="29">
        <v>844.16</v>
      </c>
      <c r="D4" s="29">
        <v>1587.11</v>
      </c>
      <c r="E4" s="29">
        <v>1186.29</v>
      </c>
      <c r="F4" s="30"/>
      <c r="G4" s="32" cm="1">
        <f t="array" ref="G4:G24">_xlfn.LET(_xlpm.a,_xlfn.CHOOSECOLS(C3:E24,2),_xlfn.DROP(_xlpm.a,1)/_xlfn.DROP(_xlpm.a,-1)-1)</f>
        <v>0.4671282515853501</v>
      </c>
      <c r="I4" s="31" t="s">
        <v>4</v>
      </c>
      <c r="J4" s="32">
        <f>_xlfn.STDEV.S(_xlfn.ANCHORARRAY(G4))</f>
        <v>0.48536886213298125</v>
      </c>
      <c r="K4" s="32"/>
      <c r="L4" s="33">
        <v>1</v>
      </c>
      <c r="M4" s="23" cm="1">
        <f t="array" aca="1" ref="M4:M1003" ca="1">M3*(1+_xlfn.NORM.INV(_xlfn.RANDARRAY(1000),$J$3,$J$4))</f>
        <v>147670.22356346651</v>
      </c>
      <c r="N4" s="25">
        <f t="shared" ref="N4:N67" si="0">($C$24+$E$24)*1.1</f>
        <v>127713.65200000002</v>
      </c>
      <c r="O4" s="25">
        <f ca="1">IF(M4&lt;N4,1,0)</f>
        <v>0</v>
      </c>
      <c r="P4" s="25">
        <f ca="1">MAX((N4-M4)/N4,0)</f>
        <v>0</v>
      </c>
      <c r="R4" s="25">
        <f ca="1">SUM(O4:O1003)</f>
        <v>228</v>
      </c>
      <c r="S4" s="46">
        <f ca="1">R4/1000</f>
        <v>0.22800000000000001</v>
      </c>
      <c r="T4" s="46">
        <f ca="1">AVERAGEIF(P4:P1003,"&gt;"&amp;0,P4:P1003)</f>
        <v>0.29728321433174054</v>
      </c>
    </row>
    <row r="5" spans="2:20" s="23" customFormat="1" ht="13.8">
      <c r="B5" s="23" t="s">
        <v>28</v>
      </c>
      <c r="C5" s="29">
        <v>1351.23</v>
      </c>
      <c r="D5" s="29">
        <v>2268.4899999999998</v>
      </c>
      <c r="E5" s="29">
        <v>1194.46</v>
      </c>
      <c r="F5" s="30"/>
      <c r="G5" s="32">
        <v>0.42932121907114174</v>
      </c>
      <c r="L5" s="23">
        <v>2</v>
      </c>
      <c r="M5" s="23">
        <f ca="1"/>
        <v>190438.16266775268</v>
      </c>
      <c r="N5" s="25">
        <f t="shared" si="0"/>
        <v>127713.65200000002</v>
      </c>
      <c r="O5" s="25">
        <f t="shared" ref="O5:O68" ca="1" si="1">IF(M5&lt;N5,1,0)</f>
        <v>0</v>
      </c>
      <c r="P5" s="25">
        <f t="shared" ref="P5:P68" ca="1" si="2">MAX((N5-M5)/N5,0)</f>
        <v>0</v>
      </c>
    </row>
    <row r="6" spans="2:20" s="23" customFormat="1" ht="13.8">
      <c r="B6" s="23" t="s">
        <v>27</v>
      </c>
      <c r="C6" s="29">
        <v>4289.01</v>
      </c>
      <c r="D6" s="29">
        <v>5744.5</v>
      </c>
      <c r="E6" s="29">
        <v>947.23</v>
      </c>
      <c r="F6" s="30"/>
      <c r="G6" s="32">
        <v>1.5323012223990409</v>
      </c>
      <c r="L6" s="33">
        <v>3</v>
      </c>
      <c r="M6" s="23">
        <f ca="1"/>
        <v>132275.94957363803</v>
      </c>
      <c r="N6" s="25">
        <f t="shared" si="0"/>
        <v>127713.65200000002</v>
      </c>
      <c r="O6" s="25">
        <f t="shared" ca="1" si="1"/>
        <v>0</v>
      </c>
      <c r="P6" s="25">
        <f t="shared" ca="1" si="2"/>
        <v>0</v>
      </c>
    </row>
    <row r="7" spans="2:20" s="23" customFormat="1" ht="13.8">
      <c r="B7" s="23" t="s">
        <v>26</v>
      </c>
      <c r="C7" s="29">
        <v>6149.18</v>
      </c>
      <c r="D7" s="29">
        <v>9166.6200000000008</v>
      </c>
      <c r="E7" s="29">
        <v>1720.82</v>
      </c>
      <c r="F7" s="30"/>
      <c r="G7" s="32">
        <v>0.59572112455392134</v>
      </c>
      <c r="J7" s="34"/>
      <c r="K7" s="34"/>
      <c r="L7" s="23">
        <v>4</v>
      </c>
      <c r="M7" s="23">
        <f ca="1"/>
        <v>238812.77025697942</v>
      </c>
      <c r="N7" s="25">
        <f t="shared" si="0"/>
        <v>127713.65200000002</v>
      </c>
      <c r="O7" s="25">
        <f t="shared" ca="1" si="1"/>
        <v>0</v>
      </c>
      <c r="P7" s="25">
        <f t="shared" ca="1" si="2"/>
        <v>0</v>
      </c>
    </row>
    <row r="8" spans="2:20" s="23" customFormat="1" ht="13.8">
      <c r="B8" s="23" t="s">
        <v>25</v>
      </c>
      <c r="C8" s="29">
        <v>11861.08</v>
      </c>
      <c r="D8" s="29">
        <v>15993.82</v>
      </c>
      <c r="E8" s="29">
        <v>23783.07</v>
      </c>
      <c r="F8" s="30"/>
      <c r="G8" s="32">
        <v>0.74478924619979869</v>
      </c>
      <c r="L8" s="33">
        <v>5</v>
      </c>
      <c r="M8" s="23">
        <f ca="1"/>
        <v>153354.81236759372</v>
      </c>
      <c r="N8" s="25">
        <f t="shared" si="0"/>
        <v>127713.65200000002</v>
      </c>
      <c r="O8" s="25">
        <f t="shared" ca="1" si="1"/>
        <v>0</v>
      </c>
      <c r="P8" s="25">
        <f t="shared" ca="1" si="2"/>
        <v>0</v>
      </c>
    </row>
    <row r="9" spans="2:20" s="23" customFormat="1" ht="13.8">
      <c r="B9" s="23" t="s">
        <v>24</v>
      </c>
      <c r="C9" s="29">
        <v>16788.95</v>
      </c>
      <c r="D9" s="29">
        <v>26088.87</v>
      </c>
      <c r="E9" s="29">
        <v>9039.66</v>
      </c>
      <c r="F9" s="30"/>
      <c r="G9" s="32">
        <v>0.63118441998221808</v>
      </c>
      <c r="L9" s="23">
        <v>6</v>
      </c>
      <c r="M9" s="23">
        <f ca="1"/>
        <v>222465.97937363046</v>
      </c>
      <c r="N9" s="25">
        <f t="shared" si="0"/>
        <v>127713.65200000002</v>
      </c>
      <c r="O9" s="25">
        <f t="shared" ca="1" si="1"/>
        <v>0</v>
      </c>
      <c r="P9" s="25">
        <f t="shared" ca="1" si="2"/>
        <v>0</v>
      </c>
    </row>
    <row r="10" spans="2:20" s="23" customFormat="1" ht="13.8">
      <c r="B10" s="23" t="s">
        <v>23</v>
      </c>
      <c r="C10" s="29">
        <v>30601.56</v>
      </c>
      <c r="D10" s="29">
        <v>51837.05</v>
      </c>
      <c r="E10" s="29">
        <v>71405.2</v>
      </c>
      <c r="F10" s="30"/>
      <c r="G10" s="32">
        <v>0.98694117453151486</v>
      </c>
      <c r="L10" s="33">
        <v>7</v>
      </c>
      <c r="M10" s="23">
        <f ca="1"/>
        <v>90989.798955703678</v>
      </c>
      <c r="N10" s="25">
        <f t="shared" si="0"/>
        <v>127713.65200000002</v>
      </c>
      <c r="O10" s="25">
        <f t="shared" ca="1" si="1"/>
        <v>1</v>
      </c>
      <c r="P10" s="25">
        <f t="shared" ca="1" si="2"/>
        <v>0.28754837458016103</v>
      </c>
    </row>
    <row r="11" spans="2:20" s="23" customFormat="1" ht="13.8">
      <c r="B11" s="23" t="s">
        <v>22</v>
      </c>
      <c r="C11" s="29">
        <v>65230.86</v>
      </c>
      <c r="D11" s="29">
        <v>88182.97</v>
      </c>
      <c r="E11" s="29">
        <v>29220.240000000002</v>
      </c>
      <c r="F11" s="30"/>
      <c r="G11" s="32">
        <v>0.70115718390610571</v>
      </c>
      <c r="L11" s="23">
        <v>8</v>
      </c>
      <c r="M11" s="23">
        <f ca="1"/>
        <v>231652.51111923179</v>
      </c>
      <c r="N11" s="25">
        <f t="shared" si="0"/>
        <v>127713.65200000002</v>
      </c>
      <c r="O11" s="25">
        <f t="shared" ca="1" si="1"/>
        <v>0</v>
      </c>
      <c r="P11" s="25">
        <f t="shared" ca="1" si="2"/>
        <v>0</v>
      </c>
    </row>
    <row r="12" spans="2:20" s="23" customFormat="1" ht="13.8">
      <c r="B12" s="23" t="s">
        <v>21</v>
      </c>
      <c r="C12" s="29">
        <v>61762.28</v>
      </c>
      <c r="D12" s="29">
        <v>86454.87</v>
      </c>
      <c r="E12" s="29">
        <v>33577.449999999997</v>
      </c>
      <c r="F12" s="30"/>
      <c r="G12" s="32">
        <v>-1.9596754339301636E-2</v>
      </c>
      <c r="L12" s="33">
        <v>9</v>
      </c>
      <c r="M12" s="23">
        <f ca="1"/>
        <v>180440.23492011277</v>
      </c>
      <c r="N12" s="25">
        <f t="shared" si="0"/>
        <v>127713.65200000002</v>
      </c>
      <c r="O12" s="25">
        <f t="shared" ca="1" si="1"/>
        <v>0</v>
      </c>
      <c r="P12" s="25">
        <f t="shared" ca="1" si="2"/>
        <v>0</v>
      </c>
    </row>
    <row r="13" spans="2:20" s="23" customFormat="1" ht="13.8">
      <c r="B13" s="23" t="s">
        <v>20</v>
      </c>
      <c r="C13" s="29">
        <v>64979.040000000001</v>
      </c>
      <c r="D13" s="29">
        <v>93216.88</v>
      </c>
      <c r="E13" s="29">
        <v>13803.55</v>
      </c>
      <c r="F13" s="30"/>
      <c r="G13" s="32">
        <v>7.821433309656256E-2</v>
      </c>
      <c r="L13" s="23">
        <v>10</v>
      </c>
      <c r="M13" s="23">
        <f ca="1"/>
        <v>127378.63069286331</v>
      </c>
      <c r="N13" s="25">
        <f t="shared" si="0"/>
        <v>127713.65200000002</v>
      </c>
      <c r="O13" s="25">
        <f t="shared" ca="1" si="1"/>
        <v>1</v>
      </c>
      <c r="P13" s="25">
        <f t="shared" ca="1" si="2"/>
        <v>2.623222356343732E-3</v>
      </c>
    </row>
    <row r="14" spans="2:20" s="23" customFormat="1" ht="13.8">
      <c r="B14" s="23" t="s">
        <v>16</v>
      </c>
      <c r="C14" s="29">
        <v>74899.960000000006</v>
      </c>
      <c r="D14" s="29">
        <v>104729.62</v>
      </c>
      <c r="E14" s="29">
        <v>14613.08</v>
      </c>
      <c r="F14" s="30"/>
      <c r="G14" s="32">
        <v>0.12350488452306063</v>
      </c>
      <c r="L14" s="33">
        <v>11</v>
      </c>
      <c r="M14" s="23">
        <f ca="1"/>
        <v>163832.94623801776</v>
      </c>
      <c r="N14" s="25">
        <f t="shared" si="0"/>
        <v>127713.65200000002</v>
      </c>
      <c r="O14" s="25">
        <f t="shared" ca="1" si="1"/>
        <v>0</v>
      </c>
      <c r="P14" s="25">
        <f t="shared" ca="1" si="2"/>
        <v>0</v>
      </c>
    </row>
    <row r="15" spans="2:20" s="23" customFormat="1" ht="13.8">
      <c r="B15" s="23" t="s">
        <v>15</v>
      </c>
      <c r="C15" s="29">
        <v>18015.03</v>
      </c>
      <c r="D15" s="29">
        <v>31477.87</v>
      </c>
      <c r="E15" s="29">
        <v>9735.98</v>
      </c>
      <c r="F15" s="30"/>
      <c r="G15" s="32">
        <v>-0.69943679734539277</v>
      </c>
      <c r="L15" s="23">
        <v>12</v>
      </c>
      <c r="M15" s="23">
        <f ca="1"/>
        <v>104099.24210430295</v>
      </c>
      <c r="N15" s="25">
        <f t="shared" si="0"/>
        <v>127713.65200000002</v>
      </c>
      <c r="O15" s="25">
        <f t="shared" ca="1" si="1"/>
        <v>1</v>
      </c>
      <c r="P15" s="25">
        <f t="shared" ca="1" si="2"/>
        <v>0.18490121867078915</v>
      </c>
    </row>
    <row r="16" spans="2:20" s="23" customFormat="1" ht="13.8">
      <c r="B16" s="23" t="s">
        <v>14</v>
      </c>
      <c r="C16" s="29">
        <v>19853.21</v>
      </c>
      <c r="D16" s="29">
        <v>34551.43</v>
      </c>
      <c r="E16" s="29">
        <v>10445.64</v>
      </c>
      <c r="F16" s="30"/>
      <c r="G16" s="32">
        <v>9.7641930664304821E-2</v>
      </c>
      <c r="L16" s="33">
        <v>13</v>
      </c>
      <c r="M16" s="23">
        <f ca="1"/>
        <v>168426.04827489113</v>
      </c>
      <c r="N16" s="25">
        <f t="shared" si="0"/>
        <v>127713.65200000002</v>
      </c>
      <c r="O16" s="25">
        <f t="shared" ca="1" si="1"/>
        <v>0</v>
      </c>
      <c r="P16" s="25">
        <f t="shared" ca="1" si="2"/>
        <v>0</v>
      </c>
    </row>
    <row r="17" spans="2:16" s="23" customFormat="1" ht="13.8">
      <c r="B17" s="23" t="s">
        <v>13</v>
      </c>
      <c r="C17" s="29">
        <v>17150.97</v>
      </c>
      <c r="D17" s="29">
        <v>32739.39</v>
      </c>
      <c r="E17" s="29">
        <v>10951.72</v>
      </c>
      <c r="F17" s="30"/>
      <c r="G17" s="32">
        <v>-5.244471791760863E-2</v>
      </c>
      <c r="L17" s="23">
        <v>14</v>
      </c>
      <c r="M17" s="23">
        <f ca="1"/>
        <v>213429.57797429353</v>
      </c>
      <c r="N17" s="25">
        <f t="shared" si="0"/>
        <v>127713.65200000002</v>
      </c>
      <c r="O17" s="25">
        <f t="shared" ca="1" si="1"/>
        <v>0</v>
      </c>
      <c r="P17" s="25">
        <f t="shared" ca="1" si="2"/>
        <v>0</v>
      </c>
    </row>
    <row r="18" spans="2:16" s="23" customFormat="1" ht="13.8">
      <c r="B18" s="23" t="s">
        <v>12</v>
      </c>
      <c r="C18" s="29">
        <v>9951.36</v>
      </c>
      <c r="D18" s="29">
        <v>25095.07</v>
      </c>
      <c r="E18" s="29">
        <v>7804.46</v>
      </c>
      <c r="F18" s="30"/>
      <c r="G18" s="32">
        <v>-0.23348999477387944</v>
      </c>
      <c r="L18" s="33">
        <v>15</v>
      </c>
      <c r="M18" s="23">
        <f ca="1"/>
        <v>237464.34113000179</v>
      </c>
      <c r="N18" s="25">
        <f t="shared" si="0"/>
        <v>127713.65200000002</v>
      </c>
      <c r="O18" s="25">
        <f t="shared" ca="1" si="1"/>
        <v>0</v>
      </c>
      <c r="P18" s="25">
        <f t="shared" ca="1" si="2"/>
        <v>0</v>
      </c>
    </row>
    <row r="19" spans="2:16" s="23" customFormat="1" ht="13.8">
      <c r="B19" s="23" t="s">
        <v>11</v>
      </c>
      <c r="C19" s="29">
        <v>11652.65</v>
      </c>
      <c r="D19" s="29">
        <v>29862.59</v>
      </c>
      <c r="E19" s="29">
        <v>12097.09</v>
      </c>
      <c r="F19" s="30"/>
      <c r="G19" s="32">
        <v>0.1899783503293675</v>
      </c>
      <c r="L19" s="23">
        <v>16</v>
      </c>
      <c r="M19" s="23">
        <f ca="1"/>
        <v>87681.720903483947</v>
      </c>
      <c r="N19" s="25">
        <f t="shared" si="0"/>
        <v>127713.65200000002</v>
      </c>
      <c r="O19" s="25">
        <f t="shared" ca="1" si="1"/>
        <v>1</v>
      </c>
      <c r="P19" s="25">
        <f t="shared" ca="1" si="2"/>
        <v>0.3134506802492506</v>
      </c>
    </row>
    <row r="20" spans="2:16" s="23" customFormat="1" ht="13.8">
      <c r="B20" s="23" t="s">
        <v>10</v>
      </c>
      <c r="C20" s="29">
        <v>15293.31</v>
      </c>
      <c r="D20" s="29">
        <v>34203.32</v>
      </c>
      <c r="E20" s="29">
        <v>12661.1</v>
      </c>
      <c r="F20" s="30"/>
      <c r="G20" s="32">
        <v>0.145356782516185</v>
      </c>
      <c r="L20" s="33">
        <v>17</v>
      </c>
      <c r="M20" s="23">
        <f ca="1"/>
        <v>239233.25166563294</v>
      </c>
      <c r="N20" s="25">
        <f t="shared" si="0"/>
        <v>127713.65200000002</v>
      </c>
      <c r="O20" s="25">
        <f t="shared" ca="1" si="1"/>
        <v>0</v>
      </c>
      <c r="P20" s="25">
        <f t="shared" ca="1" si="2"/>
        <v>0</v>
      </c>
    </row>
    <row r="21" spans="2:16" s="23" customFormat="1" ht="13.8">
      <c r="B21" s="23" t="s">
        <v>9</v>
      </c>
      <c r="C21" s="29">
        <v>41663.769999999997</v>
      </c>
      <c r="D21" s="29">
        <v>67952.14</v>
      </c>
      <c r="E21" s="29">
        <v>23396.58</v>
      </c>
      <c r="F21" s="30"/>
      <c r="G21" s="32">
        <v>0.98671181627982318</v>
      </c>
      <c r="L21" s="23">
        <v>18</v>
      </c>
      <c r="M21" s="23">
        <f ca="1"/>
        <v>184655.09608010127</v>
      </c>
      <c r="N21" s="25">
        <f t="shared" si="0"/>
        <v>127713.65200000002</v>
      </c>
      <c r="O21" s="25">
        <f t="shared" ca="1" si="1"/>
        <v>0</v>
      </c>
      <c r="P21" s="25">
        <f t="shared" ca="1" si="2"/>
        <v>0</v>
      </c>
    </row>
    <row r="22" spans="2:16" s="23" customFormat="1" ht="13.8">
      <c r="B22" s="23" t="s">
        <v>8</v>
      </c>
      <c r="C22" s="29">
        <v>38319.620000000003</v>
      </c>
      <c r="D22" s="29">
        <v>76209.67</v>
      </c>
      <c r="E22" s="29">
        <v>0</v>
      </c>
      <c r="F22" s="30"/>
      <c r="G22" s="32">
        <v>0.12151979319562267</v>
      </c>
      <c r="L22" s="33">
        <v>19</v>
      </c>
      <c r="M22" s="23">
        <f ca="1"/>
        <v>148946.94502082243</v>
      </c>
      <c r="N22" s="25">
        <f t="shared" si="0"/>
        <v>127713.65200000002</v>
      </c>
      <c r="O22" s="25">
        <f t="shared" ca="1" si="1"/>
        <v>0</v>
      </c>
      <c r="P22" s="25">
        <f t="shared" ca="1" si="2"/>
        <v>0</v>
      </c>
    </row>
    <row r="23" spans="2:16" s="23" customFormat="1" ht="13.8">
      <c r="B23" s="23" t="s">
        <v>7</v>
      </c>
      <c r="C23" s="29">
        <v>53925</v>
      </c>
      <c r="D23" s="29">
        <v>94310.17</v>
      </c>
      <c r="E23" s="29">
        <v>35441.43</v>
      </c>
      <c r="F23" s="30"/>
      <c r="G23" s="32">
        <v>0.23750922947179798</v>
      </c>
      <c r="L23" s="23">
        <v>20</v>
      </c>
      <c r="M23" s="23">
        <f ca="1"/>
        <v>141102.70543776761</v>
      </c>
      <c r="N23" s="25">
        <f t="shared" si="0"/>
        <v>127713.65200000002</v>
      </c>
      <c r="O23" s="25">
        <f t="shared" ca="1" si="1"/>
        <v>0</v>
      </c>
      <c r="P23" s="25">
        <f t="shared" ca="1" si="2"/>
        <v>0</v>
      </c>
    </row>
    <row r="24" spans="2:16" s="23" customFormat="1" ht="13.8">
      <c r="B24" s="23" t="s">
        <v>6</v>
      </c>
      <c r="C24" s="29">
        <v>78860.41</v>
      </c>
      <c r="D24" s="29">
        <v>132706.85999999999</v>
      </c>
      <c r="E24" s="29">
        <v>37242.910000000003</v>
      </c>
      <c r="F24" s="30"/>
      <c r="G24" s="32">
        <v>0.40713201980231806</v>
      </c>
      <c r="L24" s="33">
        <v>21</v>
      </c>
      <c r="M24" s="23">
        <f ca="1"/>
        <v>221268.50639539727</v>
      </c>
      <c r="N24" s="25">
        <f t="shared" si="0"/>
        <v>127713.65200000002</v>
      </c>
      <c r="O24" s="25">
        <f t="shared" ca="1" si="1"/>
        <v>0</v>
      </c>
      <c r="P24" s="25">
        <f t="shared" ca="1" si="2"/>
        <v>0</v>
      </c>
    </row>
    <row r="25" spans="2:16" s="23" customFormat="1" ht="13.8">
      <c r="L25" s="23">
        <v>22</v>
      </c>
      <c r="M25" s="23">
        <f ca="1"/>
        <v>88003.515597349193</v>
      </c>
      <c r="N25" s="25">
        <f t="shared" si="0"/>
        <v>127713.65200000002</v>
      </c>
      <c r="O25" s="25">
        <f t="shared" ca="1" si="1"/>
        <v>1</v>
      </c>
      <c r="P25" s="25">
        <f t="shared" ca="1" si="2"/>
        <v>0.31093102249280929</v>
      </c>
    </row>
    <row r="26" spans="2:16" s="23" customFormat="1" ht="13.8">
      <c r="L26" s="33">
        <v>23</v>
      </c>
      <c r="M26" s="23">
        <f ca="1"/>
        <v>194253.29804768428</v>
      </c>
      <c r="N26" s="25">
        <f t="shared" si="0"/>
        <v>127713.65200000002</v>
      </c>
      <c r="O26" s="25">
        <f t="shared" ca="1" si="1"/>
        <v>0</v>
      </c>
      <c r="P26" s="25">
        <f t="shared" ca="1" si="2"/>
        <v>0</v>
      </c>
    </row>
    <row r="27" spans="2:16" s="23" customFormat="1" ht="13.8">
      <c r="L27" s="23">
        <v>24</v>
      </c>
      <c r="M27" s="23">
        <f ca="1"/>
        <v>242571.86699422018</v>
      </c>
      <c r="N27" s="25">
        <f t="shared" si="0"/>
        <v>127713.65200000002</v>
      </c>
      <c r="O27" s="25">
        <f t="shared" ca="1" si="1"/>
        <v>0</v>
      </c>
      <c r="P27" s="25">
        <f t="shared" ca="1" si="2"/>
        <v>0</v>
      </c>
    </row>
    <row r="28" spans="2:16" s="23" customFormat="1" ht="13.8">
      <c r="L28" s="33">
        <v>25</v>
      </c>
      <c r="M28" s="23">
        <f ca="1"/>
        <v>181739.6380414548</v>
      </c>
      <c r="N28" s="25">
        <f t="shared" si="0"/>
        <v>127713.65200000002</v>
      </c>
      <c r="O28" s="25">
        <f t="shared" ca="1" si="1"/>
        <v>0</v>
      </c>
      <c r="P28" s="25">
        <f t="shared" ca="1" si="2"/>
        <v>0</v>
      </c>
    </row>
    <row r="29" spans="2:16" s="23" customFormat="1" ht="13.8">
      <c r="L29" s="23">
        <v>26</v>
      </c>
      <c r="M29" s="23">
        <f ca="1"/>
        <v>16115.875565712682</v>
      </c>
      <c r="N29" s="25">
        <f t="shared" si="0"/>
        <v>127713.65200000002</v>
      </c>
      <c r="O29" s="25">
        <f t="shared" ca="1" si="1"/>
        <v>1</v>
      </c>
      <c r="P29" s="25">
        <f t="shared" ca="1" si="2"/>
        <v>0.87381242871582221</v>
      </c>
    </row>
    <row r="30" spans="2:16" s="23" customFormat="1" ht="13.8">
      <c r="L30" s="33">
        <v>27</v>
      </c>
      <c r="M30" s="23">
        <f ca="1"/>
        <v>218563.93115453454</v>
      </c>
      <c r="N30" s="25">
        <f t="shared" si="0"/>
        <v>127713.65200000002</v>
      </c>
      <c r="O30" s="25">
        <f t="shared" ca="1" si="1"/>
        <v>0</v>
      </c>
      <c r="P30" s="25">
        <f t="shared" ca="1" si="2"/>
        <v>0</v>
      </c>
    </row>
    <row r="31" spans="2:16" s="23" customFormat="1" ht="13.8">
      <c r="L31" s="23">
        <v>28</v>
      </c>
      <c r="M31" s="23">
        <f ca="1"/>
        <v>150568.49544099654</v>
      </c>
      <c r="N31" s="25">
        <f t="shared" si="0"/>
        <v>127713.65200000002</v>
      </c>
      <c r="O31" s="25">
        <f t="shared" ca="1" si="1"/>
        <v>0</v>
      </c>
      <c r="P31" s="25">
        <f t="shared" ca="1" si="2"/>
        <v>0</v>
      </c>
    </row>
    <row r="32" spans="2:16" s="23" customFormat="1" ht="13.8">
      <c r="L32" s="33">
        <v>29</v>
      </c>
      <c r="M32" s="23">
        <f ca="1"/>
        <v>215029.39001875586</v>
      </c>
      <c r="N32" s="25">
        <f t="shared" si="0"/>
        <v>127713.65200000002</v>
      </c>
      <c r="O32" s="25">
        <f t="shared" ca="1" si="1"/>
        <v>0</v>
      </c>
      <c r="P32" s="25">
        <f t="shared" ca="1" si="2"/>
        <v>0</v>
      </c>
    </row>
    <row r="33" spans="12:16" s="23" customFormat="1" ht="13.8">
      <c r="L33" s="23">
        <v>30</v>
      </c>
      <c r="M33" s="23">
        <f ca="1"/>
        <v>170830.84935454116</v>
      </c>
      <c r="N33" s="25">
        <f t="shared" si="0"/>
        <v>127713.65200000002</v>
      </c>
      <c r="O33" s="25">
        <f t="shared" ca="1" si="1"/>
        <v>0</v>
      </c>
      <c r="P33" s="25">
        <f t="shared" ca="1" si="2"/>
        <v>0</v>
      </c>
    </row>
    <row r="34" spans="12:16" s="23" customFormat="1" ht="13.8">
      <c r="L34" s="33">
        <v>31</v>
      </c>
      <c r="M34" s="23">
        <f ca="1"/>
        <v>218025.94007490002</v>
      </c>
      <c r="N34" s="25">
        <f t="shared" si="0"/>
        <v>127713.65200000002</v>
      </c>
      <c r="O34" s="25">
        <f t="shared" ca="1" si="1"/>
        <v>0</v>
      </c>
      <c r="P34" s="25">
        <f t="shared" ca="1" si="2"/>
        <v>0</v>
      </c>
    </row>
    <row r="35" spans="12:16" s="23" customFormat="1" ht="13.8">
      <c r="L35" s="23">
        <v>32</v>
      </c>
      <c r="M35" s="23">
        <f ca="1"/>
        <v>167118.6080791459</v>
      </c>
      <c r="N35" s="25">
        <f t="shared" si="0"/>
        <v>127713.65200000002</v>
      </c>
      <c r="O35" s="25">
        <f t="shared" ca="1" si="1"/>
        <v>0</v>
      </c>
      <c r="P35" s="25">
        <f t="shared" ca="1" si="2"/>
        <v>0</v>
      </c>
    </row>
    <row r="36" spans="12:16" s="23" customFormat="1" ht="13.8">
      <c r="L36" s="33">
        <v>33</v>
      </c>
      <c r="M36" s="23">
        <f ca="1"/>
        <v>174539.7921681928</v>
      </c>
      <c r="N36" s="25">
        <f t="shared" si="0"/>
        <v>127713.65200000002</v>
      </c>
      <c r="O36" s="25">
        <f t="shared" ca="1" si="1"/>
        <v>0</v>
      </c>
      <c r="P36" s="25">
        <f t="shared" ca="1" si="2"/>
        <v>0</v>
      </c>
    </row>
    <row r="37" spans="12:16" s="23" customFormat="1" ht="13.8">
      <c r="L37" s="23">
        <v>34</v>
      </c>
      <c r="M37" s="23">
        <f ca="1"/>
        <v>255715.6759368788</v>
      </c>
      <c r="N37" s="25">
        <f t="shared" si="0"/>
        <v>127713.65200000002</v>
      </c>
      <c r="O37" s="25">
        <f t="shared" ca="1" si="1"/>
        <v>0</v>
      </c>
      <c r="P37" s="25">
        <f t="shared" ca="1" si="2"/>
        <v>0</v>
      </c>
    </row>
    <row r="38" spans="12:16" s="23" customFormat="1" ht="13.8">
      <c r="L38" s="33">
        <v>35</v>
      </c>
      <c r="M38" s="23">
        <f ca="1"/>
        <v>109872.36298300185</v>
      </c>
      <c r="N38" s="25">
        <f t="shared" si="0"/>
        <v>127713.65200000002</v>
      </c>
      <c r="O38" s="25">
        <f t="shared" ca="1" si="1"/>
        <v>1</v>
      </c>
      <c r="P38" s="25">
        <f t="shared" ca="1" si="2"/>
        <v>0.13969758704416477</v>
      </c>
    </row>
    <row r="39" spans="12:16" s="23" customFormat="1" ht="13.8">
      <c r="L39" s="23">
        <v>36</v>
      </c>
      <c r="M39" s="23">
        <f ca="1"/>
        <v>148789.92837331208</v>
      </c>
      <c r="N39" s="25">
        <f t="shared" si="0"/>
        <v>127713.65200000002</v>
      </c>
      <c r="O39" s="25">
        <f t="shared" ca="1" si="1"/>
        <v>0</v>
      </c>
      <c r="P39" s="25">
        <f t="shared" ca="1" si="2"/>
        <v>0</v>
      </c>
    </row>
    <row r="40" spans="12:16" s="23" customFormat="1" ht="13.8">
      <c r="L40" s="33">
        <v>37</v>
      </c>
      <c r="M40" s="23">
        <f ca="1"/>
        <v>200515.71988107203</v>
      </c>
      <c r="N40" s="25">
        <f t="shared" si="0"/>
        <v>127713.65200000002</v>
      </c>
      <c r="O40" s="25">
        <f t="shared" ca="1" si="1"/>
        <v>0</v>
      </c>
      <c r="P40" s="25">
        <f t="shared" ca="1" si="2"/>
        <v>0</v>
      </c>
    </row>
    <row r="41" spans="12:16" s="23" customFormat="1" ht="13.8">
      <c r="L41" s="23">
        <v>38</v>
      </c>
      <c r="M41" s="23">
        <f ca="1"/>
        <v>146271.97356898611</v>
      </c>
      <c r="N41" s="25">
        <f t="shared" si="0"/>
        <v>127713.65200000002</v>
      </c>
      <c r="O41" s="25">
        <f t="shared" ca="1" si="1"/>
        <v>0</v>
      </c>
      <c r="P41" s="25">
        <f t="shared" ca="1" si="2"/>
        <v>0</v>
      </c>
    </row>
    <row r="42" spans="12:16" s="23" customFormat="1" ht="13.8">
      <c r="L42" s="33">
        <v>39</v>
      </c>
      <c r="M42" s="23">
        <f ca="1"/>
        <v>202609.98986169288</v>
      </c>
      <c r="N42" s="25">
        <f t="shared" si="0"/>
        <v>127713.65200000002</v>
      </c>
      <c r="O42" s="25">
        <f t="shared" ca="1" si="1"/>
        <v>0</v>
      </c>
      <c r="P42" s="25">
        <f t="shared" ca="1" si="2"/>
        <v>0</v>
      </c>
    </row>
    <row r="43" spans="12:16" s="23" customFormat="1" ht="13.8">
      <c r="L43" s="23">
        <v>40</v>
      </c>
      <c r="M43" s="23">
        <f ca="1"/>
        <v>173755.78595908749</v>
      </c>
      <c r="N43" s="25">
        <f t="shared" si="0"/>
        <v>127713.65200000002</v>
      </c>
      <c r="O43" s="25">
        <f t="shared" ca="1" si="1"/>
        <v>0</v>
      </c>
      <c r="P43" s="25">
        <f t="shared" ca="1" si="2"/>
        <v>0</v>
      </c>
    </row>
    <row r="44" spans="12:16" s="23" customFormat="1" ht="13.8">
      <c r="L44" s="33">
        <v>41</v>
      </c>
      <c r="M44" s="23">
        <f ca="1"/>
        <v>193250.46947062216</v>
      </c>
      <c r="N44" s="25">
        <f t="shared" si="0"/>
        <v>127713.65200000002</v>
      </c>
      <c r="O44" s="25">
        <f t="shared" ca="1" si="1"/>
        <v>0</v>
      </c>
      <c r="P44" s="25">
        <f t="shared" ca="1" si="2"/>
        <v>0</v>
      </c>
    </row>
    <row r="45" spans="12:16" s="23" customFormat="1" ht="13.8">
      <c r="L45" s="23">
        <v>42</v>
      </c>
      <c r="M45" s="23">
        <f ca="1"/>
        <v>247839.50030377338</v>
      </c>
      <c r="N45" s="25">
        <f t="shared" si="0"/>
        <v>127713.65200000002</v>
      </c>
      <c r="O45" s="25">
        <f t="shared" ca="1" si="1"/>
        <v>0</v>
      </c>
      <c r="P45" s="25">
        <f t="shared" ca="1" si="2"/>
        <v>0</v>
      </c>
    </row>
    <row r="46" spans="12:16" s="23" customFormat="1" ht="13.8">
      <c r="L46" s="33">
        <v>43</v>
      </c>
      <c r="M46" s="23">
        <f ca="1"/>
        <v>186256.95357080016</v>
      </c>
      <c r="N46" s="25">
        <f t="shared" si="0"/>
        <v>127713.65200000002</v>
      </c>
      <c r="O46" s="25">
        <f t="shared" ca="1" si="1"/>
        <v>0</v>
      </c>
      <c r="P46" s="25">
        <f t="shared" ca="1" si="2"/>
        <v>0</v>
      </c>
    </row>
    <row r="47" spans="12:16" s="23" customFormat="1" ht="13.8">
      <c r="L47" s="23">
        <v>44</v>
      </c>
      <c r="M47" s="23">
        <f ca="1"/>
        <v>93208.867009639478</v>
      </c>
      <c r="N47" s="25">
        <f t="shared" si="0"/>
        <v>127713.65200000002</v>
      </c>
      <c r="O47" s="25">
        <f t="shared" ca="1" si="1"/>
        <v>1</v>
      </c>
      <c r="P47" s="25">
        <f t="shared" ca="1" si="2"/>
        <v>0.27017303514553426</v>
      </c>
    </row>
    <row r="48" spans="12:16" s="23" customFormat="1" ht="13.8">
      <c r="L48" s="33">
        <v>45</v>
      </c>
      <c r="M48" s="23">
        <f ca="1"/>
        <v>175385.39207749782</v>
      </c>
      <c r="N48" s="25">
        <f t="shared" si="0"/>
        <v>127713.65200000002</v>
      </c>
      <c r="O48" s="25">
        <f t="shared" ca="1" si="1"/>
        <v>0</v>
      </c>
      <c r="P48" s="25">
        <f t="shared" ca="1" si="2"/>
        <v>0</v>
      </c>
    </row>
    <row r="49" spans="12:16" s="23" customFormat="1" ht="13.8">
      <c r="L49" s="23">
        <v>46</v>
      </c>
      <c r="M49" s="23">
        <f ca="1"/>
        <v>104520.74677442129</v>
      </c>
      <c r="N49" s="25">
        <f t="shared" si="0"/>
        <v>127713.65200000002</v>
      </c>
      <c r="O49" s="25">
        <f t="shared" ca="1" si="1"/>
        <v>1</v>
      </c>
      <c r="P49" s="25">
        <f t="shared" ca="1" si="2"/>
        <v>0.18160083015697273</v>
      </c>
    </row>
    <row r="50" spans="12:16" s="23" customFormat="1" ht="13.8">
      <c r="L50" s="33">
        <v>47</v>
      </c>
      <c r="M50" s="23">
        <f ca="1"/>
        <v>208463.56037657848</v>
      </c>
      <c r="N50" s="25">
        <f t="shared" si="0"/>
        <v>127713.65200000002</v>
      </c>
      <c r="O50" s="25">
        <f t="shared" ca="1" si="1"/>
        <v>0</v>
      </c>
      <c r="P50" s="25">
        <f t="shared" ca="1" si="2"/>
        <v>0</v>
      </c>
    </row>
    <row r="51" spans="12:16" s="23" customFormat="1" ht="13.8">
      <c r="L51" s="23">
        <v>48</v>
      </c>
      <c r="M51" s="23">
        <f ca="1"/>
        <v>202865.6386208804</v>
      </c>
      <c r="N51" s="25">
        <f t="shared" si="0"/>
        <v>127713.65200000002</v>
      </c>
      <c r="O51" s="25">
        <f t="shared" ca="1" si="1"/>
        <v>0</v>
      </c>
      <c r="P51" s="25">
        <f t="shared" ca="1" si="2"/>
        <v>0</v>
      </c>
    </row>
    <row r="52" spans="12:16" s="23" customFormat="1" ht="13.8">
      <c r="L52" s="33">
        <v>49</v>
      </c>
      <c r="M52" s="23">
        <f ca="1"/>
        <v>332779.66161498387</v>
      </c>
      <c r="N52" s="25">
        <f t="shared" si="0"/>
        <v>127713.65200000002</v>
      </c>
      <c r="O52" s="25">
        <f t="shared" ca="1" si="1"/>
        <v>0</v>
      </c>
      <c r="P52" s="25">
        <f t="shared" ca="1" si="2"/>
        <v>0</v>
      </c>
    </row>
    <row r="53" spans="12:16" s="23" customFormat="1" ht="13.8">
      <c r="L53" s="23">
        <v>50</v>
      </c>
      <c r="M53" s="23">
        <f ca="1"/>
        <v>53899.099510270251</v>
      </c>
      <c r="N53" s="25">
        <f t="shared" si="0"/>
        <v>127713.65200000002</v>
      </c>
      <c r="O53" s="25">
        <f t="shared" ca="1" si="1"/>
        <v>1</v>
      </c>
      <c r="P53" s="25">
        <f t="shared" ca="1" si="2"/>
        <v>0.5779691625271961</v>
      </c>
    </row>
    <row r="54" spans="12:16" s="23" customFormat="1" ht="13.8">
      <c r="L54" s="33">
        <v>51</v>
      </c>
      <c r="M54" s="23">
        <f ca="1"/>
        <v>176993.14819787495</v>
      </c>
      <c r="N54" s="25">
        <f t="shared" si="0"/>
        <v>127713.65200000002</v>
      </c>
      <c r="O54" s="25">
        <f t="shared" ca="1" si="1"/>
        <v>0</v>
      </c>
      <c r="P54" s="25">
        <f t="shared" ca="1" si="2"/>
        <v>0</v>
      </c>
    </row>
    <row r="55" spans="12:16" s="23" customFormat="1" ht="13.8">
      <c r="L55" s="23">
        <v>52</v>
      </c>
      <c r="M55" s="23">
        <f ca="1"/>
        <v>140332.26021731412</v>
      </c>
      <c r="N55" s="25">
        <f t="shared" si="0"/>
        <v>127713.65200000002</v>
      </c>
      <c r="O55" s="25">
        <f t="shared" ca="1" si="1"/>
        <v>0</v>
      </c>
      <c r="P55" s="25">
        <f t="shared" ca="1" si="2"/>
        <v>0</v>
      </c>
    </row>
    <row r="56" spans="12:16" s="23" customFormat="1" ht="13.8">
      <c r="L56" s="33">
        <v>53</v>
      </c>
      <c r="M56" s="23">
        <f ca="1"/>
        <v>220131.47904350376</v>
      </c>
      <c r="N56" s="25">
        <f t="shared" si="0"/>
        <v>127713.65200000002</v>
      </c>
      <c r="O56" s="25">
        <f t="shared" ca="1" si="1"/>
        <v>0</v>
      </c>
      <c r="P56" s="25">
        <f t="shared" ca="1" si="2"/>
        <v>0</v>
      </c>
    </row>
    <row r="57" spans="12:16" s="23" customFormat="1" ht="13.8">
      <c r="L57" s="23">
        <v>54</v>
      </c>
      <c r="M57" s="23">
        <f ca="1"/>
        <v>146420.06305670255</v>
      </c>
      <c r="N57" s="25">
        <f t="shared" si="0"/>
        <v>127713.65200000002</v>
      </c>
      <c r="O57" s="25">
        <f t="shared" ca="1" si="1"/>
        <v>0</v>
      </c>
      <c r="P57" s="25">
        <f t="shared" ca="1" si="2"/>
        <v>0</v>
      </c>
    </row>
    <row r="58" spans="12:16" s="23" customFormat="1" ht="13.8">
      <c r="L58" s="33">
        <v>55</v>
      </c>
      <c r="M58" s="23">
        <f ca="1"/>
        <v>196290.40709157349</v>
      </c>
      <c r="N58" s="25">
        <f t="shared" si="0"/>
        <v>127713.65200000002</v>
      </c>
      <c r="O58" s="25">
        <f t="shared" ca="1" si="1"/>
        <v>0</v>
      </c>
      <c r="P58" s="25">
        <f t="shared" ca="1" si="2"/>
        <v>0</v>
      </c>
    </row>
    <row r="59" spans="12:16" s="23" customFormat="1" ht="13.8">
      <c r="L59" s="23">
        <v>56</v>
      </c>
      <c r="M59" s="23">
        <f ca="1"/>
        <v>119962.24958803256</v>
      </c>
      <c r="N59" s="25">
        <f t="shared" si="0"/>
        <v>127713.65200000002</v>
      </c>
      <c r="O59" s="25">
        <f t="shared" ca="1" si="1"/>
        <v>1</v>
      </c>
      <c r="P59" s="25">
        <f t="shared" ca="1" si="2"/>
        <v>6.069360863604039E-2</v>
      </c>
    </row>
    <row r="60" spans="12:16" s="23" customFormat="1" ht="13.8">
      <c r="L60" s="33">
        <v>57</v>
      </c>
      <c r="M60" s="23">
        <f ca="1"/>
        <v>194750.30635786676</v>
      </c>
      <c r="N60" s="25">
        <f t="shared" si="0"/>
        <v>127713.65200000002</v>
      </c>
      <c r="O60" s="25">
        <f t="shared" ca="1" si="1"/>
        <v>0</v>
      </c>
      <c r="P60" s="25">
        <f t="shared" ca="1" si="2"/>
        <v>0</v>
      </c>
    </row>
    <row r="61" spans="12:16" s="23" customFormat="1" ht="13.8">
      <c r="L61" s="23">
        <v>58</v>
      </c>
      <c r="M61" s="23">
        <f ca="1"/>
        <v>164852.98504697098</v>
      </c>
      <c r="N61" s="25">
        <f t="shared" si="0"/>
        <v>127713.65200000002</v>
      </c>
      <c r="O61" s="25">
        <f t="shared" ca="1" si="1"/>
        <v>0</v>
      </c>
      <c r="P61" s="25">
        <f t="shared" ca="1" si="2"/>
        <v>0</v>
      </c>
    </row>
    <row r="62" spans="12:16" s="23" customFormat="1" ht="13.8">
      <c r="L62" s="33">
        <v>59</v>
      </c>
      <c r="M62" s="23">
        <f ca="1"/>
        <v>108578.4318963721</v>
      </c>
      <c r="N62" s="25">
        <f t="shared" si="0"/>
        <v>127713.65200000002</v>
      </c>
      <c r="O62" s="25">
        <f t="shared" ca="1" si="1"/>
        <v>1</v>
      </c>
      <c r="P62" s="25">
        <f t="shared" ca="1" si="2"/>
        <v>0.14982908877766576</v>
      </c>
    </row>
    <row r="63" spans="12:16" s="23" customFormat="1" ht="13.8">
      <c r="L63" s="23">
        <v>60</v>
      </c>
      <c r="M63" s="23">
        <f ca="1"/>
        <v>170593.29507936304</v>
      </c>
      <c r="N63" s="25">
        <f t="shared" si="0"/>
        <v>127713.65200000002</v>
      </c>
      <c r="O63" s="25">
        <f t="shared" ca="1" si="1"/>
        <v>0</v>
      </c>
      <c r="P63" s="25">
        <f t="shared" ca="1" si="2"/>
        <v>0</v>
      </c>
    </row>
    <row r="64" spans="12:16" s="23" customFormat="1" ht="13.8">
      <c r="L64" s="33">
        <v>61</v>
      </c>
      <c r="M64" s="23">
        <f ca="1"/>
        <v>188718.95691425313</v>
      </c>
      <c r="N64" s="25">
        <f t="shared" si="0"/>
        <v>127713.65200000002</v>
      </c>
      <c r="O64" s="25">
        <f t="shared" ca="1" si="1"/>
        <v>0</v>
      </c>
      <c r="P64" s="25">
        <f t="shared" ca="1" si="2"/>
        <v>0</v>
      </c>
    </row>
    <row r="65" spans="12:16" s="23" customFormat="1" ht="13.8">
      <c r="L65" s="23">
        <v>62</v>
      </c>
      <c r="M65" s="23">
        <f ca="1"/>
        <v>259659.73762432727</v>
      </c>
      <c r="N65" s="25">
        <f t="shared" si="0"/>
        <v>127713.65200000002</v>
      </c>
      <c r="O65" s="25">
        <f t="shared" ca="1" si="1"/>
        <v>0</v>
      </c>
      <c r="P65" s="25">
        <f t="shared" ca="1" si="2"/>
        <v>0</v>
      </c>
    </row>
    <row r="66" spans="12:16" s="23" customFormat="1" ht="13.8">
      <c r="L66" s="33">
        <v>63</v>
      </c>
      <c r="M66" s="23">
        <f ca="1"/>
        <v>245767.57640165699</v>
      </c>
      <c r="N66" s="25">
        <f t="shared" si="0"/>
        <v>127713.65200000002</v>
      </c>
      <c r="O66" s="25">
        <f t="shared" ca="1" si="1"/>
        <v>0</v>
      </c>
      <c r="P66" s="25">
        <f t="shared" ca="1" si="2"/>
        <v>0</v>
      </c>
    </row>
    <row r="67" spans="12:16" s="23" customFormat="1" ht="13.8">
      <c r="L67" s="23">
        <v>64</v>
      </c>
      <c r="M67" s="23">
        <f ca="1"/>
        <v>121326.47017361983</v>
      </c>
      <c r="N67" s="25">
        <f t="shared" si="0"/>
        <v>127713.65200000002</v>
      </c>
      <c r="O67" s="25">
        <f t="shared" ca="1" si="1"/>
        <v>1</v>
      </c>
      <c r="P67" s="25">
        <f t="shared" ca="1" si="2"/>
        <v>5.0011738967265476E-2</v>
      </c>
    </row>
    <row r="68" spans="12:16" s="23" customFormat="1" ht="13.8">
      <c r="L68" s="33">
        <v>65</v>
      </c>
      <c r="M68" s="23">
        <f ca="1"/>
        <v>160617.4768981942</v>
      </c>
      <c r="N68" s="25">
        <f t="shared" ref="N68:N131" si="3">($C$24+$E$24)*1.1</f>
        <v>127713.65200000002</v>
      </c>
      <c r="O68" s="25">
        <f t="shared" ca="1" si="1"/>
        <v>0</v>
      </c>
      <c r="P68" s="25">
        <f t="shared" ca="1" si="2"/>
        <v>0</v>
      </c>
    </row>
    <row r="69" spans="12:16" s="23" customFormat="1" ht="13.8">
      <c r="L69" s="23">
        <v>66</v>
      </c>
      <c r="M69" s="23">
        <f ca="1"/>
        <v>138705.43495211875</v>
      </c>
      <c r="N69" s="25">
        <f t="shared" si="3"/>
        <v>127713.65200000002</v>
      </c>
      <c r="O69" s="25">
        <f t="shared" ref="O69:O132" ca="1" si="4">IF(M69&lt;N69,1,0)</f>
        <v>0</v>
      </c>
      <c r="P69" s="25">
        <f t="shared" ref="P69:P132" ca="1" si="5">MAX((N69-M69)/N69,0)</f>
        <v>0</v>
      </c>
    </row>
    <row r="70" spans="12:16" s="23" customFormat="1" ht="13.8">
      <c r="L70" s="33">
        <v>67</v>
      </c>
      <c r="M70" s="23">
        <f ca="1"/>
        <v>176345.09365459238</v>
      </c>
      <c r="N70" s="25">
        <f t="shared" si="3"/>
        <v>127713.65200000002</v>
      </c>
      <c r="O70" s="25">
        <f t="shared" ca="1" si="4"/>
        <v>0</v>
      </c>
      <c r="P70" s="25">
        <f t="shared" ca="1" si="5"/>
        <v>0</v>
      </c>
    </row>
    <row r="71" spans="12:16" s="23" customFormat="1" ht="13.8">
      <c r="L71" s="23">
        <v>68</v>
      </c>
      <c r="M71" s="23">
        <f ca="1"/>
        <v>229276.88536290333</v>
      </c>
      <c r="N71" s="25">
        <f t="shared" si="3"/>
        <v>127713.65200000002</v>
      </c>
      <c r="O71" s="25">
        <f t="shared" ca="1" si="4"/>
        <v>0</v>
      </c>
      <c r="P71" s="25">
        <f t="shared" ca="1" si="5"/>
        <v>0</v>
      </c>
    </row>
    <row r="72" spans="12:16" s="23" customFormat="1" ht="13.8">
      <c r="L72" s="33">
        <v>69</v>
      </c>
      <c r="M72" s="23">
        <f ca="1"/>
        <v>203987.82039064585</v>
      </c>
      <c r="N72" s="25">
        <f t="shared" si="3"/>
        <v>127713.65200000002</v>
      </c>
      <c r="O72" s="25">
        <f t="shared" ca="1" si="4"/>
        <v>0</v>
      </c>
      <c r="P72" s="25">
        <f t="shared" ca="1" si="5"/>
        <v>0</v>
      </c>
    </row>
    <row r="73" spans="12:16" s="23" customFormat="1" ht="13.8">
      <c r="L73" s="23">
        <v>70</v>
      </c>
      <c r="M73" s="23">
        <f ca="1"/>
        <v>193916.49469106522</v>
      </c>
      <c r="N73" s="25">
        <f t="shared" si="3"/>
        <v>127713.65200000002</v>
      </c>
      <c r="O73" s="25">
        <f t="shared" ca="1" si="4"/>
        <v>0</v>
      </c>
      <c r="P73" s="25">
        <f t="shared" ca="1" si="5"/>
        <v>0</v>
      </c>
    </row>
    <row r="74" spans="12:16" s="23" customFormat="1" ht="13.8">
      <c r="L74" s="33">
        <v>71</v>
      </c>
      <c r="M74" s="23">
        <f ca="1"/>
        <v>271925.47301304236</v>
      </c>
      <c r="N74" s="25">
        <f t="shared" si="3"/>
        <v>127713.65200000002</v>
      </c>
      <c r="O74" s="25">
        <f t="shared" ca="1" si="4"/>
        <v>0</v>
      </c>
      <c r="P74" s="25">
        <f t="shared" ca="1" si="5"/>
        <v>0</v>
      </c>
    </row>
    <row r="75" spans="12:16" s="23" customFormat="1" ht="13.8">
      <c r="L75" s="23">
        <v>72</v>
      </c>
      <c r="M75" s="23">
        <f ca="1"/>
        <v>136674.89611324508</v>
      </c>
      <c r="N75" s="25">
        <f t="shared" si="3"/>
        <v>127713.65200000002</v>
      </c>
      <c r="O75" s="25">
        <f t="shared" ca="1" si="4"/>
        <v>0</v>
      </c>
      <c r="P75" s="25">
        <f t="shared" ca="1" si="5"/>
        <v>0</v>
      </c>
    </row>
    <row r="76" spans="12:16" s="23" customFormat="1" ht="13.8">
      <c r="L76" s="33">
        <v>73</v>
      </c>
      <c r="M76" s="23">
        <f ca="1"/>
        <v>111003.57881353158</v>
      </c>
      <c r="N76" s="25">
        <f t="shared" si="3"/>
        <v>127713.65200000002</v>
      </c>
      <c r="O76" s="25">
        <f t="shared" ca="1" si="4"/>
        <v>1</v>
      </c>
      <c r="P76" s="25">
        <f t="shared" ca="1" si="5"/>
        <v>0.1308401484476259</v>
      </c>
    </row>
    <row r="77" spans="12:16" s="23" customFormat="1" ht="13.8">
      <c r="L77" s="23">
        <v>74</v>
      </c>
      <c r="M77" s="23">
        <f ca="1"/>
        <v>182661.26736765768</v>
      </c>
      <c r="N77" s="25">
        <f t="shared" si="3"/>
        <v>127713.65200000002</v>
      </c>
      <c r="O77" s="25">
        <f t="shared" ca="1" si="4"/>
        <v>0</v>
      </c>
      <c r="P77" s="25">
        <f t="shared" ca="1" si="5"/>
        <v>0</v>
      </c>
    </row>
    <row r="78" spans="12:16" s="23" customFormat="1" ht="13.8">
      <c r="L78" s="33">
        <v>75</v>
      </c>
      <c r="M78" s="23">
        <f ca="1"/>
        <v>177477.97088120732</v>
      </c>
      <c r="N78" s="25">
        <f t="shared" si="3"/>
        <v>127713.65200000002</v>
      </c>
      <c r="O78" s="25">
        <f t="shared" ca="1" si="4"/>
        <v>0</v>
      </c>
      <c r="P78" s="25">
        <f t="shared" ca="1" si="5"/>
        <v>0</v>
      </c>
    </row>
    <row r="79" spans="12:16" s="23" customFormat="1" ht="13.8">
      <c r="L79" s="23">
        <v>76</v>
      </c>
      <c r="M79" s="23">
        <f ca="1"/>
        <v>200858.95132115774</v>
      </c>
      <c r="N79" s="25">
        <f t="shared" si="3"/>
        <v>127713.65200000002</v>
      </c>
      <c r="O79" s="25">
        <f t="shared" ca="1" si="4"/>
        <v>0</v>
      </c>
      <c r="P79" s="25">
        <f t="shared" ca="1" si="5"/>
        <v>0</v>
      </c>
    </row>
    <row r="80" spans="12:16" s="23" customFormat="1" ht="13.8">
      <c r="L80" s="33">
        <v>77</v>
      </c>
      <c r="M80" s="23">
        <f ca="1"/>
        <v>222072.52102306287</v>
      </c>
      <c r="N80" s="25">
        <f t="shared" si="3"/>
        <v>127713.65200000002</v>
      </c>
      <c r="O80" s="25">
        <f t="shared" ca="1" si="4"/>
        <v>0</v>
      </c>
      <c r="P80" s="25">
        <f t="shared" ca="1" si="5"/>
        <v>0</v>
      </c>
    </row>
    <row r="81" spans="12:16" s="23" customFormat="1" ht="13.8">
      <c r="L81" s="23">
        <v>78</v>
      </c>
      <c r="M81" s="23">
        <f ca="1"/>
        <v>235851.57085763352</v>
      </c>
      <c r="N81" s="25">
        <f t="shared" si="3"/>
        <v>127713.65200000002</v>
      </c>
      <c r="O81" s="25">
        <f t="shared" ca="1" si="4"/>
        <v>0</v>
      </c>
      <c r="P81" s="25">
        <f t="shared" ca="1" si="5"/>
        <v>0</v>
      </c>
    </row>
    <row r="82" spans="12:16" s="23" customFormat="1" ht="13.8">
      <c r="L82" s="33">
        <v>79</v>
      </c>
      <c r="M82" s="23">
        <f ca="1"/>
        <v>158036.12523406677</v>
      </c>
      <c r="N82" s="25">
        <f t="shared" si="3"/>
        <v>127713.65200000002</v>
      </c>
      <c r="O82" s="25">
        <f t="shared" ca="1" si="4"/>
        <v>0</v>
      </c>
      <c r="P82" s="25">
        <f t="shared" ca="1" si="5"/>
        <v>0</v>
      </c>
    </row>
    <row r="83" spans="12:16" s="23" customFormat="1" ht="13.8">
      <c r="L83" s="23">
        <v>80</v>
      </c>
      <c r="M83" s="23">
        <f ca="1"/>
        <v>224171.00499968979</v>
      </c>
      <c r="N83" s="25">
        <f t="shared" si="3"/>
        <v>127713.65200000002</v>
      </c>
      <c r="O83" s="25">
        <f t="shared" ca="1" si="4"/>
        <v>0</v>
      </c>
      <c r="P83" s="25">
        <f t="shared" ca="1" si="5"/>
        <v>0</v>
      </c>
    </row>
    <row r="84" spans="12:16" s="23" customFormat="1" ht="13.8">
      <c r="L84" s="33">
        <v>81</v>
      </c>
      <c r="M84" s="23">
        <f ca="1"/>
        <v>195178.95186757084</v>
      </c>
      <c r="N84" s="25">
        <f t="shared" si="3"/>
        <v>127713.65200000002</v>
      </c>
      <c r="O84" s="25">
        <f t="shared" ca="1" si="4"/>
        <v>0</v>
      </c>
      <c r="P84" s="25">
        <f t="shared" ca="1" si="5"/>
        <v>0</v>
      </c>
    </row>
    <row r="85" spans="12:16" s="23" customFormat="1" ht="13.8">
      <c r="L85" s="23">
        <v>82</v>
      </c>
      <c r="M85" s="23">
        <f ca="1"/>
        <v>123088.14883884143</v>
      </c>
      <c r="N85" s="25">
        <f t="shared" si="3"/>
        <v>127713.65200000002</v>
      </c>
      <c r="O85" s="25">
        <f t="shared" ca="1" si="4"/>
        <v>1</v>
      </c>
      <c r="P85" s="25">
        <f t="shared" ca="1" si="5"/>
        <v>3.6217765984474286E-2</v>
      </c>
    </row>
    <row r="86" spans="12:16" s="23" customFormat="1" ht="13.8">
      <c r="L86" s="33">
        <v>83</v>
      </c>
      <c r="M86" s="23">
        <f ca="1"/>
        <v>230809.14627306434</v>
      </c>
      <c r="N86" s="25">
        <f t="shared" si="3"/>
        <v>127713.65200000002</v>
      </c>
      <c r="O86" s="25">
        <f t="shared" ca="1" si="4"/>
        <v>0</v>
      </c>
      <c r="P86" s="25">
        <f t="shared" ca="1" si="5"/>
        <v>0</v>
      </c>
    </row>
    <row r="87" spans="12:16" s="23" customFormat="1" ht="13.8">
      <c r="L87" s="23">
        <v>84</v>
      </c>
      <c r="M87" s="23">
        <f ca="1"/>
        <v>88191.556082319483</v>
      </c>
      <c r="N87" s="25">
        <f t="shared" si="3"/>
        <v>127713.65200000002</v>
      </c>
      <c r="O87" s="25">
        <f t="shared" ca="1" si="4"/>
        <v>1</v>
      </c>
      <c r="P87" s="25">
        <f t="shared" ca="1" si="5"/>
        <v>0.30945866239640951</v>
      </c>
    </row>
    <row r="88" spans="12:16" s="23" customFormat="1" ht="13.8">
      <c r="L88" s="33">
        <v>85</v>
      </c>
      <c r="M88" s="23">
        <f ca="1"/>
        <v>42326.684041233544</v>
      </c>
      <c r="N88" s="25">
        <f t="shared" si="3"/>
        <v>127713.65200000002</v>
      </c>
      <c r="O88" s="25">
        <f t="shared" ca="1" si="4"/>
        <v>1</v>
      </c>
      <c r="P88" s="25">
        <f t="shared" ca="1" si="5"/>
        <v>0.66858136637394461</v>
      </c>
    </row>
    <row r="89" spans="12:16" s="23" customFormat="1" ht="13.8">
      <c r="L89" s="23">
        <v>86</v>
      </c>
      <c r="M89" s="23">
        <f ca="1"/>
        <v>224727.19008361062</v>
      </c>
      <c r="N89" s="25">
        <f t="shared" si="3"/>
        <v>127713.65200000002</v>
      </c>
      <c r="O89" s="25">
        <f t="shared" ca="1" si="4"/>
        <v>0</v>
      </c>
      <c r="P89" s="25">
        <f t="shared" ca="1" si="5"/>
        <v>0</v>
      </c>
    </row>
    <row r="90" spans="12:16" s="23" customFormat="1" ht="13.8">
      <c r="L90" s="33">
        <v>87</v>
      </c>
      <c r="M90" s="23">
        <f ca="1"/>
        <v>281330.75075354415</v>
      </c>
      <c r="N90" s="25">
        <f t="shared" si="3"/>
        <v>127713.65200000002</v>
      </c>
      <c r="O90" s="25">
        <f t="shared" ca="1" si="4"/>
        <v>0</v>
      </c>
      <c r="P90" s="25">
        <f t="shared" ca="1" si="5"/>
        <v>0</v>
      </c>
    </row>
    <row r="91" spans="12:16" s="23" customFormat="1" ht="13.8">
      <c r="L91" s="23">
        <v>88</v>
      </c>
      <c r="M91" s="23">
        <f ca="1"/>
        <v>181395.95022246332</v>
      </c>
      <c r="N91" s="25">
        <f t="shared" si="3"/>
        <v>127713.65200000002</v>
      </c>
      <c r="O91" s="25">
        <f t="shared" ca="1" si="4"/>
        <v>0</v>
      </c>
      <c r="P91" s="25">
        <f t="shared" ca="1" si="5"/>
        <v>0</v>
      </c>
    </row>
    <row r="92" spans="12:16" s="23" customFormat="1" ht="13.8">
      <c r="L92" s="33">
        <v>89</v>
      </c>
      <c r="M92" s="23">
        <f ca="1"/>
        <v>255604.30585261679</v>
      </c>
      <c r="N92" s="25">
        <f t="shared" si="3"/>
        <v>127713.65200000002</v>
      </c>
      <c r="O92" s="25">
        <f t="shared" ca="1" si="4"/>
        <v>0</v>
      </c>
      <c r="P92" s="25">
        <f t="shared" ca="1" si="5"/>
        <v>0</v>
      </c>
    </row>
    <row r="93" spans="12:16" s="23" customFormat="1" ht="13.8">
      <c r="L93" s="23">
        <v>90</v>
      </c>
      <c r="M93" s="23">
        <f ca="1"/>
        <v>240184.57325331768</v>
      </c>
      <c r="N93" s="25">
        <f t="shared" si="3"/>
        <v>127713.65200000002</v>
      </c>
      <c r="O93" s="25">
        <f t="shared" ca="1" si="4"/>
        <v>0</v>
      </c>
      <c r="P93" s="25">
        <f t="shared" ca="1" si="5"/>
        <v>0</v>
      </c>
    </row>
    <row r="94" spans="12:16" s="23" customFormat="1" ht="13.8">
      <c r="L94" s="33">
        <v>91</v>
      </c>
      <c r="M94" s="23">
        <f ca="1"/>
        <v>144900.54863910939</v>
      </c>
      <c r="N94" s="25">
        <f t="shared" si="3"/>
        <v>127713.65200000002</v>
      </c>
      <c r="O94" s="25">
        <f t="shared" ca="1" si="4"/>
        <v>0</v>
      </c>
      <c r="P94" s="25">
        <f t="shared" ca="1" si="5"/>
        <v>0</v>
      </c>
    </row>
    <row r="95" spans="12:16" s="23" customFormat="1" ht="13.8">
      <c r="L95" s="23">
        <v>92</v>
      </c>
      <c r="M95" s="23">
        <f ca="1"/>
        <v>147889.53785026533</v>
      </c>
      <c r="N95" s="25">
        <f t="shared" si="3"/>
        <v>127713.65200000002</v>
      </c>
      <c r="O95" s="25">
        <f t="shared" ca="1" si="4"/>
        <v>0</v>
      </c>
      <c r="P95" s="25">
        <f t="shared" ca="1" si="5"/>
        <v>0</v>
      </c>
    </row>
    <row r="96" spans="12:16" s="23" customFormat="1" ht="13.8">
      <c r="L96" s="33">
        <v>93</v>
      </c>
      <c r="M96" s="23">
        <f ca="1"/>
        <v>162917.27716090897</v>
      </c>
      <c r="N96" s="25">
        <f t="shared" si="3"/>
        <v>127713.65200000002</v>
      </c>
      <c r="O96" s="25">
        <f t="shared" ca="1" si="4"/>
        <v>0</v>
      </c>
      <c r="P96" s="25">
        <f t="shared" ca="1" si="5"/>
        <v>0</v>
      </c>
    </row>
    <row r="97" spans="12:16" s="23" customFormat="1" ht="13.8">
      <c r="L97" s="23">
        <v>94</v>
      </c>
      <c r="M97" s="23">
        <f ca="1"/>
        <v>141871.51441612057</v>
      </c>
      <c r="N97" s="25">
        <f t="shared" si="3"/>
        <v>127713.65200000002</v>
      </c>
      <c r="O97" s="25">
        <f t="shared" ca="1" si="4"/>
        <v>0</v>
      </c>
      <c r="P97" s="25">
        <f t="shared" ca="1" si="5"/>
        <v>0</v>
      </c>
    </row>
    <row r="98" spans="12:16" s="23" customFormat="1" ht="13.8">
      <c r="L98" s="33">
        <v>95</v>
      </c>
      <c r="M98" s="23">
        <f ca="1"/>
        <v>207732.67052839958</v>
      </c>
      <c r="N98" s="25">
        <f t="shared" si="3"/>
        <v>127713.65200000002</v>
      </c>
      <c r="O98" s="25">
        <f t="shared" ca="1" si="4"/>
        <v>0</v>
      </c>
      <c r="P98" s="25">
        <f t="shared" ca="1" si="5"/>
        <v>0</v>
      </c>
    </row>
    <row r="99" spans="12:16" s="23" customFormat="1" ht="13.8">
      <c r="L99" s="23">
        <v>96</v>
      </c>
      <c r="M99" s="23">
        <f ca="1"/>
        <v>81998.329784093192</v>
      </c>
      <c r="N99" s="25">
        <f t="shared" si="3"/>
        <v>127713.65200000002</v>
      </c>
      <c r="O99" s="25">
        <f t="shared" ca="1" si="4"/>
        <v>1</v>
      </c>
      <c r="P99" s="25">
        <f t="shared" ca="1" si="5"/>
        <v>0.35795172638166217</v>
      </c>
    </row>
    <row r="100" spans="12:16" s="23" customFormat="1" ht="13.8">
      <c r="L100" s="33">
        <v>97</v>
      </c>
      <c r="M100" s="23">
        <f ca="1"/>
        <v>133035.4994036938</v>
      </c>
      <c r="N100" s="25">
        <f t="shared" si="3"/>
        <v>127713.65200000002</v>
      </c>
      <c r="O100" s="25">
        <f t="shared" ca="1" si="4"/>
        <v>0</v>
      </c>
      <c r="P100" s="25">
        <f t="shared" ca="1" si="5"/>
        <v>0</v>
      </c>
    </row>
    <row r="101" spans="12:16" s="23" customFormat="1" ht="13.8">
      <c r="L101" s="23">
        <v>98</v>
      </c>
      <c r="M101" s="23">
        <f ca="1"/>
        <v>254756.07127491524</v>
      </c>
      <c r="N101" s="25">
        <f t="shared" si="3"/>
        <v>127713.65200000002</v>
      </c>
      <c r="O101" s="25">
        <f t="shared" ca="1" si="4"/>
        <v>0</v>
      </c>
      <c r="P101" s="25">
        <f t="shared" ca="1" si="5"/>
        <v>0</v>
      </c>
    </row>
    <row r="102" spans="12:16" s="23" customFormat="1" ht="13.8">
      <c r="L102" s="33">
        <v>99</v>
      </c>
      <c r="M102" s="23">
        <f ca="1"/>
        <v>206841.17391916373</v>
      </c>
      <c r="N102" s="25">
        <f t="shared" si="3"/>
        <v>127713.65200000002</v>
      </c>
      <c r="O102" s="25">
        <f t="shared" ca="1" si="4"/>
        <v>0</v>
      </c>
      <c r="P102" s="25">
        <f t="shared" ca="1" si="5"/>
        <v>0</v>
      </c>
    </row>
    <row r="103" spans="12:16" s="23" customFormat="1" ht="13.8">
      <c r="L103" s="23">
        <v>100</v>
      </c>
      <c r="M103" s="23">
        <f ca="1"/>
        <v>134802.41202017534</v>
      </c>
      <c r="N103" s="25">
        <f t="shared" si="3"/>
        <v>127713.65200000002</v>
      </c>
      <c r="O103" s="25">
        <f t="shared" ca="1" si="4"/>
        <v>0</v>
      </c>
      <c r="P103" s="25">
        <f t="shared" ca="1" si="5"/>
        <v>0</v>
      </c>
    </row>
    <row r="104" spans="12:16" s="23" customFormat="1" ht="13.8">
      <c r="L104" s="33">
        <v>101</v>
      </c>
      <c r="M104" s="23">
        <f ca="1"/>
        <v>114339.31052118016</v>
      </c>
      <c r="N104" s="25">
        <f t="shared" si="3"/>
        <v>127713.65200000002</v>
      </c>
      <c r="O104" s="25">
        <f t="shared" ca="1" si="4"/>
        <v>1</v>
      </c>
      <c r="P104" s="25">
        <f t="shared" ca="1" si="5"/>
        <v>0.10472131420077045</v>
      </c>
    </row>
    <row r="105" spans="12:16" s="23" customFormat="1" ht="13.8">
      <c r="L105" s="23">
        <v>102</v>
      </c>
      <c r="M105" s="23">
        <f ca="1"/>
        <v>44925.006115684315</v>
      </c>
      <c r="N105" s="25">
        <f t="shared" si="3"/>
        <v>127713.65200000002</v>
      </c>
      <c r="O105" s="25">
        <f t="shared" ca="1" si="4"/>
        <v>1</v>
      </c>
      <c r="P105" s="25">
        <f t="shared" ca="1" si="5"/>
        <v>0.64823646170822591</v>
      </c>
    </row>
    <row r="106" spans="12:16" s="23" customFormat="1" ht="13.8">
      <c r="L106" s="33">
        <v>103</v>
      </c>
      <c r="M106" s="23">
        <f ca="1"/>
        <v>181599.44717638553</v>
      </c>
      <c r="N106" s="25">
        <f t="shared" si="3"/>
        <v>127713.65200000002</v>
      </c>
      <c r="O106" s="25">
        <f t="shared" ca="1" si="4"/>
        <v>0</v>
      </c>
      <c r="P106" s="25">
        <f t="shared" ca="1" si="5"/>
        <v>0</v>
      </c>
    </row>
    <row r="107" spans="12:16" s="23" customFormat="1" ht="13.8">
      <c r="L107" s="23">
        <v>104</v>
      </c>
      <c r="M107" s="23">
        <f ca="1"/>
        <v>102760.89776403722</v>
      </c>
      <c r="N107" s="25">
        <f t="shared" si="3"/>
        <v>127713.65200000002</v>
      </c>
      <c r="O107" s="25">
        <f t="shared" ca="1" si="4"/>
        <v>1</v>
      </c>
      <c r="P107" s="25">
        <f t="shared" ca="1" si="5"/>
        <v>0.1953804769122317</v>
      </c>
    </row>
    <row r="108" spans="12:16" s="23" customFormat="1" ht="13.8">
      <c r="L108" s="33">
        <v>105</v>
      </c>
      <c r="M108" s="23">
        <f ca="1"/>
        <v>119436.85321104999</v>
      </c>
      <c r="N108" s="25">
        <f t="shared" si="3"/>
        <v>127713.65200000002</v>
      </c>
      <c r="O108" s="25">
        <f t="shared" ca="1" si="4"/>
        <v>1</v>
      </c>
      <c r="P108" s="25">
        <f t="shared" ca="1" si="5"/>
        <v>6.4807470926835767E-2</v>
      </c>
    </row>
    <row r="109" spans="12:16" s="23" customFormat="1" ht="13.8">
      <c r="L109" s="23">
        <v>106</v>
      </c>
      <c r="M109" s="23">
        <f ca="1"/>
        <v>72330.368269064507</v>
      </c>
      <c r="N109" s="25">
        <f t="shared" si="3"/>
        <v>127713.65200000002</v>
      </c>
      <c r="O109" s="25">
        <f t="shared" ca="1" si="4"/>
        <v>1</v>
      </c>
      <c r="P109" s="25">
        <f t="shared" ca="1" si="5"/>
        <v>0.43365202438135197</v>
      </c>
    </row>
    <row r="110" spans="12:16" s="23" customFormat="1" ht="13.8">
      <c r="L110" s="33">
        <v>107</v>
      </c>
      <c r="M110" s="23">
        <f ca="1"/>
        <v>151493.88114849638</v>
      </c>
      <c r="N110" s="25">
        <f t="shared" si="3"/>
        <v>127713.65200000002</v>
      </c>
      <c r="O110" s="25">
        <f t="shared" ca="1" si="4"/>
        <v>0</v>
      </c>
      <c r="P110" s="25">
        <f t="shared" ca="1" si="5"/>
        <v>0</v>
      </c>
    </row>
    <row r="111" spans="12:16" s="23" customFormat="1" ht="13.8">
      <c r="L111" s="23">
        <v>108</v>
      </c>
      <c r="M111" s="23">
        <f ca="1"/>
        <v>96974.95842264971</v>
      </c>
      <c r="N111" s="25">
        <f t="shared" si="3"/>
        <v>127713.65200000002</v>
      </c>
      <c r="O111" s="25">
        <f t="shared" ca="1" si="4"/>
        <v>1</v>
      </c>
      <c r="P111" s="25">
        <f t="shared" ca="1" si="5"/>
        <v>0.2406844773129681</v>
      </c>
    </row>
    <row r="112" spans="12:16" s="23" customFormat="1" ht="13.8">
      <c r="L112" s="33">
        <v>109</v>
      </c>
      <c r="M112" s="23">
        <f ca="1"/>
        <v>257954.09432787728</v>
      </c>
      <c r="N112" s="25">
        <f t="shared" si="3"/>
        <v>127713.65200000002</v>
      </c>
      <c r="O112" s="25">
        <f t="shared" ca="1" si="4"/>
        <v>0</v>
      </c>
      <c r="P112" s="25">
        <f t="shared" ca="1" si="5"/>
        <v>0</v>
      </c>
    </row>
    <row r="113" spans="12:16" s="23" customFormat="1" ht="13.8">
      <c r="L113" s="23">
        <v>110</v>
      </c>
      <c r="M113" s="23">
        <f ca="1"/>
        <v>167398.28107243858</v>
      </c>
      <c r="N113" s="25">
        <f t="shared" si="3"/>
        <v>127713.65200000002</v>
      </c>
      <c r="O113" s="25">
        <f t="shared" ca="1" si="4"/>
        <v>0</v>
      </c>
      <c r="P113" s="25">
        <f t="shared" ca="1" si="5"/>
        <v>0</v>
      </c>
    </row>
    <row r="114" spans="12:16" s="23" customFormat="1" ht="13.8">
      <c r="L114" s="33">
        <v>111</v>
      </c>
      <c r="M114" s="23">
        <f ca="1"/>
        <v>101303.79984604404</v>
      </c>
      <c r="N114" s="25">
        <f t="shared" si="3"/>
        <v>127713.65200000002</v>
      </c>
      <c r="O114" s="25">
        <f t="shared" ca="1" si="4"/>
        <v>1</v>
      </c>
      <c r="P114" s="25">
        <f t="shared" ca="1" si="5"/>
        <v>0.2067895776244498</v>
      </c>
    </row>
    <row r="115" spans="12:16" s="23" customFormat="1" ht="13.8">
      <c r="L115" s="23">
        <v>112</v>
      </c>
      <c r="M115" s="23">
        <f ca="1"/>
        <v>224071.35916191916</v>
      </c>
      <c r="N115" s="25">
        <f t="shared" si="3"/>
        <v>127713.65200000002</v>
      </c>
      <c r="O115" s="25">
        <f t="shared" ca="1" si="4"/>
        <v>0</v>
      </c>
      <c r="P115" s="25">
        <f t="shared" ca="1" si="5"/>
        <v>0</v>
      </c>
    </row>
    <row r="116" spans="12:16" s="23" customFormat="1" ht="13.8">
      <c r="L116" s="33">
        <v>113</v>
      </c>
      <c r="M116" s="23">
        <f ca="1"/>
        <v>127458.23025325684</v>
      </c>
      <c r="N116" s="25">
        <f t="shared" si="3"/>
        <v>127713.65200000002</v>
      </c>
      <c r="O116" s="25">
        <f t="shared" ca="1" si="4"/>
        <v>1</v>
      </c>
      <c r="P116" s="25">
        <f t="shared" ca="1" si="5"/>
        <v>1.9999564865874602E-3</v>
      </c>
    </row>
    <row r="117" spans="12:16" s="23" customFormat="1" ht="13.8">
      <c r="L117" s="23">
        <v>114</v>
      </c>
      <c r="M117" s="23">
        <f ca="1"/>
        <v>244723.34514148106</v>
      </c>
      <c r="N117" s="25">
        <f t="shared" si="3"/>
        <v>127713.65200000002</v>
      </c>
      <c r="O117" s="25">
        <f t="shared" ca="1" si="4"/>
        <v>0</v>
      </c>
      <c r="P117" s="25">
        <f t="shared" ca="1" si="5"/>
        <v>0</v>
      </c>
    </row>
    <row r="118" spans="12:16" s="23" customFormat="1" ht="13.8">
      <c r="L118" s="33">
        <v>115</v>
      </c>
      <c r="M118" s="23">
        <f ca="1"/>
        <v>153124.34288207791</v>
      </c>
      <c r="N118" s="25">
        <f t="shared" si="3"/>
        <v>127713.65200000002</v>
      </c>
      <c r="O118" s="25">
        <f t="shared" ca="1" si="4"/>
        <v>0</v>
      </c>
      <c r="P118" s="25">
        <f t="shared" ca="1" si="5"/>
        <v>0</v>
      </c>
    </row>
    <row r="119" spans="12:16" s="23" customFormat="1" ht="13.8">
      <c r="L119" s="23">
        <v>116</v>
      </c>
      <c r="M119" s="23">
        <f ca="1"/>
        <v>246463.13154802876</v>
      </c>
      <c r="N119" s="25">
        <f t="shared" si="3"/>
        <v>127713.65200000002</v>
      </c>
      <c r="O119" s="25">
        <f t="shared" ca="1" si="4"/>
        <v>0</v>
      </c>
      <c r="P119" s="25">
        <f t="shared" ca="1" si="5"/>
        <v>0</v>
      </c>
    </row>
    <row r="120" spans="12:16" s="23" customFormat="1" ht="13.8">
      <c r="L120" s="33">
        <v>117</v>
      </c>
      <c r="M120" s="23">
        <f ca="1"/>
        <v>235830.79362596455</v>
      </c>
      <c r="N120" s="25">
        <f t="shared" si="3"/>
        <v>127713.65200000002</v>
      </c>
      <c r="O120" s="25">
        <f t="shared" ca="1" si="4"/>
        <v>0</v>
      </c>
      <c r="P120" s="25">
        <f t="shared" ca="1" si="5"/>
        <v>0</v>
      </c>
    </row>
    <row r="121" spans="12:16" s="23" customFormat="1" ht="13.8">
      <c r="L121" s="23">
        <v>118</v>
      </c>
      <c r="M121" s="23">
        <f ca="1"/>
        <v>140891.88937621494</v>
      </c>
      <c r="N121" s="25">
        <f t="shared" si="3"/>
        <v>127713.65200000002</v>
      </c>
      <c r="O121" s="25">
        <f t="shared" ca="1" si="4"/>
        <v>0</v>
      </c>
      <c r="P121" s="25">
        <f t="shared" ca="1" si="5"/>
        <v>0</v>
      </c>
    </row>
    <row r="122" spans="12:16" s="23" customFormat="1" ht="13.8">
      <c r="L122" s="33">
        <v>119</v>
      </c>
      <c r="M122" s="23">
        <f ca="1"/>
        <v>200197.87482618674</v>
      </c>
      <c r="N122" s="25">
        <f t="shared" si="3"/>
        <v>127713.65200000002</v>
      </c>
      <c r="O122" s="25">
        <f t="shared" ca="1" si="4"/>
        <v>0</v>
      </c>
      <c r="P122" s="25">
        <f t="shared" ca="1" si="5"/>
        <v>0</v>
      </c>
    </row>
    <row r="123" spans="12:16" s="23" customFormat="1" ht="13.8">
      <c r="L123" s="23">
        <v>120</v>
      </c>
      <c r="M123" s="23">
        <f ca="1"/>
        <v>85777.756798830436</v>
      </c>
      <c r="N123" s="25">
        <f t="shared" si="3"/>
        <v>127713.65200000002</v>
      </c>
      <c r="O123" s="25">
        <f t="shared" ca="1" si="4"/>
        <v>1</v>
      </c>
      <c r="P123" s="25">
        <f t="shared" ca="1" si="5"/>
        <v>0.32835875056779029</v>
      </c>
    </row>
    <row r="124" spans="12:16" s="23" customFormat="1" ht="13.8">
      <c r="L124" s="33">
        <v>121</v>
      </c>
      <c r="M124" s="23">
        <f ca="1"/>
        <v>64945.428148781131</v>
      </c>
      <c r="N124" s="25">
        <f t="shared" si="3"/>
        <v>127713.65200000002</v>
      </c>
      <c r="O124" s="25">
        <f t="shared" ca="1" si="4"/>
        <v>1</v>
      </c>
      <c r="P124" s="25">
        <f t="shared" ca="1" si="5"/>
        <v>0.49147622723386591</v>
      </c>
    </row>
    <row r="125" spans="12:16" s="23" customFormat="1" ht="13.8">
      <c r="L125" s="23">
        <v>122</v>
      </c>
      <c r="M125" s="23">
        <f ca="1"/>
        <v>227316.29562394242</v>
      </c>
      <c r="N125" s="25">
        <f t="shared" si="3"/>
        <v>127713.65200000002</v>
      </c>
      <c r="O125" s="25">
        <f t="shared" ca="1" si="4"/>
        <v>0</v>
      </c>
      <c r="P125" s="25">
        <f t="shared" ca="1" si="5"/>
        <v>0</v>
      </c>
    </row>
    <row r="126" spans="12:16" s="23" customFormat="1" ht="13.8">
      <c r="L126" s="33">
        <v>123</v>
      </c>
      <c r="M126" s="23">
        <f ca="1"/>
        <v>105166.71645919667</v>
      </c>
      <c r="N126" s="25">
        <f t="shared" si="3"/>
        <v>127713.65200000002</v>
      </c>
      <c r="O126" s="25">
        <f t="shared" ca="1" si="4"/>
        <v>1</v>
      </c>
      <c r="P126" s="25">
        <f t="shared" ca="1" si="5"/>
        <v>0.17654287687899914</v>
      </c>
    </row>
    <row r="127" spans="12:16" s="23" customFormat="1" ht="13.8">
      <c r="L127" s="23">
        <v>124</v>
      </c>
      <c r="M127" s="23">
        <f ca="1"/>
        <v>204206.00647637804</v>
      </c>
      <c r="N127" s="25">
        <f t="shared" si="3"/>
        <v>127713.65200000002</v>
      </c>
      <c r="O127" s="25">
        <f t="shared" ca="1" si="4"/>
        <v>0</v>
      </c>
      <c r="P127" s="25">
        <f t="shared" ca="1" si="5"/>
        <v>0</v>
      </c>
    </row>
    <row r="128" spans="12:16" s="23" customFormat="1" ht="13.8">
      <c r="L128" s="33">
        <v>125</v>
      </c>
      <c r="M128" s="23">
        <f ca="1"/>
        <v>268619.4634784899</v>
      </c>
      <c r="N128" s="25">
        <f t="shared" si="3"/>
        <v>127713.65200000002</v>
      </c>
      <c r="O128" s="25">
        <f t="shared" ca="1" si="4"/>
        <v>0</v>
      </c>
      <c r="P128" s="25">
        <f t="shared" ca="1" si="5"/>
        <v>0</v>
      </c>
    </row>
    <row r="129" spans="12:16" s="23" customFormat="1" ht="13.8">
      <c r="L129" s="23">
        <v>126</v>
      </c>
      <c r="M129" s="23">
        <f ca="1"/>
        <v>204279.05736946946</v>
      </c>
      <c r="N129" s="25">
        <f t="shared" si="3"/>
        <v>127713.65200000002</v>
      </c>
      <c r="O129" s="25">
        <f t="shared" ca="1" si="4"/>
        <v>0</v>
      </c>
      <c r="P129" s="25">
        <f t="shared" ca="1" si="5"/>
        <v>0</v>
      </c>
    </row>
    <row r="130" spans="12:16" s="23" customFormat="1" ht="13.8">
      <c r="L130" s="33">
        <v>127</v>
      </c>
      <c r="M130" s="23">
        <f ca="1"/>
        <v>113334.45632736193</v>
      </c>
      <c r="N130" s="25">
        <f t="shared" si="3"/>
        <v>127713.65200000002</v>
      </c>
      <c r="O130" s="25">
        <f t="shared" ca="1" si="4"/>
        <v>1</v>
      </c>
      <c r="P130" s="25">
        <f t="shared" ca="1" si="5"/>
        <v>0.11258933909930073</v>
      </c>
    </row>
    <row r="131" spans="12:16" s="23" customFormat="1" ht="13.8">
      <c r="L131" s="23">
        <v>128</v>
      </c>
      <c r="M131" s="23">
        <f ca="1"/>
        <v>199246.33157577226</v>
      </c>
      <c r="N131" s="25">
        <f t="shared" si="3"/>
        <v>127713.65200000002</v>
      </c>
      <c r="O131" s="25">
        <f t="shared" ca="1" si="4"/>
        <v>0</v>
      </c>
      <c r="P131" s="25">
        <f t="shared" ca="1" si="5"/>
        <v>0</v>
      </c>
    </row>
    <row r="132" spans="12:16" s="23" customFormat="1" ht="13.8">
      <c r="L132" s="33">
        <v>129</v>
      </c>
      <c r="M132" s="23">
        <f ca="1"/>
        <v>164281.5726152237</v>
      </c>
      <c r="N132" s="25">
        <f t="shared" ref="N132:N195" si="6">($C$24+$E$24)*1.1</f>
        <v>127713.65200000002</v>
      </c>
      <c r="O132" s="25">
        <f t="shared" ca="1" si="4"/>
        <v>0</v>
      </c>
      <c r="P132" s="25">
        <f t="shared" ca="1" si="5"/>
        <v>0</v>
      </c>
    </row>
    <row r="133" spans="12:16" s="23" customFormat="1" ht="13.8">
      <c r="L133" s="23">
        <v>130</v>
      </c>
      <c r="M133" s="23">
        <f ca="1"/>
        <v>309770.88855424151</v>
      </c>
      <c r="N133" s="25">
        <f t="shared" si="6"/>
        <v>127713.65200000002</v>
      </c>
      <c r="O133" s="25">
        <f t="shared" ref="O133:O196" ca="1" si="7">IF(M133&lt;N133,1,0)</f>
        <v>0</v>
      </c>
      <c r="P133" s="25">
        <f t="shared" ref="P133:P196" ca="1" si="8">MAX((N133-M133)/N133,0)</f>
        <v>0</v>
      </c>
    </row>
    <row r="134" spans="12:16" s="23" customFormat="1" ht="13.8">
      <c r="L134" s="33">
        <v>131</v>
      </c>
      <c r="M134" s="23">
        <f ca="1"/>
        <v>216655.02127983019</v>
      </c>
      <c r="N134" s="25">
        <f t="shared" si="6"/>
        <v>127713.65200000002</v>
      </c>
      <c r="O134" s="25">
        <f t="shared" ca="1" si="7"/>
        <v>0</v>
      </c>
      <c r="P134" s="25">
        <f t="shared" ca="1" si="8"/>
        <v>0</v>
      </c>
    </row>
    <row r="135" spans="12:16" s="23" customFormat="1" ht="13.8">
      <c r="L135" s="23">
        <v>132</v>
      </c>
      <c r="M135" s="23">
        <f ca="1"/>
        <v>50145.262149597125</v>
      </c>
      <c r="N135" s="25">
        <f t="shared" si="6"/>
        <v>127713.65200000002</v>
      </c>
      <c r="O135" s="25">
        <f t="shared" ca="1" si="7"/>
        <v>1</v>
      </c>
      <c r="P135" s="25">
        <f t="shared" ca="1" si="8"/>
        <v>0.60736177092800447</v>
      </c>
    </row>
    <row r="136" spans="12:16" s="23" customFormat="1" ht="13.8">
      <c r="L136" s="33">
        <v>133</v>
      </c>
      <c r="M136" s="23">
        <f ca="1"/>
        <v>230535.41199444261</v>
      </c>
      <c r="N136" s="25">
        <f t="shared" si="6"/>
        <v>127713.65200000002</v>
      </c>
      <c r="O136" s="25">
        <f t="shared" ca="1" si="7"/>
        <v>0</v>
      </c>
      <c r="P136" s="25">
        <f t="shared" ca="1" si="8"/>
        <v>0</v>
      </c>
    </row>
    <row r="137" spans="12:16" s="23" customFormat="1" ht="13.8">
      <c r="L137" s="23">
        <v>134</v>
      </c>
      <c r="M137" s="23">
        <f ca="1"/>
        <v>143288.62786983108</v>
      </c>
      <c r="N137" s="25">
        <f t="shared" si="6"/>
        <v>127713.65200000002</v>
      </c>
      <c r="O137" s="25">
        <f t="shared" ca="1" si="7"/>
        <v>0</v>
      </c>
      <c r="P137" s="25">
        <f t="shared" ca="1" si="8"/>
        <v>0</v>
      </c>
    </row>
    <row r="138" spans="12:16" s="23" customFormat="1" ht="13.8">
      <c r="L138" s="33">
        <v>135</v>
      </c>
      <c r="M138" s="23">
        <f ca="1"/>
        <v>69773.121525163937</v>
      </c>
      <c r="N138" s="25">
        <f t="shared" si="6"/>
        <v>127713.65200000002</v>
      </c>
      <c r="O138" s="25">
        <f t="shared" ca="1" si="7"/>
        <v>1</v>
      </c>
      <c r="P138" s="25">
        <f t="shared" ca="1" si="8"/>
        <v>0.45367530853190285</v>
      </c>
    </row>
    <row r="139" spans="12:16" s="23" customFormat="1" ht="13.8">
      <c r="L139" s="23">
        <v>136</v>
      </c>
      <c r="M139" s="23">
        <f ca="1"/>
        <v>114254.19497497765</v>
      </c>
      <c r="N139" s="25">
        <f t="shared" si="6"/>
        <v>127713.65200000002</v>
      </c>
      <c r="O139" s="25">
        <f t="shared" ca="1" si="7"/>
        <v>1</v>
      </c>
      <c r="P139" s="25">
        <f t="shared" ca="1" si="8"/>
        <v>0.10538777033031958</v>
      </c>
    </row>
    <row r="140" spans="12:16" s="23" customFormat="1" ht="13.8">
      <c r="L140" s="33">
        <v>137</v>
      </c>
      <c r="M140" s="23">
        <f ca="1"/>
        <v>193043.85639254426</v>
      </c>
      <c r="N140" s="25">
        <f t="shared" si="6"/>
        <v>127713.65200000002</v>
      </c>
      <c r="O140" s="25">
        <f t="shared" ca="1" si="7"/>
        <v>0</v>
      </c>
      <c r="P140" s="25">
        <f t="shared" ca="1" si="8"/>
        <v>0</v>
      </c>
    </row>
    <row r="141" spans="12:16" s="23" customFormat="1" ht="13.8">
      <c r="L141" s="23">
        <v>138</v>
      </c>
      <c r="M141" s="23">
        <f ca="1"/>
        <v>253516.77685828053</v>
      </c>
      <c r="N141" s="25">
        <f t="shared" si="6"/>
        <v>127713.65200000002</v>
      </c>
      <c r="O141" s="25">
        <f t="shared" ca="1" si="7"/>
        <v>0</v>
      </c>
      <c r="P141" s="25">
        <f t="shared" ca="1" si="8"/>
        <v>0</v>
      </c>
    </row>
    <row r="142" spans="12:16" s="23" customFormat="1" ht="13.8">
      <c r="L142" s="33">
        <v>139</v>
      </c>
      <c r="M142" s="23">
        <f ca="1"/>
        <v>206988.97556829438</v>
      </c>
      <c r="N142" s="25">
        <f t="shared" si="6"/>
        <v>127713.65200000002</v>
      </c>
      <c r="O142" s="25">
        <f t="shared" ca="1" si="7"/>
        <v>0</v>
      </c>
      <c r="P142" s="25">
        <f t="shared" ca="1" si="8"/>
        <v>0</v>
      </c>
    </row>
    <row r="143" spans="12:16" s="23" customFormat="1" ht="13.8">
      <c r="L143" s="23">
        <v>140</v>
      </c>
      <c r="M143" s="23">
        <f ca="1"/>
        <v>142253.51913317331</v>
      </c>
      <c r="N143" s="25">
        <f t="shared" si="6"/>
        <v>127713.65200000002</v>
      </c>
      <c r="O143" s="25">
        <f t="shared" ca="1" si="7"/>
        <v>0</v>
      </c>
      <c r="P143" s="25">
        <f t="shared" ca="1" si="8"/>
        <v>0</v>
      </c>
    </row>
    <row r="144" spans="12:16" s="23" customFormat="1" ht="13.8">
      <c r="L144" s="33">
        <v>141</v>
      </c>
      <c r="M144" s="23">
        <f ca="1"/>
        <v>183844.67269524233</v>
      </c>
      <c r="N144" s="25">
        <f t="shared" si="6"/>
        <v>127713.65200000002</v>
      </c>
      <c r="O144" s="25">
        <f t="shared" ca="1" si="7"/>
        <v>0</v>
      </c>
      <c r="P144" s="25">
        <f t="shared" ca="1" si="8"/>
        <v>0</v>
      </c>
    </row>
    <row r="145" spans="12:16" s="23" customFormat="1" ht="13.8">
      <c r="L145" s="23">
        <v>142</v>
      </c>
      <c r="M145" s="23">
        <f ca="1"/>
        <v>164922.63719549056</v>
      </c>
      <c r="N145" s="25">
        <f t="shared" si="6"/>
        <v>127713.65200000002</v>
      </c>
      <c r="O145" s="25">
        <f t="shared" ca="1" si="7"/>
        <v>0</v>
      </c>
      <c r="P145" s="25">
        <f t="shared" ca="1" si="8"/>
        <v>0</v>
      </c>
    </row>
    <row r="146" spans="12:16" s="23" customFormat="1" ht="13.8">
      <c r="L146" s="33">
        <v>143</v>
      </c>
      <c r="M146" s="23">
        <f ca="1"/>
        <v>161646.81007191419</v>
      </c>
      <c r="N146" s="25">
        <f t="shared" si="6"/>
        <v>127713.65200000002</v>
      </c>
      <c r="O146" s="25">
        <f t="shared" ca="1" si="7"/>
        <v>0</v>
      </c>
      <c r="P146" s="25">
        <f t="shared" ca="1" si="8"/>
        <v>0</v>
      </c>
    </row>
    <row r="147" spans="12:16" s="23" customFormat="1" ht="13.8">
      <c r="L147" s="23">
        <v>144</v>
      </c>
      <c r="M147" s="23">
        <f ca="1"/>
        <v>228026.32353889619</v>
      </c>
      <c r="N147" s="25">
        <f t="shared" si="6"/>
        <v>127713.65200000002</v>
      </c>
      <c r="O147" s="25">
        <f t="shared" ca="1" si="7"/>
        <v>0</v>
      </c>
      <c r="P147" s="25">
        <f t="shared" ca="1" si="8"/>
        <v>0</v>
      </c>
    </row>
    <row r="148" spans="12:16" s="23" customFormat="1" ht="13.8">
      <c r="L148" s="33">
        <v>145</v>
      </c>
      <c r="M148" s="23">
        <f ca="1"/>
        <v>93158.279037248547</v>
      </c>
      <c r="N148" s="25">
        <f t="shared" si="6"/>
        <v>127713.65200000002</v>
      </c>
      <c r="O148" s="25">
        <f t="shared" ca="1" si="7"/>
        <v>1</v>
      </c>
      <c r="P148" s="25">
        <f t="shared" ca="1" si="8"/>
        <v>0.27056913980309222</v>
      </c>
    </row>
    <row r="149" spans="12:16" s="23" customFormat="1" ht="13.8">
      <c r="L149" s="23">
        <v>146</v>
      </c>
      <c r="M149" s="23">
        <f ca="1"/>
        <v>200885.16025905544</v>
      </c>
      <c r="N149" s="25">
        <f t="shared" si="6"/>
        <v>127713.65200000002</v>
      </c>
      <c r="O149" s="25">
        <f t="shared" ca="1" si="7"/>
        <v>0</v>
      </c>
      <c r="P149" s="25">
        <f t="shared" ca="1" si="8"/>
        <v>0</v>
      </c>
    </row>
    <row r="150" spans="12:16" s="23" customFormat="1" ht="13.8">
      <c r="L150" s="33">
        <v>147</v>
      </c>
      <c r="M150" s="23">
        <f ca="1"/>
        <v>180474.1904264754</v>
      </c>
      <c r="N150" s="25">
        <f t="shared" si="6"/>
        <v>127713.65200000002</v>
      </c>
      <c r="O150" s="25">
        <f t="shared" ca="1" si="7"/>
        <v>0</v>
      </c>
      <c r="P150" s="25">
        <f t="shared" ca="1" si="8"/>
        <v>0</v>
      </c>
    </row>
    <row r="151" spans="12:16" s="23" customFormat="1" ht="13.8">
      <c r="L151" s="23">
        <v>148</v>
      </c>
      <c r="M151" s="23">
        <f ca="1"/>
        <v>218240.4095670734</v>
      </c>
      <c r="N151" s="25">
        <f t="shared" si="6"/>
        <v>127713.65200000002</v>
      </c>
      <c r="O151" s="25">
        <f t="shared" ca="1" si="7"/>
        <v>0</v>
      </c>
      <c r="P151" s="25">
        <f t="shared" ca="1" si="8"/>
        <v>0</v>
      </c>
    </row>
    <row r="152" spans="12:16" s="23" customFormat="1" ht="13.8">
      <c r="L152" s="33">
        <v>149</v>
      </c>
      <c r="M152" s="23">
        <f ca="1"/>
        <v>183029.54073669112</v>
      </c>
      <c r="N152" s="25">
        <f t="shared" si="6"/>
        <v>127713.65200000002</v>
      </c>
      <c r="O152" s="25">
        <f t="shared" ca="1" si="7"/>
        <v>0</v>
      </c>
      <c r="P152" s="25">
        <f t="shared" ca="1" si="8"/>
        <v>0</v>
      </c>
    </row>
    <row r="153" spans="12:16" s="23" customFormat="1" ht="13.8">
      <c r="L153" s="23">
        <v>150</v>
      </c>
      <c r="M153" s="23">
        <f ca="1"/>
        <v>162711.90738013849</v>
      </c>
      <c r="N153" s="25">
        <f t="shared" si="6"/>
        <v>127713.65200000002</v>
      </c>
      <c r="O153" s="25">
        <f t="shared" ca="1" si="7"/>
        <v>0</v>
      </c>
      <c r="P153" s="25">
        <f t="shared" ca="1" si="8"/>
        <v>0</v>
      </c>
    </row>
    <row r="154" spans="12:16" s="23" customFormat="1" ht="13.8">
      <c r="L154" s="33">
        <v>151</v>
      </c>
      <c r="M154" s="23">
        <f ca="1"/>
        <v>200777.02675878486</v>
      </c>
      <c r="N154" s="25">
        <f t="shared" si="6"/>
        <v>127713.65200000002</v>
      </c>
      <c r="O154" s="25">
        <f t="shared" ca="1" si="7"/>
        <v>0</v>
      </c>
      <c r="P154" s="25">
        <f t="shared" ca="1" si="8"/>
        <v>0</v>
      </c>
    </row>
    <row r="155" spans="12:16" s="23" customFormat="1" ht="13.8">
      <c r="L155" s="23">
        <v>152</v>
      </c>
      <c r="M155" s="23">
        <f ca="1"/>
        <v>178746.6340585975</v>
      </c>
      <c r="N155" s="25">
        <f t="shared" si="6"/>
        <v>127713.65200000002</v>
      </c>
      <c r="O155" s="25">
        <f t="shared" ca="1" si="7"/>
        <v>0</v>
      </c>
      <c r="P155" s="25">
        <f t="shared" ca="1" si="8"/>
        <v>0</v>
      </c>
    </row>
    <row r="156" spans="12:16" s="23" customFormat="1" ht="13.8">
      <c r="L156" s="33">
        <v>153</v>
      </c>
      <c r="M156" s="23">
        <f ca="1"/>
        <v>203213.30603125971</v>
      </c>
      <c r="N156" s="25">
        <f t="shared" si="6"/>
        <v>127713.65200000002</v>
      </c>
      <c r="O156" s="25">
        <f t="shared" ca="1" si="7"/>
        <v>0</v>
      </c>
      <c r="P156" s="25">
        <f t="shared" ca="1" si="8"/>
        <v>0</v>
      </c>
    </row>
    <row r="157" spans="12:16" s="23" customFormat="1" ht="13.8">
      <c r="L157" s="23">
        <v>154</v>
      </c>
      <c r="M157" s="23">
        <f ca="1"/>
        <v>170806.55243660155</v>
      </c>
      <c r="N157" s="25">
        <f t="shared" si="6"/>
        <v>127713.65200000002</v>
      </c>
      <c r="O157" s="25">
        <f t="shared" ca="1" si="7"/>
        <v>0</v>
      </c>
      <c r="P157" s="25">
        <f t="shared" ca="1" si="8"/>
        <v>0</v>
      </c>
    </row>
    <row r="158" spans="12:16" s="23" customFormat="1" ht="13.8">
      <c r="L158" s="33">
        <v>155</v>
      </c>
      <c r="M158" s="23">
        <f ca="1"/>
        <v>62783.456946654536</v>
      </c>
      <c r="N158" s="25">
        <f t="shared" si="6"/>
        <v>127713.65200000002</v>
      </c>
      <c r="O158" s="25">
        <f t="shared" ca="1" si="7"/>
        <v>1</v>
      </c>
      <c r="P158" s="25">
        <f t="shared" ca="1" si="8"/>
        <v>0.50840449737781734</v>
      </c>
    </row>
    <row r="159" spans="12:16" s="23" customFormat="1" ht="13.8">
      <c r="L159" s="23">
        <v>156</v>
      </c>
      <c r="M159" s="23">
        <f ca="1"/>
        <v>147476.44493356423</v>
      </c>
      <c r="N159" s="25">
        <f t="shared" si="6"/>
        <v>127713.65200000002</v>
      </c>
      <c r="O159" s="25">
        <f t="shared" ca="1" si="7"/>
        <v>0</v>
      </c>
      <c r="P159" s="25">
        <f t="shared" ca="1" si="8"/>
        <v>0</v>
      </c>
    </row>
    <row r="160" spans="12:16" s="23" customFormat="1" ht="13.8">
      <c r="L160" s="33">
        <v>157</v>
      </c>
      <c r="M160" s="23">
        <f ca="1"/>
        <v>243963.25204822939</v>
      </c>
      <c r="N160" s="25">
        <f t="shared" si="6"/>
        <v>127713.65200000002</v>
      </c>
      <c r="O160" s="25">
        <f t="shared" ca="1" si="7"/>
        <v>0</v>
      </c>
      <c r="P160" s="25">
        <f t="shared" ca="1" si="8"/>
        <v>0</v>
      </c>
    </row>
    <row r="161" spans="12:16" s="23" customFormat="1" ht="13.8">
      <c r="L161" s="23">
        <v>158</v>
      </c>
      <c r="M161" s="23">
        <f ca="1"/>
        <v>169144.15904305081</v>
      </c>
      <c r="N161" s="25">
        <f t="shared" si="6"/>
        <v>127713.65200000002</v>
      </c>
      <c r="O161" s="25">
        <f t="shared" ca="1" si="7"/>
        <v>0</v>
      </c>
      <c r="P161" s="25">
        <f t="shared" ca="1" si="8"/>
        <v>0</v>
      </c>
    </row>
    <row r="162" spans="12:16" s="23" customFormat="1" ht="13.8">
      <c r="L162" s="33">
        <v>159</v>
      </c>
      <c r="M162" s="23">
        <f ca="1"/>
        <v>166483.13177896585</v>
      </c>
      <c r="N162" s="25">
        <f t="shared" si="6"/>
        <v>127713.65200000002</v>
      </c>
      <c r="O162" s="25">
        <f t="shared" ca="1" si="7"/>
        <v>0</v>
      </c>
      <c r="P162" s="25">
        <f t="shared" ca="1" si="8"/>
        <v>0</v>
      </c>
    </row>
    <row r="163" spans="12:16" s="23" customFormat="1" ht="13.8">
      <c r="L163" s="23">
        <v>160</v>
      </c>
      <c r="M163" s="23">
        <f ca="1"/>
        <v>73104.593481336939</v>
      </c>
      <c r="N163" s="25">
        <f t="shared" si="6"/>
        <v>127713.65200000002</v>
      </c>
      <c r="O163" s="25">
        <f t="shared" ca="1" si="7"/>
        <v>1</v>
      </c>
      <c r="P163" s="25">
        <f t="shared" ca="1" si="8"/>
        <v>0.42758982820930586</v>
      </c>
    </row>
    <row r="164" spans="12:16" s="23" customFormat="1" ht="13.8">
      <c r="L164" s="33">
        <v>161</v>
      </c>
      <c r="M164" s="23">
        <f ca="1"/>
        <v>220834.48280723774</v>
      </c>
      <c r="N164" s="25">
        <f t="shared" si="6"/>
        <v>127713.65200000002</v>
      </c>
      <c r="O164" s="25">
        <f t="shared" ca="1" si="7"/>
        <v>0</v>
      </c>
      <c r="P164" s="25">
        <f t="shared" ca="1" si="8"/>
        <v>0</v>
      </c>
    </row>
    <row r="165" spans="12:16" s="23" customFormat="1" ht="13.8">
      <c r="L165" s="23">
        <v>162</v>
      </c>
      <c r="M165" s="23">
        <f ca="1"/>
        <v>222879.0560412058</v>
      </c>
      <c r="N165" s="25">
        <f t="shared" si="6"/>
        <v>127713.65200000002</v>
      </c>
      <c r="O165" s="25">
        <f t="shared" ca="1" si="7"/>
        <v>0</v>
      </c>
      <c r="P165" s="25">
        <f t="shared" ca="1" si="8"/>
        <v>0</v>
      </c>
    </row>
    <row r="166" spans="12:16" s="23" customFormat="1" ht="13.8">
      <c r="L166" s="33">
        <v>163</v>
      </c>
      <c r="M166" s="23">
        <f ca="1"/>
        <v>209751.75789072874</v>
      </c>
      <c r="N166" s="25">
        <f t="shared" si="6"/>
        <v>127713.65200000002</v>
      </c>
      <c r="O166" s="25">
        <f t="shared" ca="1" si="7"/>
        <v>0</v>
      </c>
      <c r="P166" s="25">
        <f t="shared" ca="1" si="8"/>
        <v>0</v>
      </c>
    </row>
    <row r="167" spans="12:16" s="23" customFormat="1" ht="13.8">
      <c r="L167" s="23">
        <v>164</v>
      </c>
      <c r="M167" s="23">
        <f ca="1"/>
        <v>155174.59275407143</v>
      </c>
      <c r="N167" s="25">
        <f t="shared" si="6"/>
        <v>127713.65200000002</v>
      </c>
      <c r="O167" s="25">
        <f t="shared" ca="1" si="7"/>
        <v>0</v>
      </c>
      <c r="P167" s="25">
        <f t="shared" ca="1" si="8"/>
        <v>0</v>
      </c>
    </row>
    <row r="168" spans="12:16" s="23" customFormat="1" ht="13.8">
      <c r="L168" s="33">
        <v>165</v>
      </c>
      <c r="M168" s="23">
        <f ca="1"/>
        <v>71413.575261092614</v>
      </c>
      <c r="N168" s="25">
        <f t="shared" si="6"/>
        <v>127713.65200000002</v>
      </c>
      <c r="O168" s="25">
        <f t="shared" ca="1" si="7"/>
        <v>1</v>
      </c>
      <c r="P168" s="25">
        <f t="shared" ca="1" si="8"/>
        <v>0.44083052874337503</v>
      </c>
    </row>
    <row r="169" spans="12:16" s="23" customFormat="1" ht="13.8">
      <c r="L169" s="23">
        <v>166</v>
      </c>
      <c r="M169" s="23">
        <f ca="1"/>
        <v>77642.47618742421</v>
      </c>
      <c r="N169" s="25">
        <f t="shared" si="6"/>
        <v>127713.65200000002</v>
      </c>
      <c r="O169" s="25">
        <f t="shared" ca="1" si="7"/>
        <v>1</v>
      </c>
      <c r="P169" s="25">
        <f t="shared" ca="1" si="8"/>
        <v>0.39205813183210669</v>
      </c>
    </row>
    <row r="170" spans="12:16" s="23" customFormat="1" ht="13.8">
      <c r="L170" s="33">
        <v>167</v>
      </c>
      <c r="M170" s="23">
        <f ca="1"/>
        <v>125017.84815768103</v>
      </c>
      <c r="N170" s="25">
        <f t="shared" si="6"/>
        <v>127713.65200000002</v>
      </c>
      <c r="O170" s="25">
        <f t="shared" ca="1" si="7"/>
        <v>1</v>
      </c>
      <c r="P170" s="25">
        <f t="shared" ca="1" si="8"/>
        <v>2.1108188514717175E-2</v>
      </c>
    </row>
    <row r="171" spans="12:16" s="23" customFormat="1" ht="13.8">
      <c r="L171" s="23">
        <v>168</v>
      </c>
      <c r="M171" s="23">
        <f ca="1"/>
        <v>165409.76242108512</v>
      </c>
      <c r="N171" s="25">
        <f t="shared" si="6"/>
        <v>127713.65200000002</v>
      </c>
      <c r="O171" s="25">
        <f t="shared" ca="1" si="7"/>
        <v>0</v>
      </c>
      <c r="P171" s="25">
        <f t="shared" ca="1" si="8"/>
        <v>0</v>
      </c>
    </row>
    <row r="172" spans="12:16" s="23" customFormat="1" ht="13.8">
      <c r="L172" s="33">
        <v>169</v>
      </c>
      <c r="M172" s="23">
        <f ca="1"/>
        <v>205148.39818489976</v>
      </c>
      <c r="N172" s="25">
        <f t="shared" si="6"/>
        <v>127713.65200000002</v>
      </c>
      <c r="O172" s="25">
        <f t="shared" ca="1" si="7"/>
        <v>0</v>
      </c>
      <c r="P172" s="25">
        <f t="shared" ca="1" si="8"/>
        <v>0</v>
      </c>
    </row>
    <row r="173" spans="12:16" s="23" customFormat="1" ht="13.8">
      <c r="L173" s="23">
        <v>170</v>
      </c>
      <c r="M173" s="23">
        <f ca="1"/>
        <v>98023.203765892758</v>
      </c>
      <c r="N173" s="25">
        <f t="shared" si="6"/>
        <v>127713.65200000002</v>
      </c>
      <c r="O173" s="25">
        <f t="shared" ca="1" si="7"/>
        <v>1</v>
      </c>
      <c r="P173" s="25">
        <f t="shared" ca="1" si="8"/>
        <v>0.23247669899931492</v>
      </c>
    </row>
    <row r="174" spans="12:16" s="23" customFormat="1" ht="13.8">
      <c r="L174" s="33">
        <v>171</v>
      </c>
      <c r="M174" s="23">
        <f ca="1"/>
        <v>203709.5312095171</v>
      </c>
      <c r="N174" s="25">
        <f t="shared" si="6"/>
        <v>127713.65200000002</v>
      </c>
      <c r="O174" s="25">
        <f t="shared" ca="1" si="7"/>
        <v>0</v>
      </c>
      <c r="P174" s="25">
        <f t="shared" ca="1" si="8"/>
        <v>0</v>
      </c>
    </row>
    <row r="175" spans="12:16" s="23" customFormat="1" ht="13.8">
      <c r="L175" s="23">
        <v>172</v>
      </c>
      <c r="M175" s="23">
        <f ca="1"/>
        <v>103093.18709019812</v>
      </c>
      <c r="N175" s="25">
        <f t="shared" si="6"/>
        <v>127713.65200000002</v>
      </c>
      <c r="O175" s="25">
        <f t="shared" ca="1" si="7"/>
        <v>1</v>
      </c>
      <c r="P175" s="25">
        <f t="shared" ca="1" si="8"/>
        <v>0.19277864601195413</v>
      </c>
    </row>
    <row r="176" spans="12:16" s="23" customFormat="1" ht="13.8">
      <c r="L176" s="33">
        <v>173</v>
      </c>
      <c r="M176" s="23">
        <f ca="1"/>
        <v>241837.99275291731</v>
      </c>
      <c r="N176" s="25">
        <f t="shared" si="6"/>
        <v>127713.65200000002</v>
      </c>
      <c r="O176" s="25">
        <f t="shared" ca="1" si="7"/>
        <v>0</v>
      </c>
      <c r="P176" s="25">
        <f t="shared" ca="1" si="8"/>
        <v>0</v>
      </c>
    </row>
    <row r="177" spans="12:16" s="23" customFormat="1" ht="13.8">
      <c r="L177" s="23">
        <v>174</v>
      </c>
      <c r="M177" s="23">
        <f ca="1"/>
        <v>174218.35891736261</v>
      </c>
      <c r="N177" s="25">
        <f t="shared" si="6"/>
        <v>127713.65200000002</v>
      </c>
      <c r="O177" s="25">
        <f t="shared" ca="1" si="7"/>
        <v>0</v>
      </c>
      <c r="P177" s="25">
        <f t="shared" ca="1" si="8"/>
        <v>0</v>
      </c>
    </row>
    <row r="178" spans="12:16" s="23" customFormat="1" ht="13.8">
      <c r="L178" s="33">
        <v>175</v>
      </c>
      <c r="M178" s="23">
        <f ca="1"/>
        <v>172991.77506327501</v>
      </c>
      <c r="N178" s="25">
        <f t="shared" si="6"/>
        <v>127713.65200000002</v>
      </c>
      <c r="O178" s="25">
        <f t="shared" ca="1" si="7"/>
        <v>0</v>
      </c>
      <c r="P178" s="25">
        <f t="shared" ca="1" si="8"/>
        <v>0</v>
      </c>
    </row>
    <row r="179" spans="12:16" s="23" customFormat="1" ht="13.8">
      <c r="L179" s="23">
        <v>176</v>
      </c>
      <c r="M179" s="23">
        <f ca="1"/>
        <v>150822.53980424334</v>
      </c>
      <c r="N179" s="25">
        <f t="shared" si="6"/>
        <v>127713.65200000002</v>
      </c>
      <c r="O179" s="25">
        <f t="shared" ca="1" si="7"/>
        <v>0</v>
      </c>
      <c r="P179" s="25">
        <f t="shared" ca="1" si="8"/>
        <v>0</v>
      </c>
    </row>
    <row r="180" spans="12:16" s="23" customFormat="1" ht="13.8">
      <c r="L180" s="33">
        <v>177</v>
      </c>
      <c r="M180" s="23">
        <f ca="1"/>
        <v>151780.15761472061</v>
      </c>
      <c r="N180" s="25">
        <f t="shared" si="6"/>
        <v>127713.65200000002</v>
      </c>
      <c r="O180" s="25">
        <f t="shared" ca="1" si="7"/>
        <v>0</v>
      </c>
      <c r="P180" s="25">
        <f t="shared" ca="1" si="8"/>
        <v>0</v>
      </c>
    </row>
    <row r="181" spans="12:16" s="23" customFormat="1" ht="13.8">
      <c r="L181" s="23">
        <v>178</v>
      </c>
      <c r="M181" s="23">
        <f ca="1"/>
        <v>194363.0931678974</v>
      </c>
      <c r="N181" s="25">
        <f t="shared" si="6"/>
        <v>127713.65200000002</v>
      </c>
      <c r="O181" s="25">
        <f t="shared" ca="1" si="7"/>
        <v>0</v>
      </c>
      <c r="P181" s="25">
        <f t="shared" ca="1" si="8"/>
        <v>0</v>
      </c>
    </row>
    <row r="182" spans="12:16" s="23" customFormat="1" ht="13.8">
      <c r="L182" s="33">
        <v>179</v>
      </c>
      <c r="M182" s="23">
        <f ca="1"/>
        <v>224106.94448635582</v>
      </c>
      <c r="N182" s="25">
        <f t="shared" si="6"/>
        <v>127713.65200000002</v>
      </c>
      <c r="O182" s="25">
        <f t="shared" ca="1" si="7"/>
        <v>0</v>
      </c>
      <c r="P182" s="25">
        <f t="shared" ca="1" si="8"/>
        <v>0</v>
      </c>
    </row>
    <row r="183" spans="12:16" s="23" customFormat="1" ht="13.8">
      <c r="L183" s="23">
        <v>180</v>
      </c>
      <c r="M183" s="23">
        <f ca="1"/>
        <v>204416.25837431199</v>
      </c>
      <c r="N183" s="25">
        <f t="shared" si="6"/>
        <v>127713.65200000002</v>
      </c>
      <c r="O183" s="25">
        <f t="shared" ca="1" si="7"/>
        <v>0</v>
      </c>
      <c r="P183" s="25">
        <f t="shared" ca="1" si="8"/>
        <v>0</v>
      </c>
    </row>
    <row r="184" spans="12:16" s="23" customFormat="1" ht="13.8">
      <c r="L184" s="33">
        <v>181</v>
      </c>
      <c r="M184" s="23">
        <f ca="1"/>
        <v>27986.272389171179</v>
      </c>
      <c r="N184" s="25">
        <f t="shared" si="6"/>
        <v>127713.65200000002</v>
      </c>
      <c r="O184" s="25">
        <f t="shared" ca="1" si="7"/>
        <v>1</v>
      </c>
      <c r="P184" s="25">
        <f t="shared" ca="1" si="8"/>
        <v>0.78086702595294055</v>
      </c>
    </row>
    <row r="185" spans="12:16" s="23" customFormat="1" ht="13.8">
      <c r="L185" s="23">
        <v>182</v>
      </c>
      <c r="M185" s="23">
        <f ca="1"/>
        <v>190691.91501619399</v>
      </c>
      <c r="N185" s="25">
        <f t="shared" si="6"/>
        <v>127713.65200000002</v>
      </c>
      <c r="O185" s="25">
        <f t="shared" ca="1" si="7"/>
        <v>0</v>
      </c>
      <c r="P185" s="25">
        <f t="shared" ca="1" si="8"/>
        <v>0</v>
      </c>
    </row>
    <row r="186" spans="12:16" s="23" customFormat="1" ht="13.8">
      <c r="L186" s="33">
        <v>183</v>
      </c>
      <c r="M186" s="23">
        <f ca="1"/>
        <v>225472.2791560319</v>
      </c>
      <c r="N186" s="25">
        <f t="shared" si="6"/>
        <v>127713.65200000002</v>
      </c>
      <c r="O186" s="25">
        <f t="shared" ca="1" si="7"/>
        <v>0</v>
      </c>
      <c r="P186" s="25">
        <f t="shared" ca="1" si="8"/>
        <v>0</v>
      </c>
    </row>
    <row r="187" spans="12:16" s="23" customFormat="1" ht="13.8">
      <c r="L187" s="23">
        <v>184</v>
      </c>
      <c r="M187" s="23">
        <f ca="1"/>
        <v>165405.65276258151</v>
      </c>
      <c r="N187" s="25">
        <f t="shared" si="6"/>
        <v>127713.65200000002</v>
      </c>
      <c r="O187" s="25">
        <f t="shared" ca="1" si="7"/>
        <v>0</v>
      </c>
      <c r="P187" s="25">
        <f t="shared" ca="1" si="8"/>
        <v>0</v>
      </c>
    </row>
    <row r="188" spans="12:16" s="23" customFormat="1" ht="13.8">
      <c r="L188" s="33">
        <v>185</v>
      </c>
      <c r="M188" s="23">
        <f ca="1"/>
        <v>228943.54558874416</v>
      </c>
      <c r="N188" s="25">
        <f t="shared" si="6"/>
        <v>127713.65200000002</v>
      </c>
      <c r="O188" s="25">
        <f t="shared" ca="1" si="7"/>
        <v>0</v>
      </c>
      <c r="P188" s="25">
        <f t="shared" ca="1" si="8"/>
        <v>0</v>
      </c>
    </row>
    <row r="189" spans="12:16" s="23" customFormat="1" ht="13.8">
      <c r="L189" s="23">
        <v>186</v>
      </c>
      <c r="M189" s="23">
        <f ca="1"/>
        <v>85650.284258338783</v>
      </c>
      <c r="N189" s="25">
        <f t="shared" si="6"/>
        <v>127713.65200000002</v>
      </c>
      <c r="O189" s="25">
        <f t="shared" ca="1" si="7"/>
        <v>1</v>
      </c>
      <c r="P189" s="25">
        <f t="shared" ca="1" si="8"/>
        <v>0.32935686266070624</v>
      </c>
    </row>
    <row r="190" spans="12:16" s="23" customFormat="1" ht="13.8">
      <c r="L190" s="33">
        <v>187</v>
      </c>
      <c r="M190" s="23">
        <f ca="1"/>
        <v>217808.04436378687</v>
      </c>
      <c r="N190" s="25">
        <f t="shared" si="6"/>
        <v>127713.65200000002</v>
      </c>
      <c r="O190" s="25">
        <f t="shared" ca="1" si="7"/>
        <v>0</v>
      </c>
      <c r="P190" s="25">
        <f t="shared" ca="1" si="8"/>
        <v>0</v>
      </c>
    </row>
    <row r="191" spans="12:16" s="23" customFormat="1" ht="13.8">
      <c r="L191" s="23">
        <v>188</v>
      </c>
      <c r="M191" s="23">
        <f ca="1"/>
        <v>226020.90706766021</v>
      </c>
      <c r="N191" s="25">
        <f t="shared" si="6"/>
        <v>127713.65200000002</v>
      </c>
      <c r="O191" s="25">
        <f t="shared" ca="1" si="7"/>
        <v>0</v>
      </c>
      <c r="P191" s="25">
        <f t="shared" ca="1" si="8"/>
        <v>0</v>
      </c>
    </row>
    <row r="192" spans="12:16" s="23" customFormat="1" ht="13.8">
      <c r="L192" s="33">
        <v>189</v>
      </c>
      <c r="M192" s="23">
        <f ca="1"/>
        <v>235291.99550195047</v>
      </c>
      <c r="N192" s="25">
        <f t="shared" si="6"/>
        <v>127713.65200000002</v>
      </c>
      <c r="O192" s="25">
        <f t="shared" ca="1" si="7"/>
        <v>0</v>
      </c>
      <c r="P192" s="25">
        <f t="shared" ca="1" si="8"/>
        <v>0</v>
      </c>
    </row>
    <row r="193" spans="12:16" s="23" customFormat="1" ht="13.8">
      <c r="L193" s="23">
        <v>190</v>
      </c>
      <c r="M193" s="23">
        <f ca="1"/>
        <v>149995.40011217672</v>
      </c>
      <c r="N193" s="25">
        <f t="shared" si="6"/>
        <v>127713.65200000002</v>
      </c>
      <c r="O193" s="25">
        <f t="shared" ca="1" si="7"/>
        <v>0</v>
      </c>
      <c r="P193" s="25">
        <f t="shared" ca="1" si="8"/>
        <v>0</v>
      </c>
    </row>
    <row r="194" spans="12:16" s="23" customFormat="1" ht="13.8">
      <c r="L194" s="33">
        <v>191</v>
      </c>
      <c r="M194" s="23">
        <f ca="1"/>
        <v>309651.97550414229</v>
      </c>
      <c r="N194" s="25">
        <f t="shared" si="6"/>
        <v>127713.65200000002</v>
      </c>
      <c r="O194" s="25">
        <f t="shared" ca="1" si="7"/>
        <v>0</v>
      </c>
      <c r="P194" s="25">
        <f t="shared" ca="1" si="8"/>
        <v>0</v>
      </c>
    </row>
    <row r="195" spans="12:16" s="23" customFormat="1" ht="13.8">
      <c r="L195" s="23">
        <v>192</v>
      </c>
      <c r="M195" s="23">
        <f ca="1"/>
        <v>196426.33031410674</v>
      </c>
      <c r="N195" s="25">
        <f t="shared" si="6"/>
        <v>127713.65200000002</v>
      </c>
      <c r="O195" s="25">
        <f t="shared" ca="1" si="7"/>
        <v>0</v>
      </c>
      <c r="P195" s="25">
        <f t="shared" ca="1" si="8"/>
        <v>0</v>
      </c>
    </row>
    <row r="196" spans="12:16" s="23" customFormat="1" ht="13.8">
      <c r="L196" s="33">
        <v>193</v>
      </c>
      <c r="M196" s="23">
        <f ca="1"/>
        <v>185666.89181065152</v>
      </c>
      <c r="N196" s="25">
        <f t="shared" ref="N196:N259" si="9">($C$24+$E$24)*1.1</f>
        <v>127713.65200000002</v>
      </c>
      <c r="O196" s="25">
        <f t="shared" ca="1" si="7"/>
        <v>0</v>
      </c>
      <c r="P196" s="25">
        <f t="shared" ca="1" si="8"/>
        <v>0</v>
      </c>
    </row>
    <row r="197" spans="12:16" s="23" customFormat="1" ht="13.8">
      <c r="L197" s="23">
        <v>194</v>
      </c>
      <c r="M197" s="23">
        <f ca="1"/>
        <v>104409.65295521764</v>
      </c>
      <c r="N197" s="25">
        <f t="shared" si="9"/>
        <v>127713.65200000002</v>
      </c>
      <c r="O197" s="25">
        <f t="shared" ref="O197:O260" ca="1" si="10">IF(M197&lt;N197,1,0)</f>
        <v>1</v>
      </c>
      <c r="P197" s="25">
        <f t="shared" ref="P197:P260" ca="1" si="11">MAX((N197-M197)/N197,0)</f>
        <v>0.18247069659226703</v>
      </c>
    </row>
    <row r="198" spans="12:16" s="23" customFormat="1" ht="13.8">
      <c r="L198" s="33">
        <v>195</v>
      </c>
      <c r="M198" s="23">
        <f ca="1"/>
        <v>175646.21684301534</v>
      </c>
      <c r="N198" s="25">
        <f t="shared" si="9"/>
        <v>127713.65200000002</v>
      </c>
      <c r="O198" s="25">
        <f t="shared" ca="1" si="10"/>
        <v>0</v>
      </c>
      <c r="P198" s="25">
        <f t="shared" ca="1" si="11"/>
        <v>0</v>
      </c>
    </row>
    <row r="199" spans="12:16" s="23" customFormat="1" ht="13.8">
      <c r="L199" s="23">
        <v>196</v>
      </c>
      <c r="M199" s="23">
        <f ca="1"/>
        <v>202709.26267851575</v>
      </c>
      <c r="N199" s="25">
        <f t="shared" si="9"/>
        <v>127713.65200000002</v>
      </c>
      <c r="O199" s="25">
        <f t="shared" ca="1" si="10"/>
        <v>0</v>
      </c>
      <c r="P199" s="25">
        <f t="shared" ca="1" si="11"/>
        <v>0</v>
      </c>
    </row>
    <row r="200" spans="12:16" s="23" customFormat="1" ht="13.8">
      <c r="L200" s="33">
        <v>197</v>
      </c>
      <c r="M200" s="23">
        <f ca="1"/>
        <v>159385.03956173733</v>
      </c>
      <c r="N200" s="25">
        <f t="shared" si="9"/>
        <v>127713.65200000002</v>
      </c>
      <c r="O200" s="25">
        <f t="shared" ca="1" si="10"/>
        <v>0</v>
      </c>
      <c r="P200" s="25">
        <f t="shared" ca="1" si="11"/>
        <v>0</v>
      </c>
    </row>
    <row r="201" spans="12:16" s="23" customFormat="1" ht="13.8">
      <c r="L201" s="23">
        <v>198</v>
      </c>
      <c r="M201" s="23">
        <f ca="1"/>
        <v>63356.298543044089</v>
      </c>
      <c r="N201" s="25">
        <f t="shared" si="9"/>
        <v>127713.65200000002</v>
      </c>
      <c r="O201" s="25">
        <f t="shared" ca="1" si="10"/>
        <v>1</v>
      </c>
      <c r="P201" s="25">
        <f t="shared" ca="1" si="11"/>
        <v>0.50391913823712375</v>
      </c>
    </row>
    <row r="202" spans="12:16" s="23" customFormat="1" ht="13.8">
      <c r="L202" s="33">
        <v>199</v>
      </c>
      <c r="M202" s="23">
        <f ca="1"/>
        <v>152611.37847254222</v>
      </c>
      <c r="N202" s="25">
        <f t="shared" si="9"/>
        <v>127713.65200000002</v>
      </c>
      <c r="O202" s="25">
        <f t="shared" ca="1" si="10"/>
        <v>0</v>
      </c>
      <c r="P202" s="25">
        <f t="shared" ca="1" si="11"/>
        <v>0</v>
      </c>
    </row>
    <row r="203" spans="12:16" s="23" customFormat="1" ht="13.8">
      <c r="L203" s="23">
        <v>200</v>
      </c>
      <c r="M203" s="23">
        <f ca="1"/>
        <v>109537.0963935544</v>
      </c>
      <c r="N203" s="25">
        <f t="shared" si="9"/>
        <v>127713.65200000002</v>
      </c>
      <c r="O203" s="25">
        <f t="shared" ca="1" si="10"/>
        <v>1</v>
      </c>
      <c r="P203" s="25">
        <f t="shared" ca="1" si="11"/>
        <v>0.14232272996504411</v>
      </c>
    </row>
    <row r="204" spans="12:16" s="23" customFormat="1" ht="13.8">
      <c r="L204" s="33">
        <v>201</v>
      </c>
      <c r="M204" s="23">
        <f ca="1"/>
        <v>138817.4847864497</v>
      </c>
      <c r="N204" s="25">
        <f t="shared" si="9"/>
        <v>127713.65200000002</v>
      </c>
      <c r="O204" s="25">
        <f t="shared" ca="1" si="10"/>
        <v>0</v>
      </c>
      <c r="P204" s="25">
        <f t="shared" ca="1" si="11"/>
        <v>0</v>
      </c>
    </row>
    <row r="205" spans="12:16" s="23" customFormat="1" ht="13.8">
      <c r="L205" s="23">
        <v>202</v>
      </c>
      <c r="M205" s="23">
        <f ca="1"/>
        <v>230711.81817691421</v>
      </c>
      <c r="N205" s="25">
        <f t="shared" si="9"/>
        <v>127713.65200000002</v>
      </c>
      <c r="O205" s="25">
        <f t="shared" ca="1" si="10"/>
        <v>0</v>
      </c>
      <c r="P205" s="25">
        <f t="shared" ca="1" si="11"/>
        <v>0</v>
      </c>
    </row>
    <row r="206" spans="12:16" s="23" customFormat="1" ht="13.8">
      <c r="L206" s="33">
        <v>203</v>
      </c>
      <c r="M206" s="23">
        <f ca="1"/>
        <v>255551.7776684105</v>
      </c>
      <c r="N206" s="25">
        <f t="shared" si="9"/>
        <v>127713.65200000002</v>
      </c>
      <c r="O206" s="25">
        <f t="shared" ca="1" si="10"/>
        <v>0</v>
      </c>
      <c r="P206" s="25">
        <f t="shared" ca="1" si="11"/>
        <v>0</v>
      </c>
    </row>
    <row r="207" spans="12:16" s="23" customFormat="1" ht="13.8">
      <c r="L207" s="23">
        <v>204</v>
      </c>
      <c r="M207" s="23">
        <f ca="1"/>
        <v>144227.3574052495</v>
      </c>
      <c r="N207" s="25">
        <f t="shared" si="9"/>
        <v>127713.65200000002</v>
      </c>
      <c r="O207" s="25">
        <f t="shared" ca="1" si="10"/>
        <v>0</v>
      </c>
      <c r="P207" s="25">
        <f t="shared" ca="1" si="11"/>
        <v>0</v>
      </c>
    </row>
    <row r="208" spans="12:16" s="23" customFormat="1" ht="13.8">
      <c r="L208" s="33">
        <v>205</v>
      </c>
      <c r="M208" s="23">
        <f ca="1"/>
        <v>70758.869031108814</v>
      </c>
      <c r="N208" s="25">
        <f t="shared" si="9"/>
        <v>127713.65200000002</v>
      </c>
      <c r="O208" s="25">
        <f t="shared" ca="1" si="10"/>
        <v>1</v>
      </c>
      <c r="P208" s="25">
        <f t="shared" ca="1" si="11"/>
        <v>0.44595688931431698</v>
      </c>
    </row>
    <row r="209" spans="12:16" s="23" customFormat="1" ht="13.8">
      <c r="L209" s="23">
        <v>206</v>
      </c>
      <c r="M209" s="23">
        <f ca="1"/>
        <v>36294.263534233563</v>
      </c>
      <c r="N209" s="25">
        <f t="shared" si="9"/>
        <v>127713.65200000002</v>
      </c>
      <c r="O209" s="25">
        <f t="shared" ca="1" si="10"/>
        <v>1</v>
      </c>
      <c r="P209" s="25">
        <f t="shared" ca="1" si="11"/>
        <v>0.71581531836366585</v>
      </c>
    </row>
    <row r="210" spans="12:16" s="23" customFormat="1" ht="13.8">
      <c r="L210" s="33">
        <v>207</v>
      </c>
      <c r="M210" s="23">
        <f ca="1"/>
        <v>113103.56030138908</v>
      </c>
      <c r="N210" s="25">
        <f t="shared" si="9"/>
        <v>127713.65200000002</v>
      </c>
      <c r="O210" s="25">
        <f t="shared" ca="1" si="10"/>
        <v>1</v>
      </c>
      <c r="P210" s="25">
        <f t="shared" ca="1" si="11"/>
        <v>0.11439725878804981</v>
      </c>
    </row>
    <row r="211" spans="12:16" s="23" customFormat="1" ht="13.8">
      <c r="L211" s="23">
        <v>208</v>
      </c>
      <c r="M211" s="23">
        <f ca="1"/>
        <v>103867.86499444251</v>
      </c>
      <c r="N211" s="25">
        <f t="shared" si="9"/>
        <v>127713.65200000002</v>
      </c>
      <c r="O211" s="25">
        <f t="shared" ca="1" si="10"/>
        <v>1</v>
      </c>
      <c r="P211" s="25">
        <f t="shared" ca="1" si="11"/>
        <v>0.18671290525430673</v>
      </c>
    </row>
    <row r="212" spans="12:16" s="23" customFormat="1" ht="13.8">
      <c r="L212" s="33">
        <v>209</v>
      </c>
      <c r="M212" s="23">
        <f ca="1"/>
        <v>294898.98118818336</v>
      </c>
      <c r="N212" s="25">
        <f t="shared" si="9"/>
        <v>127713.65200000002</v>
      </c>
      <c r="O212" s="25">
        <f t="shared" ca="1" si="10"/>
        <v>0</v>
      </c>
      <c r="P212" s="25">
        <f t="shared" ca="1" si="11"/>
        <v>0</v>
      </c>
    </row>
    <row r="213" spans="12:16" s="23" customFormat="1" ht="13.8">
      <c r="L213" s="23">
        <v>210</v>
      </c>
      <c r="M213" s="23">
        <f ca="1"/>
        <v>193418.65915194422</v>
      </c>
      <c r="N213" s="25">
        <f t="shared" si="9"/>
        <v>127713.65200000002</v>
      </c>
      <c r="O213" s="25">
        <f t="shared" ca="1" si="10"/>
        <v>0</v>
      </c>
      <c r="P213" s="25">
        <f t="shared" ca="1" si="11"/>
        <v>0</v>
      </c>
    </row>
    <row r="214" spans="12:16" s="23" customFormat="1" ht="13.8">
      <c r="L214" s="33">
        <v>211</v>
      </c>
      <c r="M214" s="23">
        <f ca="1"/>
        <v>102794.84363244583</v>
      </c>
      <c r="N214" s="25">
        <f t="shared" si="9"/>
        <v>127713.65200000002</v>
      </c>
      <c r="O214" s="25">
        <f t="shared" ca="1" si="10"/>
        <v>1</v>
      </c>
      <c r="P214" s="25">
        <f t="shared" ca="1" si="11"/>
        <v>0.19511468020313272</v>
      </c>
    </row>
    <row r="215" spans="12:16" s="23" customFormat="1" ht="13.8">
      <c r="L215" s="23">
        <v>212</v>
      </c>
      <c r="M215" s="23">
        <f ca="1"/>
        <v>199718.93741421532</v>
      </c>
      <c r="N215" s="25">
        <f t="shared" si="9"/>
        <v>127713.65200000002</v>
      </c>
      <c r="O215" s="25">
        <f t="shared" ca="1" si="10"/>
        <v>0</v>
      </c>
      <c r="P215" s="25">
        <f t="shared" ca="1" si="11"/>
        <v>0</v>
      </c>
    </row>
    <row r="216" spans="12:16" s="23" customFormat="1" ht="13.8">
      <c r="L216" s="33">
        <v>213</v>
      </c>
      <c r="M216" s="23">
        <f ca="1"/>
        <v>130115.12807719671</v>
      </c>
      <c r="N216" s="25">
        <f t="shared" si="9"/>
        <v>127713.65200000002</v>
      </c>
      <c r="O216" s="25">
        <f t="shared" ca="1" si="10"/>
        <v>0</v>
      </c>
      <c r="P216" s="25">
        <f t="shared" ca="1" si="11"/>
        <v>0</v>
      </c>
    </row>
    <row r="217" spans="12:16" s="23" customFormat="1" ht="13.8">
      <c r="L217" s="23">
        <v>214</v>
      </c>
      <c r="M217" s="23">
        <f ca="1"/>
        <v>216865.92941715385</v>
      </c>
      <c r="N217" s="25">
        <f t="shared" si="9"/>
        <v>127713.65200000002</v>
      </c>
      <c r="O217" s="25">
        <f t="shared" ca="1" si="10"/>
        <v>0</v>
      </c>
      <c r="P217" s="25">
        <f t="shared" ca="1" si="11"/>
        <v>0</v>
      </c>
    </row>
    <row r="218" spans="12:16" s="23" customFormat="1" ht="13.8">
      <c r="L218" s="33">
        <v>215</v>
      </c>
      <c r="M218" s="23">
        <f ca="1"/>
        <v>126893.67427721785</v>
      </c>
      <c r="N218" s="25">
        <f t="shared" si="9"/>
        <v>127713.65200000002</v>
      </c>
      <c r="O218" s="25">
        <f t="shared" ca="1" si="10"/>
        <v>1</v>
      </c>
      <c r="P218" s="25">
        <f t="shared" ca="1" si="11"/>
        <v>6.4204390833813236E-3</v>
      </c>
    </row>
    <row r="219" spans="12:16" s="23" customFormat="1" ht="13.8">
      <c r="L219" s="23">
        <v>216</v>
      </c>
      <c r="M219" s="23">
        <f ca="1"/>
        <v>92950.467415091247</v>
      </c>
      <c r="N219" s="25">
        <f t="shared" si="9"/>
        <v>127713.65200000002</v>
      </c>
      <c r="O219" s="25">
        <f t="shared" ca="1" si="10"/>
        <v>1</v>
      </c>
      <c r="P219" s="25">
        <f t="shared" ca="1" si="11"/>
        <v>0.27219630822951302</v>
      </c>
    </row>
    <row r="220" spans="12:16" s="23" customFormat="1" ht="13.8">
      <c r="L220" s="33">
        <v>217</v>
      </c>
      <c r="M220" s="23">
        <f ca="1"/>
        <v>193795.67151557689</v>
      </c>
      <c r="N220" s="25">
        <f t="shared" si="9"/>
        <v>127713.65200000002</v>
      </c>
      <c r="O220" s="25">
        <f t="shared" ca="1" si="10"/>
        <v>0</v>
      </c>
      <c r="P220" s="25">
        <f t="shared" ca="1" si="11"/>
        <v>0</v>
      </c>
    </row>
    <row r="221" spans="12:16" s="23" customFormat="1" ht="13.8">
      <c r="L221" s="23">
        <v>218</v>
      </c>
      <c r="M221" s="23">
        <f ca="1"/>
        <v>128783.41572601981</v>
      </c>
      <c r="N221" s="25">
        <f t="shared" si="9"/>
        <v>127713.65200000002</v>
      </c>
      <c r="O221" s="25">
        <f t="shared" ca="1" si="10"/>
        <v>0</v>
      </c>
      <c r="P221" s="25">
        <f t="shared" ca="1" si="11"/>
        <v>0</v>
      </c>
    </row>
    <row r="222" spans="12:16" s="23" customFormat="1" ht="13.8">
      <c r="L222" s="33">
        <v>219</v>
      </c>
      <c r="M222" s="23">
        <f ca="1"/>
        <v>34997.21423926641</v>
      </c>
      <c r="N222" s="25">
        <f t="shared" si="9"/>
        <v>127713.65200000002</v>
      </c>
      <c r="O222" s="25">
        <f t="shared" ca="1" si="10"/>
        <v>1</v>
      </c>
      <c r="P222" s="25">
        <f t="shared" ca="1" si="11"/>
        <v>0.72597123571983979</v>
      </c>
    </row>
    <row r="223" spans="12:16" s="23" customFormat="1" ht="13.8">
      <c r="L223" s="23">
        <v>220</v>
      </c>
      <c r="M223" s="23">
        <f ca="1"/>
        <v>200116.58686415819</v>
      </c>
      <c r="N223" s="25">
        <f t="shared" si="9"/>
        <v>127713.65200000002</v>
      </c>
      <c r="O223" s="25">
        <f t="shared" ca="1" si="10"/>
        <v>0</v>
      </c>
      <c r="P223" s="25">
        <f t="shared" ca="1" si="11"/>
        <v>0</v>
      </c>
    </row>
    <row r="224" spans="12:16" s="23" customFormat="1" ht="13.8">
      <c r="L224" s="33">
        <v>221</v>
      </c>
      <c r="M224" s="23">
        <f ca="1"/>
        <v>60297.979479291578</v>
      </c>
      <c r="N224" s="25">
        <f t="shared" si="9"/>
        <v>127713.65200000002</v>
      </c>
      <c r="O224" s="25">
        <f t="shared" ca="1" si="10"/>
        <v>1</v>
      </c>
      <c r="P224" s="25">
        <f t="shared" ca="1" si="11"/>
        <v>0.52786582691025408</v>
      </c>
    </row>
    <row r="225" spans="12:16" s="23" customFormat="1" ht="13.8">
      <c r="L225" s="23">
        <v>222</v>
      </c>
      <c r="M225" s="23">
        <f ca="1"/>
        <v>138904.00643322041</v>
      </c>
      <c r="N225" s="25">
        <f t="shared" si="9"/>
        <v>127713.65200000002</v>
      </c>
      <c r="O225" s="25">
        <f t="shared" ca="1" si="10"/>
        <v>0</v>
      </c>
      <c r="P225" s="25">
        <f t="shared" ca="1" si="11"/>
        <v>0</v>
      </c>
    </row>
    <row r="226" spans="12:16" s="23" customFormat="1" ht="13.8">
      <c r="L226" s="33">
        <v>223</v>
      </c>
      <c r="M226" s="23">
        <f ca="1"/>
        <v>149882.39593923721</v>
      </c>
      <c r="N226" s="25">
        <f t="shared" si="9"/>
        <v>127713.65200000002</v>
      </c>
      <c r="O226" s="25">
        <f t="shared" ca="1" si="10"/>
        <v>0</v>
      </c>
      <c r="P226" s="25">
        <f t="shared" ca="1" si="11"/>
        <v>0</v>
      </c>
    </row>
    <row r="227" spans="12:16" s="23" customFormat="1" ht="13.8">
      <c r="L227" s="23">
        <v>224</v>
      </c>
      <c r="M227" s="23">
        <f ca="1"/>
        <v>178632.09033526754</v>
      </c>
      <c r="N227" s="25">
        <f t="shared" si="9"/>
        <v>127713.65200000002</v>
      </c>
      <c r="O227" s="25">
        <f t="shared" ca="1" si="10"/>
        <v>0</v>
      </c>
      <c r="P227" s="25">
        <f t="shared" ca="1" si="11"/>
        <v>0</v>
      </c>
    </row>
    <row r="228" spans="12:16" s="23" customFormat="1" ht="13.8">
      <c r="L228" s="33">
        <v>225</v>
      </c>
      <c r="M228" s="23">
        <f ca="1"/>
        <v>188741.5752754242</v>
      </c>
      <c r="N228" s="25">
        <f t="shared" si="9"/>
        <v>127713.65200000002</v>
      </c>
      <c r="O228" s="25">
        <f t="shared" ca="1" si="10"/>
        <v>0</v>
      </c>
      <c r="P228" s="25">
        <f t="shared" ca="1" si="11"/>
        <v>0</v>
      </c>
    </row>
    <row r="229" spans="12:16" s="23" customFormat="1" ht="13.8">
      <c r="L229" s="23">
        <v>226</v>
      </c>
      <c r="M229" s="23">
        <f ca="1"/>
        <v>270631.58870471764</v>
      </c>
      <c r="N229" s="25">
        <f t="shared" si="9"/>
        <v>127713.65200000002</v>
      </c>
      <c r="O229" s="25">
        <f t="shared" ca="1" si="10"/>
        <v>0</v>
      </c>
      <c r="P229" s="25">
        <f t="shared" ca="1" si="11"/>
        <v>0</v>
      </c>
    </row>
    <row r="230" spans="12:16" s="23" customFormat="1" ht="13.8">
      <c r="L230" s="33">
        <v>227</v>
      </c>
      <c r="M230" s="23">
        <f ca="1"/>
        <v>122090.97498730521</v>
      </c>
      <c r="N230" s="25">
        <f t="shared" si="9"/>
        <v>127713.65200000002</v>
      </c>
      <c r="O230" s="25">
        <f t="shared" ca="1" si="10"/>
        <v>1</v>
      </c>
      <c r="P230" s="25">
        <f t="shared" ca="1" si="11"/>
        <v>4.4025653676357246E-2</v>
      </c>
    </row>
    <row r="231" spans="12:16" s="23" customFormat="1" ht="13.8">
      <c r="L231" s="23">
        <v>228</v>
      </c>
      <c r="M231" s="23">
        <f ca="1"/>
        <v>125796.27700139272</v>
      </c>
      <c r="N231" s="25">
        <f t="shared" si="9"/>
        <v>127713.65200000002</v>
      </c>
      <c r="O231" s="25">
        <f t="shared" ca="1" si="10"/>
        <v>1</v>
      </c>
      <c r="P231" s="25">
        <f t="shared" ca="1" si="11"/>
        <v>1.5013077839221872E-2</v>
      </c>
    </row>
    <row r="232" spans="12:16" s="23" customFormat="1" ht="13.8">
      <c r="L232" s="33">
        <v>229</v>
      </c>
      <c r="M232" s="23">
        <f ca="1"/>
        <v>228060.48777101003</v>
      </c>
      <c r="N232" s="25">
        <f t="shared" si="9"/>
        <v>127713.65200000002</v>
      </c>
      <c r="O232" s="25">
        <f t="shared" ca="1" si="10"/>
        <v>0</v>
      </c>
      <c r="P232" s="25">
        <f t="shared" ca="1" si="11"/>
        <v>0</v>
      </c>
    </row>
    <row r="233" spans="12:16" s="23" customFormat="1" ht="13.8">
      <c r="L233" s="23">
        <v>230</v>
      </c>
      <c r="M233" s="23">
        <f ca="1"/>
        <v>158084.62314994662</v>
      </c>
      <c r="N233" s="25">
        <f t="shared" si="9"/>
        <v>127713.65200000002</v>
      </c>
      <c r="O233" s="25">
        <f t="shared" ca="1" si="10"/>
        <v>0</v>
      </c>
      <c r="P233" s="25">
        <f t="shared" ca="1" si="11"/>
        <v>0</v>
      </c>
    </row>
    <row r="234" spans="12:16" s="23" customFormat="1" ht="13.8">
      <c r="L234" s="33">
        <v>231</v>
      </c>
      <c r="M234" s="23">
        <f ca="1"/>
        <v>105858.13224814877</v>
      </c>
      <c r="N234" s="25">
        <f t="shared" si="9"/>
        <v>127713.65200000002</v>
      </c>
      <c r="O234" s="25">
        <f t="shared" ca="1" si="10"/>
        <v>1</v>
      </c>
      <c r="P234" s="25">
        <f t="shared" ca="1" si="11"/>
        <v>0.17112907985632766</v>
      </c>
    </row>
    <row r="235" spans="12:16" s="23" customFormat="1" ht="13.8">
      <c r="L235" s="23">
        <v>232</v>
      </c>
      <c r="M235" s="23">
        <f ca="1"/>
        <v>149646.04479198324</v>
      </c>
      <c r="N235" s="25">
        <f t="shared" si="9"/>
        <v>127713.65200000002</v>
      </c>
      <c r="O235" s="25">
        <f t="shared" ca="1" si="10"/>
        <v>0</v>
      </c>
      <c r="P235" s="25">
        <f t="shared" ca="1" si="11"/>
        <v>0</v>
      </c>
    </row>
    <row r="236" spans="12:16" s="23" customFormat="1" ht="13.8">
      <c r="L236" s="33">
        <v>233</v>
      </c>
      <c r="M236" s="23">
        <f ca="1"/>
        <v>150279.12421846352</v>
      </c>
      <c r="N236" s="25">
        <f t="shared" si="9"/>
        <v>127713.65200000002</v>
      </c>
      <c r="O236" s="25">
        <f t="shared" ca="1" si="10"/>
        <v>0</v>
      </c>
      <c r="P236" s="25">
        <f t="shared" ca="1" si="11"/>
        <v>0</v>
      </c>
    </row>
    <row r="237" spans="12:16" s="23" customFormat="1" ht="13.8">
      <c r="L237" s="23">
        <v>234</v>
      </c>
      <c r="M237" s="23">
        <f ca="1"/>
        <v>198053.58064070856</v>
      </c>
      <c r="N237" s="25">
        <f t="shared" si="9"/>
        <v>127713.65200000002</v>
      </c>
      <c r="O237" s="25">
        <f t="shared" ca="1" si="10"/>
        <v>0</v>
      </c>
      <c r="P237" s="25">
        <f t="shared" ca="1" si="11"/>
        <v>0</v>
      </c>
    </row>
    <row r="238" spans="12:16" s="23" customFormat="1" ht="13.8">
      <c r="L238" s="33">
        <v>235</v>
      </c>
      <c r="M238" s="23">
        <f ca="1"/>
        <v>152012.84045996759</v>
      </c>
      <c r="N238" s="25">
        <f t="shared" si="9"/>
        <v>127713.65200000002</v>
      </c>
      <c r="O238" s="25">
        <f t="shared" ca="1" si="10"/>
        <v>0</v>
      </c>
      <c r="P238" s="25">
        <f t="shared" ca="1" si="11"/>
        <v>0</v>
      </c>
    </row>
    <row r="239" spans="12:16" s="23" customFormat="1" ht="13.8">
      <c r="L239" s="23">
        <v>236</v>
      </c>
      <c r="M239" s="23">
        <f ca="1"/>
        <v>216992.58261318665</v>
      </c>
      <c r="N239" s="25">
        <f t="shared" si="9"/>
        <v>127713.65200000002</v>
      </c>
      <c r="O239" s="25">
        <f t="shared" ca="1" si="10"/>
        <v>0</v>
      </c>
      <c r="P239" s="25">
        <f t="shared" ca="1" si="11"/>
        <v>0</v>
      </c>
    </row>
    <row r="240" spans="12:16" s="23" customFormat="1" ht="13.8">
      <c r="L240" s="33">
        <v>237</v>
      </c>
      <c r="M240" s="23">
        <f ca="1"/>
        <v>211500.01896429661</v>
      </c>
      <c r="N240" s="25">
        <f t="shared" si="9"/>
        <v>127713.65200000002</v>
      </c>
      <c r="O240" s="25">
        <f t="shared" ca="1" si="10"/>
        <v>0</v>
      </c>
      <c r="P240" s="25">
        <f t="shared" ca="1" si="11"/>
        <v>0</v>
      </c>
    </row>
    <row r="241" spans="12:16" s="23" customFormat="1" ht="13.8">
      <c r="L241" s="23">
        <v>238</v>
      </c>
      <c r="M241" s="23">
        <f ca="1"/>
        <v>293311.54924786114</v>
      </c>
      <c r="N241" s="25">
        <f t="shared" si="9"/>
        <v>127713.65200000002</v>
      </c>
      <c r="O241" s="25">
        <f t="shared" ca="1" si="10"/>
        <v>0</v>
      </c>
      <c r="P241" s="25">
        <f t="shared" ca="1" si="11"/>
        <v>0</v>
      </c>
    </row>
    <row r="242" spans="12:16" s="23" customFormat="1" ht="13.8">
      <c r="L242" s="33">
        <v>239</v>
      </c>
      <c r="M242" s="23">
        <f ca="1"/>
        <v>217560.61927405788</v>
      </c>
      <c r="N242" s="25">
        <f t="shared" si="9"/>
        <v>127713.65200000002</v>
      </c>
      <c r="O242" s="25">
        <f t="shared" ca="1" si="10"/>
        <v>0</v>
      </c>
      <c r="P242" s="25">
        <f t="shared" ca="1" si="11"/>
        <v>0</v>
      </c>
    </row>
    <row r="243" spans="12:16" s="23" customFormat="1" ht="13.8">
      <c r="L243" s="23">
        <v>240</v>
      </c>
      <c r="M243" s="23">
        <f ca="1"/>
        <v>233471.10664755726</v>
      </c>
      <c r="N243" s="25">
        <f t="shared" si="9"/>
        <v>127713.65200000002</v>
      </c>
      <c r="O243" s="25">
        <f t="shared" ca="1" si="10"/>
        <v>0</v>
      </c>
      <c r="P243" s="25">
        <f t="shared" ca="1" si="11"/>
        <v>0</v>
      </c>
    </row>
    <row r="244" spans="12:16" s="23" customFormat="1" ht="13.8">
      <c r="L244" s="33">
        <v>241</v>
      </c>
      <c r="M244" s="23">
        <f ca="1"/>
        <v>180986.63961240379</v>
      </c>
      <c r="N244" s="25">
        <f t="shared" si="9"/>
        <v>127713.65200000002</v>
      </c>
      <c r="O244" s="25">
        <f t="shared" ca="1" si="10"/>
        <v>0</v>
      </c>
      <c r="P244" s="25">
        <f t="shared" ca="1" si="11"/>
        <v>0</v>
      </c>
    </row>
    <row r="245" spans="12:16" s="23" customFormat="1" ht="13.8">
      <c r="L245" s="23">
        <v>242</v>
      </c>
      <c r="M245" s="23">
        <f ca="1"/>
        <v>122727.3778920886</v>
      </c>
      <c r="N245" s="25">
        <f t="shared" si="9"/>
        <v>127713.65200000002</v>
      </c>
      <c r="O245" s="25">
        <f t="shared" ca="1" si="10"/>
        <v>1</v>
      </c>
      <c r="P245" s="25">
        <f t="shared" ca="1" si="11"/>
        <v>3.9042608443390373E-2</v>
      </c>
    </row>
    <row r="246" spans="12:16" s="23" customFormat="1" ht="13.8">
      <c r="L246" s="33">
        <v>243</v>
      </c>
      <c r="M246" s="23">
        <f ca="1"/>
        <v>82674.55997105244</v>
      </c>
      <c r="N246" s="25">
        <f t="shared" si="9"/>
        <v>127713.65200000002</v>
      </c>
      <c r="O246" s="25">
        <f t="shared" ca="1" si="10"/>
        <v>1</v>
      </c>
      <c r="P246" s="25">
        <f t="shared" ca="1" si="11"/>
        <v>0.35265683287286759</v>
      </c>
    </row>
    <row r="247" spans="12:16" s="23" customFormat="1" ht="13.8">
      <c r="L247" s="23">
        <v>244</v>
      </c>
      <c r="M247" s="23">
        <f ca="1"/>
        <v>32831.767317522201</v>
      </c>
      <c r="N247" s="25">
        <f t="shared" si="9"/>
        <v>127713.65200000002</v>
      </c>
      <c r="O247" s="25">
        <f t="shared" ca="1" si="10"/>
        <v>1</v>
      </c>
      <c r="P247" s="25">
        <f t="shared" ca="1" si="11"/>
        <v>0.74292672080568023</v>
      </c>
    </row>
    <row r="248" spans="12:16" s="23" customFormat="1" ht="13.8">
      <c r="L248" s="33">
        <v>245</v>
      </c>
      <c r="M248" s="23">
        <f ca="1"/>
        <v>229465.28246723904</v>
      </c>
      <c r="N248" s="25">
        <f t="shared" si="9"/>
        <v>127713.65200000002</v>
      </c>
      <c r="O248" s="25">
        <f t="shared" ca="1" si="10"/>
        <v>0</v>
      </c>
      <c r="P248" s="25">
        <f t="shared" ca="1" si="11"/>
        <v>0</v>
      </c>
    </row>
    <row r="249" spans="12:16" s="23" customFormat="1" ht="13.8">
      <c r="L249" s="23">
        <v>246</v>
      </c>
      <c r="M249" s="23">
        <f ca="1"/>
        <v>132868.868438301</v>
      </c>
      <c r="N249" s="25">
        <f t="shared" si="9"/>
        <v>127713.65200000002</v>
      </c>
      <c r="O249" s="25">
        <f t="shared" ca="1" si="10"/>
        <v>0</v>
      </c>
      <c r="P249" s="25">
        <f t="shared" ca="1" si="11"/>
        <v>0</v>
      </c>
    </row>
    <row r="250" spans="12:16" s="23" customFormat="1" ht="13.8">
      <c r="L250" s="33">
        <v>247</v>
      </c>
      <c r="M250" s="23">
        <f ca="1"/>
        <v>157612.49073628179</v>
      </c>
      <c r="N250" s="25">
        <f t="shared" si="9"/>
        <v>127713.65200000002</v>
      </c>
      <c r="O250" s="25">
        <f t="shared" ca="1" si="10"/>
        <v>0</v>
      </c>
      <c r="P250" s="25">
        <f t="shared" ca="1" si="11"/>
        <v>0</v>
      </c>
    </row>
    <row r="251" spans="12:16" s="23" customFormat="1" ht="13.8">
      <c r="L251" s="23">
        <v>248</v>
      </c>
      <c r="M251" s="23">
        <f ca="1"/>
        <v>121237.06732917005</v>
      </c>
      <c r="N251" s="25">
        <f t="shared" si="9"/>
        <v>127713.65200000002</v>
      </c>
      <c r="O251" s="25">
        <f t="shared" ca="1" si="10"/>
        <v>1</v>
      </c>
      <c r="P251" s="25">
        <f t="shared" ca="1" si="11"/>
        <v>5.0711764712749456E-2</v>
      </c>
    </row>
    <row r="252" spans="12:16" s="23" customFormat="1" ht="13.8">
      <c r="L252" s="33">
        <v>249</v>
      </c>
      <c r="M252" s="23">
        <f ca="1"/>
        <v>105477.24075189585</v>
      </c>
      <c r="N252" s="25">
        <f t="shared" si="9"/>
        <v>127713.65200000002</v>
      </c>
      <c r="O252" s="25">
        <f t="shared" ca="1" si="10"/>
        <v>1</v>
      </c>
      <c r="P252" s="25">
        <f t="shared" ca="1" si="11"/>
        <v>0.17411146654943485</v>
      </c>
    </row>
    <row r="253" spans="12:16" s="23" customFormat="1" ht="13.8">
      <c r="L253" s="23">
        <v>250</v>
      </c>
      <c r="M253" s="23">
        <f ca="1"/>
        <v>194860.12161899253</v>
      </c>
      <c r="N253" s="25">
        <f t="shared" si="9"/>
        <v>127713.65200000002</v>
      </c>
      <c r="O253" s="25">
        <f t="shared" ca="1" si="10"/>
        <v>0</v>
      </c>
      <c r="P253" s="25">
        <f t="shared" ca="1" si="11"/>
        <v>0</v>
      </c>
    </row>
    <row r="254" spans="12:16" s="23" customFormat="1" ht="13.8">
      <c r="L254" s="33">
        <v>251</v>
      </c>
      <c r="M254" s="23">
        <f ca="1"/>
        <v>332565.01485808881</v>
      </c>
      <c r="N254" s="25">
        <f t="shared" si="9"/>
        <v>127713.65200000002</v>
      </c>
      <c r="O254" s="25">
        <f t="shared" ca="1" si="10"/>
        <v>0</v>
      </c>
      <c r="P254" s="25">
        <f t="shared" ca="1" si="11"/>
        <v>0</v>
      </c>
    </row>
    <row r="255" spans="12:16" s="23" customFormat="1" ht="13.8">
      <c r="L255" s="23">
        <v>252</v>
      </c>
      <c r="M255" s="23">
        <f ca="1"/>
        <v>271544.26848821045</v>
      </c>
      <c r="N255" s="25">
        <f t="shared" si="9"/>
        <v>127713.65200000002</v>
      </c>
      <c r="O255" s="25">
        <f t="shared" ca="1" si="10"/>
        <v>0</v>
      </c>
      <c r="P255" s="25">
        <f t="shared" ca="1" si="11"/>
        <v>0</v>
      </c>
    </row>
    <row r="256" spans="12:16" s="23" customFormat="1" ht="13.8">
      <c r="L256" s="33">
        <v>253</v>
      </c>
      <c r="M256" s="23">
        <f ca="1"/>
        <v>136027.25814038757</v>
      </c>
      <c r="N256" s="25">
        <f t="shared" si="9"/>
        <v>127713.65200000002</v>
      </c>
      <c r="O256" s="25">
        <f t="shared" ca="1" si="10"/>
        <v>0</v>
      </c>
      <c r="P256" s="25">
        <f t="shared" ca="1" si="11"/>
        <v>0</v>
      </c>
    </row>
    <row r="257" spans="12:16" s="23" customFormat="1" ht="13.8">
      <c r="L257" s="23">
        <v>254</v>
      </c>
      <c r="M257" s="23">
        <f ca="1"/>
        <v>226500.2890402409</v>
      </c>
      <c r="N257" s="25">
        <f t="shared" si="9"/>
        <v>127713.65200000002</v>
      </c>
      <c r="O257" s="25">
        <f t="shared" ca="1" si="10"/>
        <v>0</v>
      </c>
      <c r="P257" s="25">
        <f t="shared" ca="1" si="11"/>
        <v>0</v>
      </c>
    </row>
    <row r="258" spans="12:16" s="23" customFormat="1" ht="13.8">
      <c r="L258" s="33">
        <v>255</v>
      </c>
      <c r="M258" s="23">
        <f ca="1"/>
        <v>181037.88798691283</v>
      </c>
      <c r="N258" s="25">
        <f t="shared" si="9"/>
        <v>127713.65200000002</v>
      </c>
      <c r="O258" s="25">
        <f t="shared" ca="1" si="10"/>
        <v>0</v>
      </c>
      <c r="P258" s="25">
        <f t="shared" ca="1" si="11"/>
        <v>0</v>
      </c>
    </row>
    <row r="259" spans="12:16" s="23" customFormat="1" ht="13.8">
      <c r="L259" s="23">
        <v>256</v>
      </c>
      <c r="M259" s="23">
        <f ca="1"/>
        <v>183545.97349756857</v>
      </c>
      <c r="N259" s="25">
        <f t="shared" si="9"/>
        <v>127713.65200000002</v>
      </c>
      <c r="O259" s="25">
        <f t="shared" ca="1" si="10"/>
        <v>0</v>
      </c>
      <c r="P259" s="25">
        <f t="shared" ca="1" si="11"/>
        <v>0</v>
      </c>
    </row>
    <row r="260" spans="12:16" s="23" customFormat="1" ht="13.8">
      <c r="L260" s="33">
        <v>257</v>
      </c>
      <c r="M260" s="23">
        <f ca="1"/>
        <v>233909.15612653393</v>
      </c>
      <c r="N260" s="25">
        <f t="shared" ref="N260:N323" si="12">($C$24+$E$24)*1.1</f>
        <v>127713.65200000002</v>
      </c>
      <c r="O260" s="25">
        <f t="shared" ca="1" si="10"/>
        <v>0</v>
      </c>
      <c r="P260" s="25">
        <f t="shared" ca="1" si="11"/>
        <v>0</v>
      </c>
    </row>
    <row r="261" spans="12:16" s="23" customFormat="1" ht="13.8">
      <c r="L261" s="23">
        <v>258</v>
      </c>
      <c r="M261" s="23">
        <f ca="1"/>
        <v>146045.30646251532</v>
      </c>
      <c r="N261" s="25">
        <f t="shared" si="12"/>
        <v>127713.65200000002</v>
      </c>
      <c r="O261" s="25">
        <f t="shared" ref="O261:O324" ca="1" si="13">IF(M261&lt;N261,1,0)</f>
        <v>0</v>
      </c>
      <c r="P261" s="25">
        <f t="shared" ref="P261:P324" ca="1" si="14">MAX((N261-M261)/N261,0)</f>
        <v>0</v>
      </c>
    </row>
    <row r="262" spans="12:16" s="23" customFormat="1" ht="13.8">
      <c r="L262" s="33">
        <v>259</v>
      </c>
      <c r="M262" s="23">
        <f ca="1"/>
        <v>258783.45306384127</v>
      </c>
      <c r="N262" s="25">
        <f t="shared" si="12"/>
        <v>127713.65200000002</v>
      </c>
      <c r="O262" s="25">
        <f t="shared" ca="1" si="13"/>
        <v>0</v>
      </c>
      <c r="P262" s="25">
        <f t="shared" ca="1" si="14"/>
        <v>0</v>
      </c>
    </row>
    <row r="263" spans="12:16" s="23" customFormat="1" ht="13.8">
      <c r="L263" s="23">
        <v>260</v>
      </c>
      <c r="M263" s="23">
        <f ca="1"/>
        <v>200851.88513427216</v>
      </c>
      <c r="N263" s="25">
        <f t="shared" si="12"/>
        <v>127713.65200000002</v>
      </c>
      <c r="O263" s="25">
        <f t="shared" ca="1" si="13"/>
        <v>0</v>
      </c>
      <c r="P263" s="25">
        <f t="shared" ca="1" si="14"/>
        <v>0</v>
      </c>
    </row>
    <row r="264" spans="12:16" s="23" customFormat="1" ht="13.8">
      <c r="L264" s="33">
        <v>261</v>
      </c>
      <c r="M264" s="23">
        <f ca="1"/>
        <v>139341.86703084773</v>
      </c>
      <c r="N264" s="25">
        <f t="shared" si="12"/>
        <v>127713.65200000002</v>
      </c>
      <c r="O264" s="25">
        <f t="shared" ca="1" si="13"/>
        <v>0</v>
      </c>
      <c r="P264" s="25">
        <f t="shared" ca="1" si="14"/>
        <v>0</v>
      </c>
    </row>
    <row r="265" spans="12:16" s="23" customFormat="1" ht="13.8">
      <c r="L265" s="23">
        <v>262</v>
      </c>
      <c r="M265" s="23">
        <f ca="1"/>
        <v>119867.3500507585</v>
      </c>
      <c r="N265" s="25">
        <f t="shared" si="12"/>
        <v>127713.65200000002</v>
      </c>
      <c r="O265" s="25">
        <f t="shared" ca="1" si="13"/>
        <v>1</v>
      </c>
      <c r="P265" s="25">
        <f t="shared" ca="1" si="14"/>
        <v>6.1436673576929099E-2</v>
      </c>
    </row>
    <row r="266" spans="12:16" s="23" customFormat="1" ht="13.8">
      <c r="L266" s="33">
        <v>263</v>
      </c>
      <c r="M266" s="23">
        <f ca="1"/>
        <v>192941.47803578863</v>
      </c>
      <c r="N266" s="25">
        <f t="shared" si="12"/>
        <v>127713.65200000002</v>
      </c>
      <c r="O266" s="25">
        <f t="shared" ca="1" si="13"/>
        <v>0</v>
      </c>
      <c r="P266" s="25">
        <f t="shared" ca="1" si="14"/>
        <v>0</v>
      </c>
    </row>
    <row r="267" spans="12:16" s="23" customFormat="1" ht="13.8">
      <c r="L267" s="23">
        <v>264</v>
      </c>
      <c r="M267" s="23">
        <f ca="1"/>
        <v>268629.35355753021</v>
      </c>
      <c r="N267" s="25">
        <f t="shared" si="12"/>
        <v>127713.65200000002</v>
      </c>
      <c r="O267" s="25">
        <f t="shared" ca="1" si="13"/>
        <v>0</v>
      </c>
      <c r="P267" s="25">
        <f t="shared" ca="1" si="14"/>
        <v>0</v>
      </c>
    </row>
    <row r="268" spans="12:16" s="23" customFormat="1" ht="13.8">
      <c r="L268" s="33">
        <v>265</v>
      </c>
      <c r="M268" s="23">
        <f ca="1"/>
        <v>264364.80147895601</v>
      </c>
      <c r="N268" s="25">
        <f t="shared" si="12"/>
        <v>127713.65200000002</v>
      </c>
      <c r="O268" s="25">
        <f t="shared" ca="1" si="13"/>
        <v>0</v>
      </c>
      <c r="P268" s="25">
        <f t="shared" ca="1" si="14"/>
        <v>0</v>
      </c>
    </row>
    <row r="269" spans="12:16" s="23" customFormat="1" ht="13.8">
      <c r="L269" s="23">
        <v>266</v>
      </c>
      <c r="M269" s="23">
        <f ca="1"/>
        <v>170814.32430002608</v>
      </c>
      <c r="N269" s="25">
        <f t="shared" si="12"/>
        <v>127713.65200000002</v>
      </c>
      <c r="O269" s="25">
        <f t="shared" ca="1" si="13"/>
        <v>0</v>
      </c>
      <c r="P269" s="25">
        <f t="shared" ca="1" si="14"/>
        <v>0</v>
      </c>
    </row>
    <row r="270" spans="12:16" s="23" customFormat="1" ht="13.8">
      <c r="L270" s="33">
        <v>267</v>
      </c>
      <c r="M270" s="23">
        <f ca="1"/>
        <v>90787.580989531984</v>
      </c>
      <c r="N270" s="25">
        <f t="shared" si="12"/>
        <v>127713.65200000002</v>
      </c>
      <c r="O270" s="25">
        <f t="shared" ca="1" si="13"/>
        <v>1</v>
      </c>
      <c r="P270" s="25">
        <f t="shared" ca="1" si="14"/>
        <v>0.28913174458802593</v>
      </c>
    </row>
    <row r="271" spans="12:16" s="23" customFormat="1" ht="13.8">
      <c r="L271" s="23">
        <v>268</v>
      </c>
      <c r="M271" s="23">
        <f ca="1"/>
        <v>204855.74233194831</v>
      </c>
      <c r="N271" s="25">
        <f t="shared" si="12"/>
        <v>127713.65200000002</v>
      </c>
      <c r="O271" s="25">
        <f t="shared" ca="1" si="13"/>
        <v>0</v>
      </c>
      <c r="P271" s="25">
        <f t="shared" ca="1" si="14"/>
        <v>0</v>
      </c>
    </row>
    <row r="272" spans="12:16" s="23" customFormat="1" ht="13.8">
      <c r="L272" s="33">
        <v>269</v>
      </c>
      <c r="M272" s="23">
        <f ca="1"/>
        <v>278523.50190264953</v>
      </c>
      <c r="N272" s="25">
        <f t="shared" si="12"/>
        <v>127713.65200000002</v>
      </c>
      <c r="O272" s="25">
        <f t="shared" ca="1" si="13"/>
        <v>0</v>
      </c>
      <c r="P272" s="25">
        <f t="shared" ca="1" si="14"/>
        <v>0</v>
      </c>
    </row>
    <row r="273" spans="12:16" s="23" customFormat="1" ht="13.8">
      <c r="L273" s="23">
        <v>270</v>
      </c>
      <c r="M273" s="23">
        <f ca="1"/>
        <v>196388.22216608937</v>
      </c>
      <c r="N273" s="25">
        <f t="shared" si="12"/>
        <v>127713.65200000002</v>
      </c>
      <c r="O273" s="25">
        <f t="shared" ca="1" si="13"/>
        <v>0</v>
      </c>
      <c r="P273" s="25">
        <f t="shared" ca="1" si="14"/>
        <v>0</v>
      </c>
    </row>
    <row r="274" spans="12:16" s="23" customFormat="1" ht="13.8">
      <c r="L274" s="33">
        <v>271</v>
      </c>
      <c r="M274" s="23">
        <f ca="1"/>
        <v>172520.36087960971</v>
      </c>
      <c r="N274" s="25">
        <f t="shared" si="12"/>
        <v>127713.65200000002</v>
      </c>
      <c r="O274" s="25">
        <f t="shared" ca="1" si="13"/>
        <v>0</v>
      </c>
      <c r="P274" s="25">
        <f t="shared" ca="1" si="14"/>
        <v>0</v>
      </c>
    </row>
    <row r="275" spans="12:16" s="23" customFormat="1" ht="13.8">
      <c r="L275" s="23">
        <v>272</v>
      </c>
      <c r="M275" s="23">
        <f ca="1"/>
        <v>197861.03581342558</v>
      </c>
      <c r="N275" s="25">
        <f t="shared" si="12"/>
        <v>127713.65200000002</v>
      </c>
      <c r="O275" s="25">
        <f t="shared" ca="1" si="13"/>
        <v>0</v>
      </c>
      <c r="P275" s="25">
        <f t="shared" ca="1" si="14"/>
        <v>0</v>
      </c>
    </row>
    <row r="276" spans="12:16" s="23" customFormat="1" ht="13.8">
      <c r="L276" s="33">
        <v>273</v>
      </c>
      <c r="M276" s="23">
        <f ca="1"/>
        <v>138519.13976158213</v>
      </c>
      <c r="N276" s="25">
        <f t="shared" si="12"/>
        <v>127713.65200000002</v>
      </c>
      <c r="O276" s="25">
        <f t="shared" ca="1" si="13"/>
        <v>0</v>
      </c>
      <c r="P276" s="25">
        <f t="shared" ca="1" si="14"/>
        <v>0</v>
      </c>
    </row>
    <row r="277" spans="12:16" s="23" customFormat="1" ht="13.8">
      <c r="L277" s="23">
        <v>274</v>
      </c>
      <c r="M277" s="23">
        <f ca="1"/>
        <v>149102.3890678148</v>
      </c>
      <c r="N277" s="25">
        <f t="shared" si="12"/>
        <v>127713.65200000002</v>
      </c>
      <c r="O277" s="25">
        <f t="shared" ca="1" si="13"/>
        <v>0</v>
      </c>
      <c r="P277" s="25">
        <f t="shared" ca="1" si="14"/>
        <v>0</v>
      </c>
    </row>
    <row r="278" spans="12:16" s="23" customFormat="1" ht="13.8">
      <c r="L278" s="33">
        <v>275</v>
      </c>
      <c r="M278" s="23">
        <f ca="1"/>
        <v>154768.23607211449</v>
      </c>
      <c r="N278" s="25">
        <f t="shared" si="12"/>
        <v>127713.65200000002</v>
      </c>
      <c r="O278" s="25">
        <f t="shared" ca="1" si="13"/>
        <v>0</v>
      </c>
      <c r="P278" s="25">
        <f t="shared" ca="1" si="14"/>
        <v>0</v>
      </c>
    </row>
    <row r="279" spans="12:16" s="23" customFormat="1" ht="13.8">
      <c r="L279" s="23">
        <v>276</v>
      </c>
      <c r="M279" s="23">
        <f ca="1"/>
        <v>191767.06629062805</v>
      </c>
      <c r="N279" s="25">
        <f t="shared" si="12"/>
        <v>127713.65200000002</v>
      </c>
      <c r="O279" s="25">
        <f t="shared" ca="1" si="13"/>
        <v>0</v>
      </c>
      <c r="P279" s="25">
        <f t="shared" ca="1" si="14"/>
        <v>0</v>
      </c>
    </row>
    <row r="280" spans="12:16" s="23" customFormat="1" ht="13.8">
      <c r="L280" s="33">
        <v>277</v>
      </c>
      <c r="M280" s="23">
        <f ca="1"/>
        <v>220653.7063616908</v>
      </c>
      <c r="N280" s="25">
        <f t="shared" si="12"/>
        <v>127713.65200000002</v>
      </c>
      <c r="O280" s="25">
        <f t="shared" ca="1" si="13"/>
        <v>0</v>
      </c>
      <c r="P280" s="25">
        <f t="shared" ca="1" si="14"/>
        <v>0</v>
      </c>
    </row>
    <row r="281" spans="12:16" s="23" customFormat="1" ht="13.8">
      <c r="L281" s="23">
        <v>278</v>
      </c>
      <c r="M281" s="23">
        <f ca="1"/>
        <v>142823.75550032122</v>
      </c>
      <c r="N281" s="25">
        <f t="shared" si="12"/>
        <v>127713.65200000002</v>
      </c>
      <c r="O281" s="25">
        <f t="shared" ca="1" si="13"/>
        <v>0</v>
      </c>
      <c r="P281" s="25">
        <f t="shared" ca="1" si="14"/>
        <v>0</v>
      </c>
    </row>
    <row r="282" spans="12:16" s="23" customFormat="1" ht="13.8">
      <c r="L282" s="33">
        <v>279</v>
      </c>
      <c r="M282" s="23">
        <f ca="1"/>
        <v>168354.53942120116</v>
      </c>
      <c r="N282" s="25">
        <f t="shared" si="12"/>
        <v>127713.65200000002</v>
      </c>
      <c r="O282" s="25">
        <f t="shared" ca="1" si="13"/>
        <v>0</v>
      </c>
      <c r="P282" s="25">
        <f t="shared" ca="1" si="14"/>
        <v>0</v>
      </c>
    </row>
    <row r="283" spans="12:16" s="23" customFormat="1" ht="13.8">
      <c r="L283" s="23">
        <v>280</v>
      </c>
      <c r="M283" s="23">
        <f ca="1"/>
        <v>244287.25687928434</v>
      </c>
      <c r="N283" s="25">
        <f t="shared" si="12"/>
        <v>127713.65200000002</v>
      </c>
      <c r="O283" s="25">
        <f t="shared" ca="1" si="13"/>
        <v>0</v>
      </c>
      <c r="P283" s="25">
        <f t="shared" ca="1" si="14"/>
        <v>0</v>
      </c>
    </row>
    <row r="284" spans="12:16" s="23" customFormat="1" ht="13.8">
      <c r="L284" s="33">
        <v>281</v>
      </c>
      <c r="M284" s="23">
        <f ca="1"/>
        <v>141633.72303517279</v>
      </c>
      <c r="N284" s="25">
        <f t="shared" si="12"/>
        <v>127713.65200000002</v>
      </c>
      <c r="O284" s="25">
        <f t="shared" ca="1" si="13"/>
        <v>0</v>
      </c>
      <c r="P284" s="25">
        <f t="shared" ca="1" si="14"/>
        <v>0</v>
      </c>
    </row>
    <row r="285" spans="12:16" s="23" customFormat="1" ht="13.8">
      <c r="L285" s="23">
        <v>282</v>
      </c>
      <c r="M285" s="23">
        <f ca="1"/>
        <v>232560.57395290083</v>
      </c>
      <c r="N285" s="25">
        <f t="shared" si="12"/>
        <v>127713.65200000002</v>
      </c>
      <c r="O285" s="25">
        <f t="shared" ca="1" si="13"/>
        <v>0</v>
      </c>
      <c r="P285" s="25">
        <f t="shared" ca="1" si="14"/>
        <v>0</v>
      </c>
    </row>
    <row r="286" spans="12:16" s="23" customFormat="1" ht="13.8">
      <c r="L286" s="33">
        <v>283</v>
      </c>
      <c r="M286" s="23">
        <f ca="1"/>
        <v>143491.32487593408</v>
      </c>
      <c r="N286" s="25">
        <f t="shared" si="12"/>
        <v>127713.65200000002</v>
      </c>
      <c r="O286" s="25">
        <f t="shared" ca="1" si="13"/>
        <v>0</v>
      </c>
      <c r="P286" s="25">
        <f t="shared" ca="1" si="14"/>
        <v>0</v>
      </c>
    </row>
    <row r="287" spans="12:16" s="23" customFormat="1" ht="13.8">
      <c r="L287" s="23">
        <v>284</v>
      </c>
      <c r="M287" s="23">
        <f ca="1"/>
        <v>88925.464926117042</v>
      </c>
      <c r="N287" s="25">
        <f t="shared" si="12"/>
        <v>127713.65200000002</v>
      </c>
      <c r="O287" s="25">
        <f t="shared" ca="1" si="13"/>
        <v>1</v>
      </c>
      <c r="P287" s="25">
        <f t="shared" ca="1" si="14"/>
        <v>0.30371214405397295</v>
      </c>
    </row>
    <row r="288" spans="12:16" s="23" customFormat="1" ht="13.8">
      <c r="L288" s="33">
        <v>285</v>
      </c>
      <c r="M288" s="23">
        <f ca="1"/>
        <v>142998.10289584362</v>
      </c>
      <c r="N288" s="25">
        <f t="shared" si="12"/>
        <v>127713.65200000002</v>
      </c>
      <c r="O288" s="25">
        <f t="shared" ca="1" si="13"/>
        <v>0</v>
      </c>
      <c r="P288" s="25">
        <f t="shared" ca="1" si="14"/>
        <v>0</v>
      </c>
    </row>
    <row r="289" spans="12:16" s="23" customFormat="1" ht="13.8">
      <c r="L289" s="23">
        <v>286</v>
      </c>
      <c r="M289" s="23">
        <f ca="1"/>
        <v>127863.86512054053</v>
      </c>
      <c r="N289" s="25">
        <f t="shared" si="12"/>
        <v>127713.65200000002</v>
      </c>
      <c r="O289" s="25">
        <f t="shared" ca="1" si="13"/>
        <v>0</v>
      </c>
      <c r="P289" s="25">
        <f t="shared" ca="1" si="14"/>
        <v>0</v>
      </c>
    </row>
    <row r="290" spans="12:16" s="23" customFormat="1" ht="13.8">
      <c r="L290" s="33">
        <v>287</v>
      </c>
      <c r="M290" s="23">
        <f ca="1"/>
        <v>148638.79023519385</v>
      </c>
      <c r="N290" s="25">
        <f t="shared" si="12"/>
        <v>127713.65200000002</v>
      </c>
      <c r="O290" s="25">
        <f t="shared" ca="1" si="13"/>
        <v>0</v>
      </c>
      <c r="P290" s="25">
        <f t="shared" ca="1" si="14"/>
        <v>0</v>
      </c>
    </row>
    <row r="291" spans="12:16" s="23" customFormat="1" ht="13.8">
      <c r="L291" s="23">
        <v>288</v>
      </c>
      <c r="M291" s="23">
        <f ca="1"/>
        <v>248135.83363611059</v>
      </c>
      <c r="N291" s="25">
        <f t="shared" si="12"/>
        <v>127713.65200000002</v>
      </c>
      <c r="O291" s="25">
        <f t="shared" ca="1" si="13"/>
        <v>0</v>
      </c>
      <c r="P291" s="25">
        <f t="shared" ca="1" si="14"/>
        <v>0</v>
      </c>
    </row>
    <row r="292" spans="12:16" s="23" customFormat="1" ht="13.8">
      <c r="L292" s="33">
        <v>289</v>
      </c>
      <c r="M292" s="23">
        <f ca="1"/>
        <v>128519.56135351323</v>
      </c>
      <c r="N292" s="25">
        <f t="shared" si="12"/>
        <v>127713.65200000002</v>
      </c>
      <c r="O292" s="25">
        <f t="shared" ca="1" si="13"/>
        <v>0</v>
      </c>
      <c r="P292" s="25">
        <f t="shared" ca="1" si="14"/>
        <v>0</v>
      </c>
    </row>
    <row r="293" spans="12:16" s="23" customFormat="1" ht="13.8">
      <c r="L293" s="23">
        <v>290</v>
      </c>
      <c r="M293" s="23">
        <f ca="1"/>
        <v>214675.92834975626</v>
      </c>
      <c r="N293" s="25">
        <f t="shared" si="12"/>
        <v>127713.65200000002</v>
      </c>
      <c r="O293" s="25">
        <f t="shared" ca="1" si="13"/>
        <v>0</v>
      </c>
      <c r="P293" s="25">
        <f t="shared" ca="1" si="14"/>
        <v>0</v>
      </c>
    </row>
    <row r="294" spans="12:16" s="23" customFormat="1" ht="13.8">
      <c r="L294" s="33">
        <v>291</v>
      </c>
      <c r="M294" s="23">
        <f ca="1"/>
        <v>262446.75036562391</v>
      </c>
      <c r="N294" s="25">
        <f t="shared" si="12"/>
        <v>127713.65200000002</v>
      </c>
      <c r="O294" s="25">
        <f t="shared" ca="1" si="13"/>
        <v>0</v>
      </c>
      <c r="P294" s="25">
        <f t="shared" ca="1" si="14"/>
        <v>0</v>
      </c>
    </row>
    <row r="295" spans="12:16" s="23" customFormat="1" ht="13.8">
      <c r="L295" s="23">
        <v>292</v>
      </c>
      <c r="M295" s="23">
        <f ca="1"/>
        <v>297034.42044698639</v>
      </c>
      <c r="N295" s="25">
        <f t="shared" si="12"/>
        <v>127713.65200000002</v>
      </c>
      <c r="O295" s="25">
        <f t="shared" ca="1" si="13"/>
        <v>0</v>
      </c>
      <c r="P295" s="25">
        <f t="shared" ca="1" si="14"/>
        <v>0</v>
      </c>
    </row>
    <row r="296" spans="12:16" s="23" customFormat="1" ht="13.8">
      <c r="L296" s="33">
        <v>293</v>
      </c>
      <c r="M296" s="23">
        <f ca="1"/>
        <v>142663.04051015142</v>
      </c>
      <c r="N296" s="25">
        <f t="shared" si="12"/>
        <v>127713.65200000002</v>
      </c>
      <c r="O296" s="25">
        <f t="shared" ca="1" si="13"/>
        <v>0</v>
      </c>
      <c r="P296" s="25">
        <f t="shared" ca="1" si="14"/>
        <v>0</v>
      </c>
    </row>
    <row r="297" spans="12:16" s="23" customFormat="1" ht="13.8">
      <c r="L297" s="23">
        <v>294</v>
      </c>
      <c r="M297" s="23">
        <f ca="1"/>
        <v>224522.54681257292</v>
      </c>
      <c r="N297" s="25">
        <f t="shared" si="12"/>
        <v>127713.65200000002</v>
      </c>
      <c r="O297" s="25">
        <f t="shared" ca="1" si="13"/>
        <v>0</v>
      </c>
      <c r="P297" s="25">
        <f t="shared" ca="1" si="14"/>
        <v>0</v>
      </c>
    </row>
    <row r="298" spans="12:16" s="23" customFormat="1" ht="13.8">
      <c r="L298" s="33">
        <v>295</v>
      </c>
      <c r="M298" s="23">
        <f ca="1"/>
        <v>207896.23894786963</v>
      </c>
      <c r="N298" s="25">
        <f t="shared" si="12"/>
        <v>127713.65200000002</v>
      </c>
      <c r="O298" s="25">
        <f t="shared" ca="1" si="13"/>
        <v>0</v>
      </c>
      <c r="P298" s="25">
        <f t="shared" ca="1" si="14"/>
        <v>0</v>
      </c>
    </row>
    <row r="299" spans="12:16" s="23" customFormat="1" ht="13.8">
      <c r="L299" s="23">
        <v>296</v>
      </c>
      <c r="M299" s="23">
        <f ca="1"/>
        <v>182877.10734097782</v>
      </c>
      <c r="N299" s="25">
        <f t="shared" si="12"/>
        <v>127713.65200000002</v>
      </c>
      <c r="O299" s="25">
        <f t="shared" ca="1" si="13"/>
        <v>0</v>
      </c>
      <c r="P299" s="25">
        <f t="shared" ca="1" si="14"/>
        <v>0</v>
      </c>
    </row>
    <row r="300" spans="12:16" s="23" customFormat="1" ht="13.8">
      <c r="L300" s="33">
        <v>297</v>
      </c>
      <c r="M300" s="23">
        <f ca="1"/>
        <v>164586.64296344388</v>
      </c>
      <c r="N300" s="25">
        <f t="shared" si="12"/>
        <v>127713.65200000002</v>
      </c>
      <c r="O300" s="25">
        <f t="shared" ca="1" si="13"/>
        <v>0</v>
      </c>
      <c r="P300" s="25">
        <f t="shared" ca="1" si="14"/>
        <v>0</v>
      </c>
    </row>
    <row r="301" spans="12:16" s="23" customFormat="1" ht="13.8">
      <c r="L301" s="23">
        <v>298</v>
      </c>
      <c r="M301" s="23">
        <f ca="1"/>
        <v>151230.33306364005</v>
      </c>
      <c r="N301" s="25">
        <f t="shared" si="12"/>
        <v>127713.65200000002</v>
      </c>
      <c r="O301" s="25">
        <f t="shared" ca="1" si="13"/>
        <v>0</v>
      </c>
      <c r="P301" s="25">
        <f t="shared" ca="1" si="14"/>
        <v>0</v>
      </c>
    </row>
    <row r="302" spans="12:16" s="23" customFormat="1" ht="13.8">
      <c r="L302" s="33">
        <v>299</v>
      </c>
      <c r="M302" s="23">
        <f ca="1"/>
        <v>217164.35190476431</v>
      </c>
      <c r="N302" s="25">
        <f t="shared" si="12"/>
        <v>127713.65200000002</v>
      </c>
      <c r="O302" s="25">
        <f t="shared" ca="1" si="13"/>
        <v>0</v>
      </c>
      <c r="P302" s="25">
        <f t="shared" ca="1" si="14"/>
        <v>0</v>
      </c>
    </row>
    <row r="303" spans="12:16" s="23" customFormat="1" ht="13.8">
      <c r="L303" s="23">
        <v>300</v>
      </c>
      <c r="M303" s="23">
        <f ca="1"/>
        <v>208736.30611244644</v>
      </c>
      <c r="N303" s="25">
        <f t="shared" si="12"/>
        <v>127713.65200000002</v>
      </c>
      <c r="O303" s="25">
        <f t="shared" ca="1" si="13"/>
        <v>0</v>
      </c>
      <c r="P303" s="25">
        <f t="shared" ca="1" si="14"/>
        <v>0</v>
      </c>
    </row>
    <row r="304" spans="12:16" s="23" customFormat="1" ht="13.8">
      <c r="L304" s="33">
        <v>301</v>
      </c>
      <c r="M304" s="23">
        <f ca="1"/>
        <v>38014.948629146144</v>
      </c>
      <c r="N304" s="25">
        <f t="shared" si="12"/>
        <v>127713.65200000002</v>
      </c>
      <c r="O304" s="25">
        <f t="shared" ca="1" si="13"/>
        <v>1</v>
      </c>
      <c r="P304" s="25">
        <f t="shared" ca="1" si="14"/>
        <v>0.70234232571200661</v>
      </c>
    </row>
    <row r="305" spans="12:16" s="23" customFormat="1" ht="13.8">
      <c r="L305" s="23">
        <v>302</v>
      </c>
      <c r="M305" s="23">
        <f ca="1"/>
        <v>165146.65758096846</v>
      </c>
      <c r="N305" s="25">
        <f t="shared" si="12"/>
        <v>127713.65200000002</v>
      </c>
      <c r="O305" s="25">
        <f t="shared" ca="1" si="13"/>
        <v>0</v>
      </c>
      <c r="P305" s="25">
        <f t="shared" ca="1" si="14"/>
        <v>0</v>
      </c>
    </row>
    <row r="306" spans="12:16" s="23" customFormat="1" ht="13.8">
      <c r="L306" s="33">
        <v>303</v>
      </c>
      <c r="M306" s="23">
        <f ca="1"/>
        <v>84670.275848496516</v>
      </c>
      <c r="N306" s="25">
        <f t="shared" si="12"/>
        <v>127713.65200000002</v>
      </c>
      <c r="O306" s="25">
        <f t="shared" ca="1" si="13"/>
        <v>1</v>
      </c>
      <c r="P306" s="25">
        <f t="shared" ca="1" si="14"/>
        <v>0.337030344661223</v>
      </c>
    </row>
    <row r="307" spans="12:16" s="23" customFormat="1" ht="13.8">
      <c r="L307" s="23">
        <v>304</v>
      </c>
      <c r="M307" s="23">
        <f ca="1"/>
        <v>194537.81505063624</v>
      </c>
      <c r="N307" s="25">
        <f t="shared" si="12"/>
        <v>127713.65200000002</v>
      </c>
      <c r="O307" s="25">
        <f t="shared" ca="1" si="13"/>
        <v>0</v>
      </c>
      <c r="P307" s="25">
        <f t="shared" ca="1" si="14"/>
        <v>0</v>
      </c>
    </row>
    <row r="308" spans="12:16" s="23" customFormat="1" ht="13.8">
      <c r="L308" s="33">
        <v>305</v>
      </c>
      <c r="M308" s="23">
        <f ca="1"/>
        <v>199942.26531509959</v>
      </c>
      <c r="N308" s="25">
        <f t="shared" si="12"/>
        <v>127713.65200000002</v>
      </c>
      <c r="O308" s="25">
        <f t="shared" ca="1" si="13"/>
        <v>0</v>
      </c>
      <c r="P308" s="25">
        <f t="shared" ca="1" si="14"/>
        <v>0</v>
      </c>
    </row>
    <row r="309" spans="12:16" s="23" customFormat="1" ht="13.8">
      <c r="L309" s="23">
        <v>306</v>
      </c>
      <c r="M309" s="23">
        <f ca="1"/>
        <v>209298.50676342405</v>
      </c>
      <c r="N309" s="25">
        <f t="shared" si="12"/>
        <v>127713.65200000002</v>
      </c>
      <c r="O309" s="25">
        <f t="shared" ca="1" si="13"/>
        <v>0</v>
      </c>
      <c r="P309" s="25">
        <f t="shared" ca="1" si="14"/>
        <v>0</v>
      </c>
    </row>
    <row r="310" spans="12:16" s="23" customFormat="1" ht="13.8">
      <c r="L310" s="33">
        <v>307</v>
      </c>
      <c r="M310" s="23">
        <f ca="1"/>
        <v>202757.30331718264</v>
      </c>
      <c r="N310" s="25">
        <f t="shared" si="12"/>
        <v>127713.65200000002</v>
      </c>
      <c r="O310" s="25">
        <f t="shared" ca="1" si="13"/>
        <v>0</v>
      </c>
      <c r="P310" s="25">
        <f t="shared" ca="1" si="14"/>
        <v>0</v>
      </c>
    </row>
    <row r="311" spans="12:16" s="23" customFormat="1" ht="13.8">
      <c r="L311" s="23">
        <v>308</v>
      </c>
      <c r="M311" s="23">
        <f ca="1"/>
        <v>198831.41433079881</v>
      </c>
      <c r="N311" s="25">
        <f t="shared" si="12"/>
        <v>127713.65200000002</v>
      </c>
      <c r="O311" s="25">
        <f t="shared" ca="1" si="13"/>
        <v>0</v>
      </c>
      <c r="P311" s="25">
        <f t="shared" ca="1" si="14"/>
        <v>0</v>
      </c>
    </row>
    <row r="312" spans="12:16" s="23" customFormat="1" ht="13.8">
      <c r="L312" s="33">
        <v>309</v>
      </c>
      <c r="M312" s="23">
        <f ca="1"/>
        <v>222942.99068368081</v>
      </c>
      <c r="N312" s="25">
        <f t="shared" si="12"/>
        <v>127713.65200000002</v>
      </c>
      <c r="O312" s="25">
        <f t="shared" ca="1" si="13"/>
        <v>0</v>
      </c>
      <c r="P312" s="25">
        <f t="shared" ca="1" si="14"/>
        <v>0</v>
      </c>
    </row>
    <row r="313" spans="12:16" s="23" customFormat="1" ht="13.8">
      <c r="L313" s="23">
        <v>310</v>
      </c>
      <c r="M313" s="23">
        <f ca="1"/>
        <v>152699.78981687105</v>
      </c>
      <c r="N313" s="25">
        <f t="shared" si="12"/>
        <v>127713.65200000002</v>
      </c>
      <c r="O313" s="25">
        <f t="shared" ca="1" si="13"/>
        <v>0</v>
      </c>
      <c r="P313" s="25">
        <f t="shared" ca="1" si="14"/>
        <v>0</v>
      </c>
    </row>
    <row r="314" spans="12:16" s="23" customFormat="1" ht="13.8">
      <c r="L314" s="33">
        <v>311</v>
      </c>
      <c r="M314" s="23">
        <f ca="1"/>
        <v>167189.17713237781</v>
      </c>
      <c r="N314" s="25">
        <f t="shared" si="12"/>
        <v>127713.65200000002</v>
      </c>
      <c r="O314" s="25">
        <f t="shared" ca="1" si="13"/>
        <v>0</v>
      </c>
      <c r="P314" s="25">
        <f t="shared" ca="1" si="14"/>
        <v>0</v>
      </c>
    </row>
    <row r="315" spans="12:16" s="23" customFormat="1" ht="13.8">
      <c r="L315" s="23">
        <v>312</v>
      </c>
      <c r="M315" s="23">
        <f ca="1"/>
        <v>353376.63789063552</v>
      </c>
      <c r="N315" s="25">
        <f t="shared" si="12"/>
        <v>127713.65200000002</v>
      </c>
      <c r="O315" s="25">
        <f t="shared" ca="1" si="13"/>
        <v>0</v>
      </c>
      <c r="P315" s="25">
        <f t="shared" ca="1" si="14"/>
        <v>0</v>
      </c>
    </row>
    <row r="316" spans="12:16" s="23" customFormat="1" ht="13.8">
      <c r="L316" s="33">
        <v>313</v>
      </c>
      <c r="M316" s="23">
        <f ca="1"/>
        <v>288035.13937070005</v>
      </c>
      <c r="N316" s="25">
        <f t="shared" si="12"/>
        <v>127713.65200000002</v>
      </c>
      <c r="O316" s="25">
        <f t="shared" ca="1" si="13"/>
        <v>0</v>
      </c>
      <c r="P316" s="25">
        <f t="shared" ca="1" si="14"/>
        <v>0</v>
      </c>
    </row>
    <row r="317" spans="12:16" s="23" customFormat="1" ht="13.8">
      <c r="L317" s="23">
        <v>314</v>
      </c>
      <c r="M317" s="23">
        <f ca="1"/>
        <v>257265.11759354849</v>
      </c>
      <c r="N317" s="25">
        <f t="shared" si="12"/>
        <v>127713.65200000002</v>
      </c>
      <c r="O317" s="25">
        <f t="shared" ca="1" si="13"/>
        <v>0</v>
      </c>
      <c r="P317" s="25">
        <f t="shared" ca="1" si="14"/>
        <v>0</v>
      </c>
    </row>
    <row r="318" spans="12:16" s="23" customFormat="1" ht="13.8">
      <c r="L318" s="33">
        <v>315</v>
      </c>
      <c r="M318" s="23">
        <f ca="1"/>
        <v>321310.65739044081</v>
      </c>
      <c r="N318" s="25">
        <f t="shared" si="12"/>
        <v>127713.65200000002</v>
      </c>
      <c r="O318" s="25">
        <f t="shared" ca="1" si="13"/>
        <v>0</v>
      </c>
      <c r="P318" s="25">
        <f t="shared" ca="1" si="14"/>
        <v>0</v>
      </c>
    </row>
    <row r="319" spans="12:16" s="23" customFormat="1" ht="13.8">
      <c r="L319" s="23">
        <v>316</v>
      </c>
      <c r="M319" s="23">
        <f ca="1"/>
        <v>170791.1159066027</v>
      </c>
      <c r="N319" s="25">
        <f t="shared" si="12"/>
        <v>127713.65200000002</v>
      </c>
      <c r="O319" s="25">
        <f t="shared" ca="1" si="13"/>
        <v>0</v>
      </c>
      <c r="P319" s="25">
        <f t="shared" ca="1" si="14"/>
        <v>0</v>
      </c>
    </row>
    <row r="320" spans="12:16" s="23" customFormat="1" ht="13.8">
      <c r="L320" s="33">
        <v>317</v>
      </c>
      <c r="M320" s="23">
        <f ca="1"/>
        <v>37121.584087351737</v>
      </c>
      <c r="N320" s="25">
        <f t="shared" si="12"/>
        <v>127713.65200000002</v>
      </c>
      <c r="O320" s="25">
        <f t="shared" ca="1" si="13"/>
        <v>1</v>
      </c>
      <c r="P320" s="25">
        <f t="shared" ca="1" si="14"/>
        <v>0.709337384797737</v>
      </c>
    </row>
    <row r="321" spans="12:16" s="23" customFormat="1" ht="13.8">
      <c r="L321" s="23">
        <v>318</v>
      </c>
      <c r="M321" s="23">
        <f ca="1"/>
        <v>225896.57596523722</v>
      </c>
      <c r="N321" s="25">
        <f t="shared" si="12"/>
        <v>127713.65200000002</v>
      </c>
      <c r="O321" s="25">
        <f t="shared" ca="1" si="13"/>
        <v>0</v>
      </c>
      <c r="P321" s="25">
        <f t="shared" ca="1" si="14"/>
        <v>0</v>
      </c>
    </row>
    <row r="322" spans="12:16" s="23" customFormat="1" ht="13.8">
      <c r="L322" s="33">
        <v>319</v>
      </c>
      <c r="M322" s="23">
        <f ca="1"/>
        <v>106532.35629571168</v>
      </c>
      <c r="N322" s="25">
        <f t="shared" si="12"/>
        <v>127713.65200000002</v>
      </c>
      <c r="O322" s="25">
        <f t="shared" ca="1" si="13"/>
        <v>1</v>
      </c>
      <c r="P322" s="25">
        <f t="shared" ca="1" si="14"/>
        <v>0.16584989445206949</v>
      </c>
    </row>
    <row r="323" spans="12:16" s="23" customFormat="1" ht="13.8">
      <c r="L323" s="23">
        <v>320</v>
      </c>
      <c r="M323" s="23">
        <f ca="1"/>
        <v>181762.8934178082</v>
      </c>
      <c r="N323" s="25">
        <f t="shared" si="12"/>
        <v>127713.65200000002</v>
      </c>
      <c r="O323" s="25">
        <f t="shared" ca="1" si="13"/>
        <v>0</v>
      </c>
      <c r="P323" s="25">
        <f t="shared" ca="1" si="14"/>
        <v>0</v>
      </c>
    </row>
    <row r="324" spans="12:16" s="23" customFormat="1" ht="13.8">
      <c r="L324" s="33">
        <v>321</v>
      </c>
      <c r="M324" s="23">
        <f ca="1"/>
        <v>139381.57084785277</v>
      </c>
      <c r="N324" s="25">
        <f t="shared" ref="N324:N387" si="15">($C$24+$E$24)*1.1</f>
        <v>127713.65200000002</v>
      </c>
      <c r="O324" s="25">
        <f t="shared" ca="1" si="13"/>
        <v>0</v>
      </c>
      <c r="P324" s="25">
        <f t="shared" ca="1" si="14"/>
        <v>0</v>
      </c>
    </row>
    <row r="325" spans="12:16" s="23" customFormat="1" ht="13.8">
      <c r="L325" s="23">
        <v>322</v>
      </c>
      <c r="M325" s="23">
        <f ca="1"/>
        <v>101832.08695388267</v>
      </c>
      <c r="N325" s="25">
        <f t="shared" si="15"/>
        <v>127713.65200000002</v>
      </c>
      <c r="O325" s="25">
        <f t="shared" ref="O325:O388" ca="1" si="16">IF(M325&lt;N325,1,0)</f>
        <v>1</v>
      </c>
      <c r="P325" s="25">
        <f t="shared" ref="P325:P388" ca="1" si="17">MAX((N325-M325)/N325,0)</f>
        <v>0.20265308086340955</v>
      </c>
    </row>
    <row r="326" spans="12:16" s="23" customFormat="1" ht="13.8">
      <c r="L326" s="33">
        <v>323</v>
      </c>
      <c r="M326" s="23">
        <f ca="1"/>
        <v>114674.77201577889</v>
      </c>
      <c r="N326" s="25">
        <f t="shared" si="15"/>
        <v>127713.65200000002</v>
      </c>
      <c r="O326" s="25">
        <f t="shared" ca="1" si="16"/>
        <v>1</v>
      </c>
      <c r="P326" s="25">
        <f t="shared" ca="1" si="17"/>
        <v>0.10209464516934437</v>
      </c>
    </row>
    <row r="327" spans="12:16" s="23" customFormat="1" ht="13.8">
      <c r="L327" s="23">
        <v>324</v>
      </c>
      <c r="M327" s="23">
        <f ca="1"/>
        <v>29886.082524693196</v>
      </c>
      <c r="N327" s="25">
        <f t="shared" si="15"/>
        <v>127713.65200000002</v>
      </c>
      <c r="O327" s="25">
        <f t="shared" ca="1" si="16"/>
        <v>1</v>
      </c>
      <c r="P327" s="25">
        <f t="shared" ca="1" si="17"/>
        <v>0.76599148128116179</v>
      </c>
    </row>
    <row r="328" spans="12:16" s="23" customFormat="1" ht="13.8">
      <c r="L328" s="33">
        <v>325</v>
      </c>
      <c r="M328" s="23">
        <f ca="1"/>
        <v>141499.08236211972</v>
      </c>
      <c r="N328" s="25">
        <f t="shared" si="15"/>
        <v>127713.65200000002</v>
      </c>
      <c r="O328" s="25">
        <f t="shared" ca="1" si="16"/>
        <v>0</v>
      </c>
      <c r="P328" s="25">
        <f t="shared" ca="1" si="17"/>
        <v>0</v>
      </c>
    </row>
    <row r="329" spans="12:16" s="23" customFormat="1" ht="13.8">
      <c r="L329" s="23">
        <v>326</v>
      </c>
      <c r="M329" s="23">
        <f ca="1"/>
        <v>193303.97074334402</v>
      </c>
      <c r="N329" s="25">
        <f t="shared" si="15"/>
        <v>127713.65200000002</v>
      </c>
      <c r="O329" s="25">
        <f t="shared" ca="1" si="16"/>
        <v>0</v>
      </c>
      <c r="P329" s="25">
        <f t="shared" ca="1" si="17"/>
        <v>0</v>
      </c>
    </row>
    <row r="330" spans="12:16" s="23" customFormat="1" ht="13.8">
      <c r="L330" s="33">
        <v>327</v>
      </c>
      <c r="M330" s="23">
        <f ca="1"/>
        <v>128688.08012381317</v>
      </c>
      <c r="N330" s="25">
        <f t="shared" si="15"/>
        <v>127713.65200000002</v>
      </c>
      <c r="O330" s="25">
        <f t="shared" ca="1" si="16"/>
        <v>0</v>
      </c>
      <c r="P330" s="25">
        <f t="shared" ca="1" si="17"/>
        <v>0</v>
      </c>
    </row>
    <row r="331" spans="12:16" s="23" customFormat="1" ht="13.8">
      <c r="L331" s="23">
        <v>328</v>
      </c>
      <c r="M331" s="23">
        <f ca="1"/>
        <v>245284.48875607204</v>
      </c>
      <c r="N331" s="25">
        <f t="shared" si="15"/>
        <v>127713.65200000002</v>
      </c>
      <c r="O331" s="25">
        <f t="shared" ca="1" si="16"/>
        <v>0</v>
      </c>
      <c r="P331" s="25">
        <f t="shared" ca="1" si="17"/>
        <v>0</v>
      </c>
    </row>
    <row r="332" spans="12:16" s="23" customFormat="1" ht="13.8">
      <c r="L332" s="33">
        <v>329</v>
      </c>
      <c r="M332" s="23">
        <f ca="1"/>
        <v>179716.33993882799</v>
      </c>
      <c r="N332" s="25">
        <f t="shared" si="15"/>
        <v>127713.65200000002</v>
      </c>
      <c r="O332" s="25">
        <f t="shared" ca="1" si="16"/>
        <v>0</v>
      </c>
      <c r="P332" s="25">
        <f t="shared" ca="1" si="17"/>
        <v>0</v>
      </c>
    </row>
    <row r="333" spans="12:16" s="23" customFormat="1" ht="13.8">
      <c r="L333" s="23">
        <v>330</v>
      </c>
      <c r="M333" s="23">
        <f ca="1"/>
        <v>202485.75781964447</v>
      </c>
      <c r="N333" s="25">
        <f t="shared" si="15"/>
        <v>127713.65200000002</v>
      </c>
      <c r="O333" s="25">
        <f t="shared" ca="1" si="16"/>
        <v>0</v>
      </c>
      <c r="P333" s="25">
        <f t="shared" ca="1" si="17"/>
        <v>0</v>
      </c>
    </row>
    <row r="334" spans="12:16" s="23" customFormat="1" ht="13.8">
      <c r="L334" s="33">
        <v>331</v>
      </c>
      <c r="M334" s="23">
        <f ca="1"/>
        <v>120186.19511810568</v>
      </c>
      <c r="N334" s="25">
        <f t="shared" si="15"/>
        <v>127713.65200000002</v>
      </c>
      <c r="O334" s="25">
        <f t="shared" ca="1" si="16"/>
        <v>1</v>
      </c>
      <c r="P334" s="25">
        <f t="shared" ca="1" si="17"/>
        <v>5.8940111444736827E-2</v>
      </c>
    </row>
    <row r="335" spans="12:16" s="23" customFormat="1" ht="13.8">
      <c r="L335" s="23">
        <v>332</v>
      </c>
      <c r="M335" s="23">
        <f ca="1"/>
        <v>162022.48683864027</v>
      </c>
      <c r="N335" s="25">
        <f t="shared" si="15"/>
        <v>127713.65200000002</v>
      </c>
      <c r="O335" s="25">
        <f t="shared" ca="1" si="16"/>
        <v>0</v>
      </c>
      <c r="P335" s="25">
        <f t="shared" ca="1" si="17"/>
        <v>0</v>
      </c>
    </row>
    <row r="336" spans="12:16" s="23" customFormat="1" ht="13.8">
      <c r="L336" s="33">
        <v>333</v>
      </c>
      <c r="M336" s="23">
        <f ca="1"/>
        <v>130641.88218815539</v>
      </c>
      <c r="N336" s="25">
        <f t="shared" si="15"/>
        <v>127713.65200000002</v>
      </c>
      <c r="O336" s="25">
        <f t="shared" ca="1" si="16"/>
        <v>0</v>
      </c>
      <c r="P336" s="25">
        <f t="shared" ca="1" si="17"/>
        <v>0</v>
      </c>
    </row>
    <row r="337" spans="12:16" s="23" customFormat="1" ht="13.8">
      <c r="L337" s="23">
        <v>334</v>
      </c>
      <c r="M337" s="23">
        <f ca="1"/>
        <v>209810.27511605856</v>
      </c>
      <c r="N337" s="25">
        <f t="shared" si="15"/>
        <v>127713.65200000002</v>
      </c>
      <c r="O337" s="25">
        <f t="shared" ca="1" si="16"/>
        <v>0</v>
      </c>
      <c r="P337" s="25">
        <f t="shared" ca="1" si="17"/>
        <v>0</v>
      </c>
    </row>
    <row r="338" spans="12:16" s="23" customFormat="1" ht="13.8">
      <c r="L338" s="33">
        <v>335</v>
      </c>
      <c r="M338" s="23">
        <f ca="1"/>
        <v>206989.28217729236</v>
      </c>
      <c r="N338" s="25">
        <f t="shared" si="15"/>
        <v>127713.65200000002</v>
      </c>
      <c r="O338" s="25">
        <f t="shared" ca="1" si="16"/>
        <v>0</v>
      </c>
      <c r="P338" s="25">
        <f t="shared" ca="1" si="17"/>
        <v>0</v>
      </c>
    </row>
    <row r="339" spans="12:16" s="23" customFormat="1" ht="13.8">
      <c r="L339" s="23">
        <v>336</v>
      </c>
      <c r="M339" s="23">
        <f ca="1"/>
        <v>262708.84379733499</v>
      </c>
      <c r="N339" s="25">
        <f t="shared" si="15"/>
        <v>127713.65200000002</v>
      </c>
      <c r="O339" s="25">
        <f t="shared" ca="1" si="16"/>
        <v>0</v>
      </c>
      <c r="P339" s="25">
        <f t="shared" ca="1" si="17"/>
        <v>0</v>
      </c>
    </row>
    <row r="340" spans="12:16" s="23" customFormat="1" ht="13.8">
      <c r="L340" s="33">
        <v>337</v>
      </c>
      <c r="M340" s="23">
        <f ca="1"/>
        <v>136005.68897463763</v>
      </c>
      <c r="N340" s="25">
        <f t="shared" si="15"/>
        <v>127713.65200000002</v>
      </c>
      <c r="O340" s="25">
        <f t="shared" ca="1" si="16"/>
        <v>0</v>
      </c>
      <c r="P340" s="25">
        <f t="shared" ca="1" si="17"/>
        <v>0</v>
      </c>
    </row>
    <row r="341" spans="12:16" s="23" customFormat="1" ht="13.8">
      <c r="L341" s="23">
        <v>338</v>
      </c>
      <c r="M341" s="23">
        <f ca="1"/>
        <v>143102.08539639637</v>
      </c>
      <c r="N341" s="25">
        <f t="shared" si="15"/>
        <v>127713.65200000002</v>
      </c>
      <c r="O341" s="25">
        <f t="shared" ca="1" si="16"/>
        <v>0</v>
      </c>
      <c r="P341" s="25">
        <f t="shared" ca="1" si="17"/>
        <v>0</v>
      </c>
    </row>
    <row r="342" spans="12:16" s="23" customFormat="1" ht="13.8">
      <c r="L342" s="33">
        <v>339</v>
      </c>
      <c r="M342" s="23">
        <f ca="1"/>
        <v>201489.27797405358</v>
      </c>
      <c r="N342" s="25">
        <f t="shared" si="15"/>
        <v>127713.65200000002</v>
      </c>
      <c r="O342" s="25">
        <f t="shared" ca="1" si="16"/>
        <v>0</v>
      </c>
      <c r="P342" s="25">
        <f t="shared" ca="1" si="17"/>
        <v>0</v>
      </c>
    </row>
    <row r="343" spans="12:16" s="23" customFormat="1" ht="13.8">
      <c r="L343" s="23">
        <v>340</v>
      </c>
      <c r="M343" s="23">
        <f ca="1"/>
        <v>225642.18220235573</v>
      </c>
      <c r="N343" s="25">
        <f t="shared" si="15"/>
        <v>127713.65200000002</v>
      </c>
      <c r="O343" s="25">
        <f t="shared" ca="1" si="16"/>
        <v>0</v>
      </c>
      <c r="P343" s="25">
        <f t="shared" ca="1" si="17"/>
        <v>0</v>
      </c>
    </row>
    <row r="344" spans="12:16" s="23" customFormat="1" ht="13.8">
      <c r="L344" s="33">
        <v>341</v>
      </c>
      <c r="M344" s="23">
        <f ca="1"/>
        <v>227265.00076456834</v>
      </c>
      <c r="N344" s="25">
        <f t="shared" si="15"/>
        <v>127713.65200000002</v>
      </c>
      <c r="O344" s="25">
        <f t="shared" ca="1" si="16"/>
        <v>0</v>
      </c>
      <c r="P344" s="25">
        <f t="shared" ca="1" si="17"/>
        <v>0</v>
      </c>
    </row>
    <row r="345" spans="12:16" s="23" customFormat="1" ht="13.8">
      <c r="L345" s="23">
        <v>342</v>
      </c>
      <c r="M345" s="23">
        <f ca="1"/>
        <v>10680.048832665567</v>
      </c>
      <c r="N345" s="25">
        <f t="shared" si="15"/>
        <v>127713.65200000002</v>
      </c>
      <c r="O345" s="25">
        <f t="shared" ca="1" si="16"/>
        <v>1</v>
      </c>
      <c r="P345" s="25">
        <f t="shared" ca="1" si="17"/>
        <v>0.91637504162307126</v>
      </c>
    </row>
    <row r="346" spans="12:16" s="23" customFormat="1" ht="13.8">
      <c r="L346" s="33">
        <v>343</v>
      </c>
      <c r="M346" s="23">
        <f ca="1"/>
        <v>252414.62631364012</v>
      </c>
      <c r="N346" s="25">
        <f t="shared" si="15"/>
        <v>127713.65200000002</v>
      </c>
      <c r="O346" s="25">
        <f t="shared" ca="1" si="16"/>
        <v>0</v>
      </c>
      <c r="P346" s="25">
        <f t="shared" ca="1" si="17"/>
        <v>0</v>
      </c>
    </row>
    <row r="347" spans="12:16" s="23" customFormat="1" ht="13.8">
      <c r="L347" s="23">
        <v>344</v>
      </c>
      <c r="M347" s="23">
        <f ca="1"/>
        <v>57177.504555816158</v>
      </c>
      <c r="N347" s="25">
        <f t="shared" si="15"/>
        <v>127713.65200000002</v>
      </c>
      <c r="O347" s="25">
        <f t="shared" ca="1" si="16"/>
        <v>1</v>
      </c>
      <c r="P347" s="25">
        <f t="shared" ca="1" si="17"/>
        <v>0.55229919698940122</v>
      </c>
    </row>
    <row r="348" spans="12:16" s="23" customFormat="1" ht="13.8">
      <c r="L348" s="33">
        <v>345</v>
      </c>
      <c r="M348" s="23">
        <f ca="1"/>
        <v>207787.29751866931</v>
      </c>
      <c r="N348" s="25">
        <f t="shared" si="15"/>
        <v>127713.65200000002</v>
      </c>
      <c r="O348" s="25">
        <f t="shared" ca="1" si="16"/>
        <v>0</v>
      </c>
      <c r="P348" s="25">
        <f t="shared" ca="1" si="17"/>
        <v>0</v>
      </c>
    </row>
    <row r="349" spans="12:16" s="23" customFormat="1" ht="13.8">
      <c r="L349" s="23">
        <v>346</v>
      </c>
      <c r="M349" s="23">
        <f ca="1"/>
        <v>214932.74674698134</v>
      </c>
      <c r="N349" s="25">
        <f t="shared" si="15"/>
        <v>127713.65200000002</v>
      </c>
      <c r="O349" s="25">
        <f t="shared" ca="1" si="16"/>
        <v>0</v>
      </c>
      <c r="P349" s="25">
        <f t="shared" ca="1" si="17"/>
        <v>0</v>
      </c>
    </row>
    <row r="350" spans="12:16" s="23" customFormat="1" ht="13.8">
      <c r="L350" s="33">
        <v>347</v>
      </c>
      <c r="M350" s="23">
        <f ca="1"/>
        <v>130821.57576954582</v>
      </c>
      <c r="N350" s="25">
        <f t="shared" si="15"/>
        <v>127713.65200000002</v>
      </c>
      <c r="O350" s="25">
        <f t="shared" ca="1" si="16"/>
        <v>0</v>
      </c>
      <c r="P350" s="25">
        <f t="shared" ca="1" si="17"/>
        <v>0</v>
      </c>
    </row>
    <row r="351" spans="12:16" s="23" customFormat="1" ht="13.8">
      <c r="L351" s="23">
        <v>348</v>
      </c>
      <c r="M351" s="23">
        <f ca="1"/>
        <v>248914.53117920202</v>
      </c>
      <c r="N351" s="25">
        <f t="shared" si="15"/>
        <v>127713.65200000002</v>
      </c>
      <c r="O351" s="25">
        <f t="shared" ca="1" si="16"/>
        <v>0</v>
      </c>
      <c r="P351" s="25">
        <f t="shared" ca="1" si="17"/>
        <v>0</v>
      </c>
    </row>
    <row r="352" spans="12:16" s="23" customFormat="1" ht="13.8">
      <c r="L352" s="33">
        <v>349</v>
      </c>
      <c r="M352" s="23">
        <f ca="1"/>
        <v>229183.0024806193</v>
      </c>
      <c r="N352" s="25">
        <f t="shared" si="15"/>
        <v>127713.65200000002</v>
      </c>
      <c r="O352" s="25">
        <f t="shared" ca="1" si="16"/>
        <v>0</v>
      </c>
      <c r="P352" s="25">
        <f t="shared" ca="1" si="17"/>
        <v>0</v>
      </c>
    </row>
    <row r="353" spans="12:16" s="23" customFormat="1" ht="13.8">
      <c r="L353" s="23">
        <v>350</v>
      </c>
      <c r="M353" s="23">
        <f ca="1"/>
        <v>20729.69260376682</v>
      </c>
      <c r="N353" s="25">
        <f t="shared" si="15"/>
        <v>127713.65200000002</v>
      </c>
      <c r="O353" s="25">
        <f t="shared" ca="1" si="16"/>
        <v>1</v>
      </c>
      <c r="P353" s="25">
        <f t="shared" ca="1" si="17"/>
        <v>0.837686165267854</v>
      </c>
    </row>
    <row r="354" spans="12:16" s="23" customFormat="1" ht="13.8">
      <c r="L354" s="33">
        <v>351</v>
      </c>
      <c r="M354" s="23">
        <f ca="1"/>
        <v>179673.42229109132</v>
      </c>
      <c r="N354" s="25">
        <f t="shared" si="15"/>
        <v>127713.65200000002</v>
      </c>
      <c r="O354" s="25">
        <f t="shared" ca="1" si="16"/>
        <v>0</v>
      </c>
      <c r="P354" s="25">
        <f t="shared" ca="1" si="17"/>
        <v>0</v>
      </c>
    </row>
    <row r="355" spans="12:16" s="23" customFormat="1" ht="13.8">
      <c r="L355" s="23">
        <v>352</v>
      </c>
      <c r="M355" s="23">
        <f ca="1"/>
        <v>60445.381697274555</v>
      </c>
      <c r="N355" s="25">
        <f t="shared" si="15"/>
        <v>127713.65200000002</v>
      </c>
      <c r="O355" s="25">
        <f t="shared" ca="1" si="16"/>
        <v>1</v>
      </c>
      <c r="P355" s="25">
        <f t="shared" ca="1" si="17"/>
        <v>0.52671166511412149</v>
      </c>
    </row>
    <row r="356" spans="12:16" s="23" customFormat="1" ht="13.8">
      <c r="L356" s="33">
        <v>353</v>
      </c>
      <c r="M356" s="23">
        <f ca="1"/>
        <v>186831.05467480663</v>
      </c>
      <c r="N356" s="25">
        <f t="shared" si="15"/>
        <v>127713.65200000002</v>
      </c>
      <c r="O356" s="25">
        <f t="shared" ca="1" si="16"/>
        <v>0</v>
      </c>
      <c r="P356" s="25">
        <f t="shared" ca="1" si="17"/>
        <v>0</v>
      </c>
    </row>
    <row r="357" spans="12:16" s="23" customFormat="1" ht="13.8">
      <c r="L357" s="23">
        <v>354</v>
      </c>
      <c r="M357" s="23">
        <f ca="1"/>
        <v>159611.96241365041</v>
      </c>
      <c r="N357" s="25">
        <f t="shared" si="15"/>
        <v>127713.65200000002</v>
      </c>
      <c r="O357" s="25">
        <f t="shared" ca="1" si="16"/>
        <v>0</v>
      </c>
      <c r="P357" s="25">
        <f t="shared" ca="1" si="17"/>
        <v>0</v>
      </c>
    </row>
    <row r="358" spans="12:16" s="23" customFormat="1" ht="13.8">
      <c r="L358" s="33">
        <v>355</v>
      </c>
      <c r="M358" s="23">
        <f ca="1"/>
        <v>232834.79124207917</v>
      </c>
      <c r="N358" s="25">
        <f t="shared" si="15"/>
        <v>127713.65200000002</v>
      </c>
      <c r="O358" s="25">
        <f t="shared" ca="1" si="16"/>
        <v>0</v>
      </c>
      <c r="P358" s="25">
        <f t="shared" ca="1" si="17"/>
        <v>0</v>
      </c>
    </row>
    <row r="359" spans="12:16" s="23" customFormat="1" ht="13.8">
      <c r="L359" s="23">
        <v>356</v>
      </c>
      <c r="M359" s="23">
        <f ca="1"/>
        <v>250549.183947493</v>
      </c>
      <c r="N359" s="25">
        <f t="shared" si="15"/>
        <v>127713.65200000002</v>
      </c>
      <c r="O359" s="25">
        <f t="shared" ca="1" si="16"/>
        <v>0</v>
      </c>
      <c r="P359" s="25">
        <f t="shared" ca="1" si="17"/>
        <v>0</v>
      </c>
    </row>
    <row r="360" spans="12:16" s="23" customFormat="1" ht="13.8">
      <c r="L360" s="33">
        <v>357</v>
      </c>
      <c r="M360" s="23">
        <f ca="1"/>
        <v>227242.96823349688</v>
      </c>
      <c r="N360" s="25">
        <f t="shared" si="15"/>
        <v>127713.65200000002</v>
      </c>
      <c r="O360" s="25">
        <f t="shared" ca="1" si="16"/>
        <v>0</v>
      </c>
      <c r="P360" s="25">
        <f t="shared" ca="1" si="17"/>
        <v>0</v>
      </c>
    </row>
    <row r="361" spans="12:16" s="23" customFormat="1" ht="13.8">
      <c r="L361" s="23">
        <v>358</v>
      </c>
      <c r="M361" s="23">
        <f ca="1"/>
        <v>172944.85695094755</v>
      </c>
      <c r="N361" s="25">
        <f t="shared" si="15"/>
        <v>127713.65200000002</v>
      </c>
      <c r="O361" s="25">
        <f t="shared" ca="1" si="16"/>
        <v>0</v>
      </c>
      <c r="P361" s="25">
        <f t="shared" ca="1" si="17"/>
        <v>0</v>
      </c>
    </row>
    <row r="362" spans="12:16" s="23" customFormat="1" ht="13.8">
      <c r="L362" s="33">
        <v>359</v>
      </c>
      <c r="M362" s="23">
        <f ca="1"/>
        <v>172529.62346283899</v>
      </c>
      <c r="N362" s="25">
        <f t="shared" si="15"/>
        <v>127713.65200000002</v>
      </c>
      <c r="O362" s="25">
        <f t="shared" ca="1" si="16"/>
        <v>0</v>
      </c>
      <c r="P362" s="25">
        <f t="shared" ca="1" si="17"/>
        <v>0</v>
      </c>
    </row>
    <row r="363" spans="12:16" s="23" customFormat="1" ht="13.8">
      <c r="L363" s="23">
        <v>360</v>
      </c>
      <c r="M363" s="23">
        <f ca="1"/>
        <v>52030.691785619892</v>
      </c>
      <c r="N363" s="25">
        <f t="shared" si="15"/>
        <v>127713.65200000002</v>
      </c>
      <c r="O363" s="25">
        <f t="shared" ca="1" si="16"/>
        <v>1</v>
      </c>
      <c r="P363" s="25">
        <f t="shared" ca="1" si="17"/>
        <v>0.59259882580430878</v>
      </c>
    </row>
    <row r="364" spans="12:16" s="23" customFormat="1" ht="13.8">
      <c r="L364" s="33">
        <v>361</v>
      </c>
      <c r="M364" s="23">
        <f ca="1"/>
        <v>152188.50006544354</v>
      </c>
      <c r="N364" s="25">
        <f t="shared" si="15"/>
        <v>127713.65200000002</v>
      </c>
      <c r="O364" s="25">
        <f t="shared" ca="1" si="16"/>
        <v>0</v>
      </c>
      <c r="P364" s="25">
        <f t="shared" ca="1" si="17"/>
        <v>0</v>
      </c>
    </row>
    <row r="365" spans="12:16" s="23" customFormat="1" ht="13.8">
      <c r="L365" s="23">
        <v>362</v>
      </c>
      <c r="M365" s="23">
        <f ca="1"/>
        <v>168259.88575967745</v>
      </c>
      <c r="N365" s="25">
        <f t="shared" si="15"/>
        <v>127713.65200000002</v>
      </c>
      <c r="O365" s="25">
        <f t="shared" ca="1" si="16"/>
        <v>0</v>
      </c>
      <c r="P365" s="25">
        <f t="shared" ca="1" si="17"/>
        <v>0</v>
      </c>
    </row>
    <row r="366" spans="12:16" s="23" customFormat="1" ht="13.8">
      <c r="L366" s="33">
        <v>363</v>
      </c>
      <c r="M366" s="23">
        <f ca="1"/>
        <v>158100.85990143658</v>
      </c>
      <c r="N366" s="25">
        <f t="shared" si="15"/>
        <v>127713.65200000002</v>
      </c>
      <c r="O366" s="25">
        <f t="shared" ca="1" si="16"/>
        <v>0</v>
      </c>
      <c r="P366" s="25">
        <f t="shared" ca="1" si="17"/>
        <v>0</v>
      </c>
    </row>
    <row r="367" spans="12:16" s="23" customFormat="1" ht="13.8">
      <c r="L367" s="23">
        <v>364</v>
      </c>
      <c r="M367" s="23">
        <f ca="1"/>
        <v>145402.56181028928</v>
      </c>
      <c r="N367" s="25">
        <f t="shared" si="15"/>
        <v>127713.65200000002</v>
      </c>
      <c r="O367" s="25">
        <f t="shared" ca="1" si="16"/>
        <v>0</v>
      </c>
      <c r="P367" s="25">
        <f t="shared" ca="1" si="17"/>
        <v>0</v>
      </c>
    </row>
    <row r="368" spans="12:16" s="23" customFormat="1" ht="13.8">
      <c r="L368" s="33">
        <v>365</v>
      </c>
      <c r="M368" s="23">
        <f ca="1"/>
        <v>126841.68946714193</v>
      </c>
      <c r="N368" s="25">
        <f t="shared" si="15"/>
        <v>127713.65200000002</v>
      </c>
      <c r="O368" s="25">
        <f t="shared" ca="1" si="16"/>
        <v>1</v>
      </c>
      <c r="P368" s="25">
        <f t="shared" ca="1" si="17"/>
        <v>6.827481003033941E-3</v>
      </c>
    </row>
    <row r="369" spans="12:16" s="23" customFormat="1" ht="13.8">
      <c r="L369" s="23">
        <v>366</v>
      </c>
      <c r="M369" s="23">
        <f ca="1"/>
        <v>138440.49564769006</v>
      </c>
      <c r="N369" s="25">
        <f t="shared" si="15"/>
        <v>127713.65200000002</v>
      </c>
      <c r="O369" s="25">
        <f t="shared" ca="1" si="16"/>
        <v>0</v>
      </c>
      <c r="P369" s="25">
        <f t="shared" ca="1" si="17"/>
        <v>0</v>
      </c>
    </row>
    <row r="370" spans="12:16" s="23" customFormat="1" ht="13.8">
      <c r="L370" s="33">
        <v>367</v>
      </c>
      <c r="M370" s="23">
        <f ca="1"/>
        <v>178978.51344369637</v>
      </c>
      <c r="N370" s="25">
        <f t="shared" si="15"/>
        <v>127713.65200000002</v>
      </c>
      <c r="O370" s="25">
        <f t="shared" ca="1" si="16"/>
        <v>0</v>
      </c>
      <c r="P370" s="25">
        <f t="shared" ca="1" si="17"/>
        <v>0</v>
      </c>
    </row>
    <row r="371" spans="12:16" s="23" customFormat="1" ht="13.8">
      <c r="L371" s="23">
        <v>368</v>
      </c>
      <c r="M371" s="23">
        <f ca="1"/>
        <v>125918.84347438293</v>
      </c>
      <c r="N371" s="25">
        <f t="shared" si="15"/>
        <v>127713.65200000002</v>
      </c>
      <c r="O371" s="25">
        <f t="shared" ca="1" si="16"/>
        <v>1</v>
      </c>
      <c r="P371" s="25">
        <f t="shared" ca="1" si="17"/>
        <v>1.405338033569887E-2</v>
      </c>
    </row>
    <row r="372" spans="12:16" s="23" customFormat="1" ht="13.8">
      <c r="L372" s="33">
        <v>369</v>
      </c>
      <c r="M372" s="23">
        <f ca="1"/>
        <v>192231.38189272612</v>
      </c>
      <c r="N372" s="25">
        <f t="shared" si="15"/>
        <v>127713.65200000002</v>
      </c>
      <c r="O372" s="25">
        <f t="shared" ca="1" si="16"/>
        <v>0</v>
      </c>
      <c r="P372" s="25">
        <f t="shared" ca="1" si="17"/>
        <v>0</v>
      </c>
    </row>
    <row r="373" spans="12:16" s="23" customFormat="1" ht="13.8">
      <c r="L373" s="23">
        <v>370</v>
      </c>
      <c r="M373" s="23">
        <f ca="1"/>
        <v>109967.56138052704</v>
      </c>
      <c r="N373" s="25">
        <f t="shared" si="15"/>
        <v>127713.65200000002</v>
      </c>
      <c r="O373" s="25">
        <f t="shared" ca="1" si="16"/>
        <v>1</v>
      </c>
      <c r="P373" s="25">
        <f t="shared" ca="1" si="17"/>
        <v>0.13895218202258419</v>
      </c>
    </row>
    <row r="374" spans="12:16" s="23" customFormat="1" ht="13.8">
      <c r="L374" s="33">
        <v>371</v>
      </c>
      <c r="M374" s="23">
        <f ca="1"/>
        <v>234056.07879286355</v>
      </c>
      <c r="N374" s="25">
        <f t="shared" si="15"/>
        <v>127713.65200000002</v>
      </c>
      <c r="O374" s="25">
        <f t="shared" ca="1" si="16"/>
        <v>0</v>
      </c>
      <c r="P374" s="25">
        <f t="shared" ca="1" si="17"/>
        <v>0</v>
      </c>
    </row>
    <row r="375" spans="12:16" s="23" customFormat="1" ht="13.8">
      <c r="L375" s="23">
        <v>372</v>
      </c>
      <c r="M375" s="23">
        <f ca="1"/>
        <v>240443.8072282419</v>
      </c>
      <c r="N375" s="25">
        <f t="shared" si="15"/>
        <v>127713.65200000002</v>
      </c>
      <c r="O375" s="25">
        <f t="shared" ca="1" si="16"/>
        <v>0</v>
      </c>
      <c r="P375" s="25">
        <f t="shared" ca="1" si="17"/>
        <v>0</v>
      </c>
    </row>
    <row r="376" spans="12:16" s="23" customFormat="1" ht="13.8">
      <c r="L376" s="33">
        <v>373</v>
      </c>
      <c r="M376" s="23">
        <f ca="1"/>
        <v>150577.85407597301</v>
      </c>
      <c r="N376" s="25">
        <f t="shared" si="15"/>
        <v>127713.65200000002</v>
      </c>
      <c r="O376" s="25">
        <f t="shared" ca="1" si="16"/>
        <v>0</v>
      </c>
      <c r="P376" s="25">
        <f t="shared" ca="1" si="17"/>
        <v>0</v>
      </c>
    </row>
    <row r="377" spans="12:16" s="23" customFormat="1" ht="13.8">
      <c r="L377" s="23">
        <v>374</v>
      </c>
      <c r="M377" s="23">
        <f ca="1"/>
        <v>152435.21822484038</v>
      </c>
      <c r="N377" s="25">
        <f t="shared" si="15"/>
        <v>127713.65200000002</v>
      </c>
      <c r="O377" s="25">
        <f t="shared" ca="1" si="16"/>
        <v>0</v>
      </c>
      <c r="P377" s="25">
        <f t="shared" ca="1" si="17"/>
        <v>0</v>
      </c>
    </row>
    <row r="378" spans="12:16" s="23" customFormat="1" ht="13.8">
      <c r="L378" s="33">
        <v>375</v>
      </c>
      <c r="M378" s="23">
        <f ca="1"/>
        <v>238693.5761925501</v>
      </c>
      <c r="N378" s="25">
        <f t="shared" si="15"/>
        <v>127713.65200000002</v>
      </c>
      <c r="O378" s="25">
        <f t="shared" ca="1" si="16"/>
        <v>0</v>
      </c>
      <c r="P378" s="25">
        <f t="shared" ca="1" si="17"/>
        <v>0</v>
      </c>
    </row>
    <row r="379" spans="12:16" s="23" customFormat="1" ht="13.8">
      <c r="L379" s="23">
        <v>376</v>
      </c>
      <c r="M379" s="23">
        <f ca="1"/>
        <v>218522.65121311127</v>
      </c>
      <c r="N379" s="25">
        <f t="shared" si="15"/>
        <v>127713.65200000002</v>
      </c>
      <c r="O379" s="25">
        <f t="shared" ca="1" si="16"/>
        <v>0</v>
      </c>
      <c r="P379" s="25">
        <f t="shared" ca="1" si="17"/>
        <v>0</v>
      </c>
    </row>
    <row r="380" spans="12:16" s="23" customFormat="1" ht="13.8">
      <c r="L380" s="33">
        <v>377</v>
      </c>
      <c r="M380" s="23">
        <f ca="1"/>
        <v>159429.5663577189</v>
      </c>
      <c r="N380" s="25">
        <f t="shared" si="15"/>
        <v>127713.65200000002</v>
      </c>
      <c r="O380" s="25">
        <f t="shared" ca="1" si="16"/>
        <v>0</v>
      </c>
      <c r="P380" s="25">
        <f t="shared" ca="1" si="17"/>
        <v>0</v>
      </c>
    </row>
    <row r="381" spans="12:16" s="23" customFormat="1" ht="13.8">
      <c r="L381" s="23">
        <v>378</v>
      </c>
      <c r="M381" s="23">
        <f ca="1"/>
        <v>186932.22315755501</v>
      </c>
      <c r="N381" s="25">
        <f t="shared" si="15"/>
        <v>127713.65200000002</v>
      </c>
      <c r="O381" s="25">
        <f t="shared" ca="1" si="16"/>
        <v>0</v>
      </c>
      <c r="P381" s="25">
        <f t="shared" ca="1" si="17"/>
        <v>0</v>
      </c>
    </row>
    <row r="382" spans="12:16" s="23" customFormat="1" ht="13.8">
      <c r="L382" s="33">
        <v>379</v>
      </c>
      <c r="M382" s="23">
        <f ca="1"/>
        <v>69093.970010470846</v>
      </c>
      <c r="N382" s="25">
        <f t="shared" si="15"/>
        <v>127713.65200000002</v>
      </c>
      <c r="O382" s="25">
        <f t="shared" ca="1" si="16"/>
        <v>1</v>
      </c>
      <c r="P382" s="25">
        <f t="shared" ca="1" si="17"/>
        <v>0.45899307608499962</v>
      </c>
    </row>
    <row r="383" spans="12:16" s="23" customFormat="1" ht="13.8">
      <c r="L383" s="23">
        <v>380</v>
      </c>
      <c r="M383" s="23">
        <f ca="1"/>
        <v>303488.68223552074</v>
      </c>
      <c r="N383" s="25">
        <f t="shared" si="15"/>
        <v>127713.65200000002</v>
      </c>
      <c r="O383" s="25">
        <f t="shared" ca="1" si="16"/>
        <v>0</v>
      </c>
      <c r="P383" s="25">
        <f t="shared" ca="1" si="17"/>
        <v>0</v>
      </c>
    </row>
    <row r="384" spans="12:16" s="23" customFormat="1" ht="13.8">
      <c r="L384" s="33">
        <v>381</v>
      </c>
      <c r="M384" s="23">
        <f ca="1"/>
        <v>119788.80296953717</v>
      </c>
      <c r="N384" s="25">
        <f t="shared" si="15"/>
        <v>127713.65200000002</v>
      </c>
      <c r="O384" s="25">
        <f t="shared" ca="1" si="16"/>
        <v>1</v>
      </c>
      <c r="P384" s="25">
        <f t="shared" ca="1" si="17"/>
        <v>6.2051698517421219E-2</v>
      </c>
    </row>
    <row r="385" spans="12:16" s="23" customFormat="1" ht="13.8">
      <c r="L385" s="23">
        <v>382</v>
      </c>
      <c r="M385" s="23">
        <f ca="1"/>
        <v>201273.70953031548</v>
      </c>
      <c r="N385" s="25">
        <f t="shared" si="15"/>
        <v>127713.65200000002</v>
      </c>
      <c r="O385" s="25">
        <f t="shared" ca="1" si="16"/>
        <v>0</v>
      </c>
      <c r="P385" s="25">
        <f t="shared" ca="1" si="17"/>
        <v>0</v>
      </c>
    </row>
    <row r="386" spans="12:16" s="23" customFormat="1" ht="13.8">
      <c r="L386" s="33">
        <v>383</v>
      </c>
      <c r="M386" s="23">
        <f ca="1"/>
        <v>165746.29146454431</v>
      </c>
      <c r="N386" s="25">
        <f t="shared" si="15"/>
        <v>127713.65200000002</v>
      </c>
      <c r="O386" s="25">
        <f t="shared" ca="1" si="16"/>
        <v>0</v>
      </c>
      <c r="P386" s="25">
        <f t="shared" ca="1" si="17"/>
        <v>0</v>
      </c>
    </row>
    <row r="387" spans="12:16" s="23" customFormat="1" ht="13.8">
      <c r="L387" s="23">
        <v>384</v>
      </c>
      <c r="M387" s="23">
        <f ca="1"/>
        <v>215791.69168429921</v>
      </c>
      <c r="N387" s="25">
        <f t="shared" si="15"/>
        <v>127713.65200000002</v>
      </c>
      <c r="O387" s="25">
        <f t="shared" ca="1" si="16"/>
        <v>0</v>
      </c>
      <c r="P387" s="25">
        <f t="shared" ca="1" si="17"/>
        <v>0</v>
      </c>
    </row>
    <row r="388" spans="12:16" s="23" customFormat="1" ht="13.8">
      <c r="L388" s="33">
        <v>385</v>
      </c>
      <c r="M388" s="23">
        <f ca="1"/>
        <v>173932.2561012705</v>
      </c>
      <c r="N388" s="25">
        <f t="shared" ref="N388:N451" si="18">($C$24+$E$24)*1.1</f>
        <v>127713.65200000002</v>
      </c>
      <c r="O388" s="25">
        <f t="shared" ca="1" si="16"/>
        <v>0</v>
      </c>
      <c r="P388" s="25">
        <f t="shared" ca="1" si="17"/>
        <v>0</v>
      </c>
    </row>
    <row r="389" spans="12:16" s="23" customFormat="1" ht="13.8">
      <c r="L389" s="23">
        <v>386</v>
      </c>
      <c r="M389" s="23">
        <f ca="1"/>
        <v>117696.39691096707</v>
      </c>
      <c r="N389" s="25">
        <f t="shared" si="18"/>
        <v>127713.65200000002</v>
      </c>
      <c r="O389" s="25">
        <f t="shared" ref="O389:O452" ca="1" si="19">IF(M389&lt;N389,1,0)</f>
        <v>1</v>
      </c>
      <c r="P389" s="25">
        <f t="shared" ref="P389:P452" ca="1" si="20">MAX((N389-M389)/N389,0)</f>
        <v>7.8435272440826792E-2</v>
      </c>
    </row>
    <row r="390" spans="12:16" s="23" customFormat="1" ht="13.8">
      <c r="L390" s="33">
        <v>387</v>
      </c>
      <c r="M390" s="23">
        <f ca="1"/>
        <v>282248.95274595823</v>
      </c>
      <c r="N390" s="25">
        <f t="shared" si="18"/>
        <v>127713.65200000002</v>
      </c>
      <c r="O390" s="25">
        <f t="shared" ca="1" si="19"/>
        <v>0</v>
      </c>
      <c r="P390" s="25">
        <f t="shared" ca="1" si="20"/>
        <v>0</v>
      </c>
    </row>
    <row r="391" spans="12:16" s="23" customFormat="1" ht="13.8">
      <c r="L391" s="23">
        <v>388</v>
      </c>
      <c r="M391" s="23">
        <f ca="1"/>
        <v>162663.04464137403</v>
      </c>
      <c r="N391" s="25">
        <f t="shared" si="18"/>
        <v>127713.65200000002</v>
      </c>
      <c r="O391" s="25">
        <f t="shared" ca="1" si="19"/>
        <v>0</v>
      </c>
      <c r="P391" s="25">
        <f t="shared" ca="1" si="20"/>
        <v>0</v>
      </c>
    </row>
    <row r="392" spans="12:16" s="23" customFormat="1" ht="13.8">
      <c r="L392" s="33">
        <v>389</v>
      </c>
      <c r="M392" s="23">
        <f ca="1"/>
        <v>142240.39248183626</v>
      </c>
      <c r="N392" s="25">
        <f t="shared" si="18"/>
        <v>127713.65200000002</v>
      </c>
      <c r="O392" s="25">
        <f t="shared" ca="1" si="19"/>
        <v>0</v>
      </c>
      <c r="P392" s="25">
        <f t="shared" ca="1" si="20"/>
        <v>0</v>
      </c>
    </row>
    <row r="393" spans="12:16" s="23" customFormat="1" ht="13.8">
      <c r="L393" s="23">
        <v>390</v>
      </c>
      <c r="M393" s="23">
        <f ca="1"/>
        <v>204503.14044080401</v>
      </c>
      <c r="N393" s="25">
        <f t="shared" si="18"/>
        <v>127713.65200000002</v>
      </c>
      <c r="O393" s="25">
        <f t="shared" ca="1" si="19"/>
        <v>0</v>
      </c>
      <c r="P393" s="25">
        <f t="shared" ca="1" si="20"/>
        <v>0</v>
      </c>
    </row>
    <row r="394" spans="12:16" s="23" customFormat="1" ht="13.8">
      <c r="L394" s="33">
        <v>391</v>
      </c>
      <c r="M394" s="23">
        <f ca="1"/>
        <v>92798.479945542334</v>
      </c>
      <c r="N394" s="25">
        <f t="shared" si="18"/>
        <v>127713.65200000002</v>
      </c>
      <c r="O394" s="25">
        <f t="shared" ca="1" si="19"/>
        <v>1</v>
      </c>
      <c r="P394" s="25">
        <f t="shared" ca="1" si="20"/>
        <v>0.27338637262097615</v>
      </c>
    </row>
    <row r="395" spans="12:16" s="23" customFormat="1" ht="13.8">
      <c r="L395" s="23">
        <v>392</v>
      </c>
      <c r="M395" s="23">
        <f ca="1"/>
        <v>209561.63879794243</v>
      </c>
      <c r="N395" s="25">
        <f t="shared" si="18"/>
        <v>127713.65200000002</v>
      </c>
      <c r="O395" s="25">
        <f t="shared" ca="1" si="19"/>
        <v>0</v>
      </c>
      <c r="P395" s="25">
        <f t="shared" ca="1" si="20"/>
        <v>0</v>
      </c>
    </row>
    <row r="396" spans="12:16" s="23" customFormat="1" ht="13.8">
      <c r="L396" s="33">
        <v>393</v>
      </c>
      <c r="M396" s="23">
        <f ca="1"/>
        <v>202043.85959256755</v>
      </c>
      <c r="N396" s="25">
        <f t="shared" si="18"/>
        <v>127713.65200000002</v>
      </c>
      <c r="O396" s="25">
        <f t="shared" ca="1" si="19"/>
        <v>0</v>
      </c>
      <c r="P396" s="25">
        <f t="shared" ca="1" si="20"/>
        <v>0</v>
      </c>
    </row>
    <row r="397" spans="12:16" s="23" customFormat="1" ht="13.8">
      <c r="L397" s="23">
        <v>394</v>
      </c>
      <c r="M397" s="23">
        <f ca="1"/>
        <v>211923.95260129555</v>
      </c>
      <c r="N397" s="25">
        <f t="shared" si="18"/>
        <v>127713.65200000002</v>
      </c>
      <c r="O397" s="25">
        <f t="shared" ca="1" si="19"/>
        <v>0</v>
      </c>
      <c r="P397" s="25">
        <f t="shared" ca="1" si="20"/>
        <v>0</v>
      </c>
    </row>
    <row r="398" spans="12:16" s="23" customFormat="1" ht="13.8">
      <c r="L398" s="33">
        <v>395</v>
      </c>
      <c r="M398" s="23">
        <f ca="1"/>
        <v>278866.88755503308</v>
      </c>
      <c r="N398" s="25">
        <f t="shared" si="18"/>
        <v>127713.65200000002</v>
      </c>
      <c r="O398" s="25">
        <f t="shared" ca="1" si="19"/>
        <v>0</v>
      </c>
      <c r="P398" s="25">
        <f t="shared" ca="1" si="20"/>
        <v>0</v>
      </c>
    </row>
    <row r="399" spans="12:16" s="23" customFormat="1" ht="13.8">
      <c r="L399" s="23">
        <v>396</v>
      </c>
      <c r="M399" s="23">
        <f ca="1"/>
        <v>215046.11764502764</v>
      </c>
      <c r="N399" s="25">
        <f t="shared" si="18"/>
        <v>127713.65200000002</v>
      </c>
      <c r="O399" s="25">
        <f t="shared" ca="1" si="19"/>
        <v>0</v>
      </c>
      <c r="P399" s="25">
        <f t="shared" ca="1" si="20"/>
        <v>0</v>
      </c>
    </row>
    <row r="400" spans="12:16" s="23" customFormat="1" ht="13.8">
      <c r="L400" s="33">
        <v>397</v>
      </c>
      <c r="M400" s="23">
        <f ca="1"/>
        <v>113902.27515403263</v>
      </c>
      <c r="N400" s="25">
        <f t="shared" si="18"/>
        <v>127713.65200000002</v>
      </c>
      <c r="O400" s="25">
        <f t="shared" ca="1" si="19"/>
        <v>1</v>
      </c>
      <c r="P400" s="25">
        <f t="shared" ca="1" si="20"/>
        <v>0.10814330832828574</v>
      </c>
    </row>
    <row r="401" spans="12:16" s="23" customFormat="1" ht="13.8">
      <c r="L401" s="23">
        <v>398</v>
      </c>
      <c r="M401" s="23">
        <f ca="1"/>
        <v>163016.75751269032</v>
      </c>
      <c r="N401" s="25">
        <f t="shared" si="18"/>
        <v>127713.65200000002</v>
      </c>
      <c r="O401" s="25">
        <f t="shared" ca="1" si="19"/>
        <v>0</v>
      </c>
      <c r="P401" s="25">
        <f t="shared" ca="1" si="20"/>
        <v>0</v>
      </c>
    </row>
    <row r="402" spans="12:16" s="23" customFormat="1" ht="13.8">
      <c r="L402" s="33">
        <v>399</v>
      </c>
      <c r="M402" s="23">
        <f ca="1"/>
        <v>143797.79063006554</v>
      </c>
      <c r="N402" s="25">
        <f t="shared" si="18"/>
        <v>127713.65200000002</v>
      </c>
      <c r="O402" s="25">
        <f t="shared" ca="1" si="19"/>
        <v>0</v>
      </c>
      <c r="P402" s="25">
        <f t="shared" ca="1" si="20"/>
        <v>0</v>
      </c>
    </row>
    <row r="403" spans="12:16" s="23" customFormat="1" ht="13.8">
      <c r="L403" s="23">
        <v>400</v>
      </c>
      <c r="M403" s="23">
        <f ca="1"/>
        <v>180926.91006704839</v>
      </c>
      <c r="N403" s="25">
        <f t="shared" si="18"/>
        <v>127713.65200000002</v>
      </c>
      <c r="O403" s="25">
        <f t="shared" ca="1" si="19"/>
        <v>0</v>
      </c>
      <c r="P403" s="25">
        <f t="shared" ca="1" si="20"/>
        <v>0</v>
      </c>
    </row>
    <row r="404" spans="12:16" s="23" customFormat="1" ht="13.8">
      <c r="L404" s="33">
        <v>401</v>
      </c>
      <c r="M404" s="23">
        <f ca="1"/>
        <v>190388.63246800445</v>
      </c>
      <c r="N404" s="25">
        <f t="shared" si="18"/>
        <v>127713.65200000002</v>
      </c>
      <c r="O404" s="25">
        <f t="shared" ca="1" si="19"/>
        <v>0</v>
      </c>
      <c r="P404" s="25">
        <f t="shared" ca="1" si="20"/>
        <v>0</v>
      </c>
    </row>
    <row r="405" spans="12:16" s="23" customFormat="1" ht="13.8">
      <c r="L405" s="23">
        <v>402</v>
      </c>
      <c r="M405" s="23">
        <f ca="1"/>
        <v>255001.4495355839</v>
      </c>
      <c r="N405" s="25">
        <f t="shared" si="18"/>
        <v>127713.65200000002</v>
      </c>
      <c r="O405" s="25">
        <f t="shared" ca="1" si="19"/>
        <v>0</v>
      </c>
      <c r="P405" s="25">
        <f t="shared" ca="1" si="20"/>
        <v>0</v>
      </c>
    </row>
    <row r="406" spans="12:16" s="23" customFormat="1" ht="13.8">
      <c r="L406" s="33">
        <v>403</v>
      </c>
      <c r="M406" s="23">
        <f ca="1"/>
        <v>194369.23414742434</v>
      </c>
      <c r="N406" s="25">
        <f t="shared" si="18"/>
        <v>127713.65200000002</v>
      </c>
      <c r="O406" s="25">
        <f t="shared" ca="1" si="19"/>
        <v>0</v>
      </c>
      <c r="P406" s="25">
        <f t="shared" ca="1" si="20"/>
        <v>0</v>
      </c>
    </row>
    <row r="407" spans="12:16" s="23" customFormat="1" ht="13.8">
      <c r="L407" s="23">
        <v>404</v>
      </c>
      <c r="M407" s="23">
        <f ca="1"/>
        <v>109713.01155254025</v>
      </c>
      <c r="N407" s="25">
        <f t="shared" si="18"/>
        <v>127713.65200000002</v>
      </c>
      <c r="O407" s="25">
        <f t="shared" ca="1" si="19"/>
        <v>1</v>
      </c>
      <c r="P407" s="25">
        <f t="shared" ca="1" si="20"/>
        <v>0.14094531137093913</v>
      </c>
    </row>
    <row r="408" spans="12:16" s="23" customFormat="1" ht="13.8">
      <c r="L408" s="33">
        <v>405</v>
      </c>
      <c r="M408" s="23">
        <f ca="1"/>
        <v>225474.25128737744</v>
      </c>
      <c r="N408" s="25">
        <f t="shared" si="18"/>
        <v>127713.65200000002</v>
      </c>
      <c r="O408" s="25">
        <f t="shared" ca="1" si="19"/>
        <v>0</v>
      </c>
      <c r="P408" s="25">
        <f t="shared" ca="1" si="20"/>
        <v>0</v>
      </c>
    </row>
    <row r="409" spans="12:16" s="23" customFormat="1" ht="13.8">
      <c r="L409" s="23">
        <v>406</v>
      </c>
      <c r="M409" s="23">
        <f ca="1"/>
        <v>245193.80998471766</v>
      </c>
      <c r="N409" s="25">
        <f t="shared" si="18"/>
        <v>127713.65200000002</v>
      </c>
      <c r="O409" s="25">
        <f t="shared" ca="1" si="19"/>
        <v>0</v>
      </c>
      <c r="P409" s="25">
        <f t="shared" ca="1" si="20"/>
        <v>0</v>
      </c>
    </row>
    <row r="410" spans="12:16" s="23" customFormat="1" ht="13.8">
      <c r="L410" s="33">
        <v>407</v>
      </c>
      <c r="M410" s="23">
        <f ca="1"/>
        <v>167226.95750858678</v>
      </c>
      <c r="N410" s="25">
        <f t="shared" si="18"/>
        <v>127713.65200000002</v>
      </c>
      <c r="O410" s="25">
        <f t="shared" ca="1" si="19"/>
        <v>0</v>
      </c>
      <c r="P410" s="25">
        <f t="shared" ca="1" si="20"/>
        <v>0</v>
      </c>
    </row>
    <row r="411" spans="12:16" s="23" customFormat="1" ht="13.8">
      <c r="L411" s="23">
        <v>408</v>
      </c>
      <c r="M411" s="23">
        <f ca="1"/>
        <v>216192.47659257054</v>
      </c>
      <c r="N411" s="25">
        <f t="shared" si="18"/>
        <v>127713.65200000002</v>
      </c>
      <c r="O411" s="25">
        <f t="shared" ca="1" si="19"/>
        <v>0</v>
      </c>
      <c r="P411" s="25">
        <f t="shared" ca="1" si="20"/>
        <v>0</v>
      </c>
    </row>
    <row r="412" spans="12:16" s="23" customFormat="1" ht="13.8">
      <c r="L412" s="33">
        <v>409</v>
      </c>
      <c r="M412" s="23">
        <f ca="1"/>
        <v>244865.07143383863</v>
      </c>
      <c r="N412" s="25">
        <f t="shared" si="18"/>
        <v>127713.65200000002</v>
      </c>
      <c r="O412" s="25">
        <f t="shared" ca="1" si="19"/>
        <v>0</v>
      </c>
      <c r="P412" s="25">
        <f t="shared" ca="1" si="20"/>
        <v>0</v>
      </c>
    </row>
    <row r="413" spans="12:16" s="23" customFormat="1" ht="13.8">
      <c r="L413" s="23">
        <v>410</v>
      </c>
      <c r="M413" s="23">
        <f ca="1"/>
        <v>169033.82653567256</v>
      </c>
      <c r="N413" s="25">
        <f t="shared" si="18"/>
        <v>127713.65200000002</v>
      </c>
      <c r="O413" s="25">
        <f t="shared" ca="1" si="19"/>
        <v>0</v>
      </c>
      <c r="P413" s="25">
        <f t="shared" ca="1" si="20"/>
        <v>0</v>
      </c>
    </row>
    <row r="414" spans="12:16" s="23" customFormat="1" ht="13.8">
      <c r="L414" s="33">
        <v>411</v>
      </c>
      <c r="M414" s="23">
        <f ca="1"/>
        <v>153913.8613106542</v>
      </c>
      <c r="N414" s="25">
        <f t="shared" si="18"/>
        <v>127713.65200000002</v>
      </c>
      <c r="O414" s="25">
        <f t="shared" ca="1" si="19"/>
        <v>0</v>
      </c>
      <c r="P414" s="25">
        <f t="shared" ca="1" si="20"/>
        <v>0</v>
      </c>
    </row>
    <row r="415" spans="12:16" s="23" customFormat="1" ht="13.8">
      <c r="L415" s="23">
        <v>412</v>
      </c>
      <c r="M415" s="23">
        <f ca="1"/>
        <v>167803.98525802218</v>
      </c>
      <c r="N415" s="25">
        <f t="shared" si="18"/>
        <v>127713.65200000002</v>
      </c>
      <c r="O415" s="25">
        <f t="shared" ca="1" si="19"/>
        <v>0</v>
      </c>
      <c r="P415" s="25">
        <f t="shared" ca="1" si="20"/>
        <v>0</v>
      </c>
    </row>
    <row r="416" spans="12:16" s="23" customFormat="1" ht="13.8">
      <c r="L416" s="33">
        <v>413</v>
      </c>
      <c r="M416" s="23">
        <f ca="1"/>
        <v>225300.72564258066</v>
      </c>
      <c r="N416" s="25">
        <f t="shared" si="18"/>
        <v>127713.65200000002</v>
      </c>
      <c r="O416" s="25">
        <f t="shared" ca="1" si="19"/>
        <v>0</v>
      </c>
      <c r="P416" s="25">
        <f t="shared" ca="1" si="20"/>
        <v>0</v>
      </c>
    </row>
    <row r="417" spans="12:16" s="23" customFormat="1" ht="13.8">
      <c r="L417" s="23">
        <v>414</v>
      </c>
      <c r="M417" s="23">
        <f ca="1"/>
        <v>248692.77576266631</v>
      </c>
      <c r="N417" s="25">
        <f t="shared" si="18"/>
        <v>127713.65200000002</v>
      </c>
      <c r="O417" s="25">
        <f t="shared" ca="1" si="19"/>
        <v>0</v>
      </c>
      <c r="P417" s="25">
        <f t="shared" ca="1" si="20"/>
        <v>0</v>
      </c>
    </row>
    <row r="418" spans="12:16" s="23" customFormat="1" ht="13.8">
      <c r="L418" s="33">
        <v>415</v>
      </c>
      <c r="M418" s="23">
        <f ca="1"/>
        <v>123007.86653639849</v>
      </c>
      <c r="N418" s="25">
        <f t="shared" si="18"/>
        <v>127713.65200000002</v>
      </c>
      <c r="O418" s="25">
        <f t="shared" ca="1" si="19"/>
        <v>1</v>
      </c>
      <c r="P418" s="25">
        <f t="shared" ca="1" si="20"/>
        <v>3.684637773572965E-2</v>
      </c>
    </row>
    <row r="419" spans="12:16" s="23" customFormat="1" ht="13.8">
      <c r="L419" s="23">
        <v>416</v>
      </c>
      <c r="M419" s="23">
        <f ca="1"/>
        <v>217867.34513136873</v>
      </c>
      <c r="N419" s="25">
        <f t="shared" si="18"/>
        <v>127713.65200000002</v>
      </c>
      <c r="O419" s="25">
        <f t="shared" ca="1" si="19"/>
        <v>0</v>
      </c>
      <c r="P419" s="25">
        <f t="shared" ca="1" si="20"/>
        <v>0</v>
      </c>
    </row>
    <row r="420" spans="12:16" s="23" customFormat="1" ht="13.8">
      <c r="L420" s="33">
        <v>417</v>
      </c>
      <c r="M420" s="23">
        <f ca="1"/>
        <v>216047.91392952768</v>
      </c>
      <c r="N420" s="25">
        <f t="shared" si="18"/>
        <v>127713.65200000002</v>
      </c>
      <c r="O420" s="25">
        <f t="shared" ca="1" si="19"/>
        <v>0</v>
      </c>
      <c r="P420" s="25">
        <f t="shared" ca="1" si="20"/>
        <v>0</v>
      </c>
    </row>
    <row r="421" spans="12:16" s="23" customFormat="1" ht="13.8">
      <c r="L421" s="23">
        <v>418</v>
      </c>
      <c r="M421" s="23">
        <f ca="1"/>
        <v>130824.72890751372</v>
      </c>
      <c r="N421" s="25">
        <f t="shared" si="18"/>
        <v>127713.65200000002</v>
      </c>
      <c r="O421" s="25">
        <f t="shared" ca="1" si="19"/>
        <v>0</v>
      </c>
      <c r="P421" s="25">
        <f t="shared" ca="1" si="20"/>
        <v>0</v>
      </c>
    </row>
    <row r="422" spans="12:16" s="23" customFormat="1" ht="13.8">
      <c r="L422" s="33">
        <v>419</v>
      </c>
      <c r="M422" s="23">
        <f ca="1"/>
        <v>244600.40312767561</v>
      </c>
      <c r="N422" s="25">
        <f t="shared" si="18"/>
        <v>127713.65200000002</v>
      </c>
      <c r="O422" s="25">
        <f t="shared" ca="1" si="19"/>
        <v>0</v>
      </c>
      <c r="P422" s="25">
        <f t="shared" ca="1" si="20"/>
        <v>0</v>
      </c>
    </row>
    <row r="423" spans="12:16" s="23" customFormat="1" ht="13.8">
      <c r="L423" s="23">
        <v>420</v>
      </c>
      <c r="M423" s="23">
        <f ca="1"/>
        <v>108281.12551915827</v>
      </c>
      <c r="N423" s="25">
        <f t="shared" si="18"/>
        <v>127713.65200000002</v>
      </c>
      <c r="O423" s="25">
        <f t="shared" ca="1" si="19"/>
        <v>1</v>
      </c>
      <c r="P423" s="25">
        <f t="shared" ca="1" si="20"/>
        <v>0.15215700261113618</v>
      </c>
    </row>
    <row r="424" spans="12:16" s="23" customFormat="1" ht="13.8">
      <c r="L424" s="33">
        <v>421</v>
      </c>
      <c r="M424" s="23">
        <f ca="1"/>
        <v>184772.11833427145</v>
      </c>
      <c r="N424" s="25">
        <f t="shared" si="18"/>
        <v>127713.65200000002</v>
      </c>
      <c r="O424" s="25">
        <f t="shared" ca="1" si="19"/>
        <v>0</v>
      </c>
      <c r="P424" s="25">
        <f t="shared" ca="1" si="20"/>
        <v>0</v>
      </c>
    </row>
    <row r="425" spans="12:16" s="23" customFormat="1" ht="13.8">
      <c r="L425" s="23">
        <v>422</v>
      </c>
      <c r="M425" s="23">
        <f ca="1"/>
        <v>164680.51062556793</v>
      </c>
      <c r="N425" s="25">
        <f t="shared" si="18"/>
        <v>127713.65200000002</v>
      </c>
      <c r="O425" s="25">
        <f t="shared" ca="1" si="19"/>
        <v>0</v>
      </c>
      <c r="P425" s="25">
        <f t="shared" ca="1" si="20"/>
        <v>0</v>
      </c>
    </row>
    <row r="426" spans="12:16" s="23" customFormat="1" ht="13.8">
      <c r="L426" s="33">
        <v>423</v>
      </c>
      <c r="M426" s="23">
        <f ca="1"/>
        <v>158631.94616962664</v>
      </c>
      <c r="N426" s="25">
        <f t="shared" si="18"/>
        <v>127713.65200000002</v>
      </c>
      <c r="O426" s="25">
        <f t="shared" ca="1" si="19"/>
        <v>0</v>
      </c>
      <c r="P426" s="25">
        <f t="shared" ca="1" si="20"/>
        <v>0</v>
      </c>
    </row>
    <row r="427" spans="12:16" s="23" customFormat="1" ht="13.8">
      <c r="L427" s="23">
        <v>424</v>
      </c>
      <c r="M427" s="23">
        <f ca="1"/>
        <v>253884.62336168153</v>
      </c>
      <c r="N427" s="25">
        <f t="shared" si="18"/>
        <v>127713.65200000002</v>
      </c>
      <c r="O427" s="25">
        <f t="shared" ca="1" si="19"/>
        <v>0</v>
      </c>
      <c r="P427" s="25">
        <f t="shared" ca="1" si="20"/>
        <v>0</v>
      </c>
    </row>
    <row r="428" spans="12:16" s="23" customFormat="1" ht="13.8">
      <c r="L428" s="33">
        <v>425</v>
      </c>
      <c r="M428" s="23">
        <f ca="1"/>
        <v>190228.71790910931</v>
      </c>
      <c r="N428" s="25">
        <f t="shared" si="18"/>
        <v>127713.65200000002</v>
      </c>
      <c r="O428" s="25">
        <f t="shared" ca="1" si="19"/>
        <v>0</v>
      </c>
      <c r="P428" s="25">
        <f t="shared" ca="1" si="20"/>
        <v>0</v>
      </c>
    </row>
    <row r="429" spans="12:16" s="23" customFormat="1" ht="13.8">
      <c r="L429" s="23">
        <v>426</v>
      </c>
      <c r="M429" s="23">
        <f ca="1"/>
        <v>101001.79926605734</v>
      </c>
      <c r="N429" s="25">
        <f t="shared" si="18"/>
        <v>127713.65200000002</v>
      </c>
      <c r="O429" s="25">
        <f t="shared" ca="1" si="19"/>
        <v>1</v>
      </c>
      <c r="P429" s="25">
        <f t="shared" ca="1" si="20"/>
        <v>0.20915424714299671</v>
      </c>
    </row>
    <row r="430" spans="12:16" s="23" customFormat="1" ht="13.8">
      <c r="L430" s="33">
        <v>427</v>
      </c>
      <c r="M430" s="23">
        <f ca="1"/>
        <v>310938.85510186659</v>
      </c>
      <c r="N430" s="25">
        <f t="shared" si="18"/>
        <v>127713.65200000002</v>
      </c>
      <c r="O430" s="25">
        <f t="shared" ca="1" si="19"/>
        <v>0</v>
      </c>
      <c r="P430" s="25">
        <f t="shared" ca="1" si="20"/>
        <v>0</v>
      </c>
    </row>
    <row r="431" spans="12:16" s="23" customFormat="1" ht="13.8">
      <c r="L431" s="23">
        <v>428</v>
      </c>
      <c r="M431" s="23">
        <f ca="1"/>
        <v>171881.02100671019</v>
      </c>
      <c r="N431" s="25">
        <f t="shared" si="18"/>
        <v>127713.65200000002</v>
      </c>
      <c r="O431" s="25">
        <f t="shared" ca="1" si="19"/>
        <v>0</v>
      </c>
      <c r="P431" s="25">
        <f t="shared" ca="1" si="20"/>
        <v>0</v>
      </c>
    </row>
    <row r="432" spans="12:16" s="23" customFormat="1" ht="13.8">
      <c r="L432" s="33">
        <v>429</v>
      </c>
      <c r="M432" s="23">
        <f ca="1"/>
        <v>160466.76662148029</v>
      </c>
      <c r="N432" s="25">
        <f t="shared" si="18"/>
        <v>127713.65200000002</v>
      </c>
      <c r="O432" s="25">
        <f t="shared" ca="1" si="19"/>
        <v>0</v>
      </c>
      <c r="P432" s="25">
        <f t="shared" ca="1" si="20"/>
        <v>0</v>
      </c>
    </row>
    <row r="433" spans="12:16" s="23" customFormat="1" ht="13.8">
      <c r="L433" s="23">
        <v>430</v>
      </c>
      <c r="M433" s="23">
        <f ca="1"/>
        <v>63458.690590120648</v>
      </c>
      <c r="N433" s="25">
        <f t="shared" si="18"/>
        <v>127713.65200000002</v>
      </c>
      <c r="O433" s="25">
        <f t="shared" ca="1" si="19"/>
        <v>1</v>
      </c>
      <c r="P433" s="25">
        <f t="shared" ca="1" si="20"/>
        <v>0.50311740682099793</v>
      </c>
    </row>
    <row r="434" spans="12:16" s="23" customFormat="1" ht="13.8">
      <c r="L434" s="33">
        <v>431</v>
      </c>
      <c r="M434" s="23">
        <f ca="1"/>
        <v>197594.35698505797</v>
      </c>
      <c r="N434" s="25">
        <f t="shared" si="18"/>
        <v>127713.65200000002</v>
      </c>
      <c r="O434" s="25">
        <f t="shared" ca="1" si="19"/>
        <v>0</v>
      </c>
      <c r="P434" s="25">
        <f t="shared" ca="1" si="20"/>
        <v>0</v>
      </c>
    </row>
    <row r="435" spans="12:16" s="23" customFormat="1" ht="13.8">
      <c r="L435" s="23">
        <v>432</v>
      </c>
      <c r="M435" s="23">
        <f ca="1"/>
        <v>215491.44807869036</v>
      </c>
      <c r="N435" s="25">
        <f t="shared" si="18"/>
        <v>127713.65200000002</v>
      </c>
      <c r="O435" s="25">
        <f t="shared" ca="1" si="19"/>
        <v>0</v>
      </c>
      <c r="P435" s="25">
        <f t="shared" ca="1" si="20"/>
        <v>0</v>
      </c>
    </row>
    <row r="436" spans="12:16" s="23" customFormat="1" ht="13.8">
      <c r="L436" s="33">
        <v>433</v>
      </c>
      <c r="M436" s="23">
        <f ca="1"/>
        <v>147440.68076343552</v>
      </c>
      <c r="N436" s="25">
        <f t="shared" si="18"/>
        <v>127713.65200000002</v>
      </c>
      <c r="O436" s="25">
        <f t="shared" ca="1" si="19"/>
        <v>0</v>
      </c>
      <c r="P436" s="25">
        <f t="shared" ca="1" si="20"/>
        <v>0</v>
      </c>
    </row>
    <row r="437" spans="12:16" s="23" customFormat="1" ht="13.8">
      <c r="L437" s="23">
        <v>434</v>
      </c>
      <c r="M437" s="23">
        <f ca="1"/>
        <v>237427.23370598341</v>
      </c>
      <c r="N437" s="25">
        <f t="shared" si="18"/>
        <v>127713.65200000002</v>
      </c>
      <c r="O437" s="25">
        <f t="shared" ca="1" si="19"/>
        <v>0</v>
      </c>
      <c r="P437" s="25">
        <f t="shared" ca="1" si="20"/>
        <v>0</v>
      </c>
    </row>
    <row r="438" spans="12:16" s="23" customFormat="1" ht="13.8">
      <c r="L438" s="33">
        <v>435</v>
      </c>
      <c r="M438" s="23">
        <f ca="1"/>
        <v>248478.98549601308</v>
      </c>
      <c r="N438" s="25">
        <f t="shared" si="18"/>
        <v>127713.65200000002</v>
      </c>
      <c r="O438" s="25">
        <f t="shared" ca="1" si="19"/>
        <v>0</v>
      </c>
      <c r="P438" s="25">
        <f t="shared" ca="1" si="20"/>
        <v>0</v>
      </c>
    </row>
    <row r="439" spans="12:16" s="23" customFormat="1" ht="13.8">
      <c r="L439" s="23">
        <v>436</v>
      </c>
      <c r="M439" s="23">
        <f ca="1"/>
        <v>259306.16305161658</v>
      </c>
      <c r="N439" s="25">
        <f t="shared" si="18"/>
        <v>127713.65200000002</v>
      </c>
      <c r="O439" s="25">
        <f t="shared" ca="1" si="19"/>
        <v>0</v>
      </c>
      <c r="P439" s="25">
        <f t="shared" ca="1" si="20"/>
        <v>0</v>
      </c>
    </row>
    <row r="440" spans="12:16" s="23" customFormat="1" ht="13.8">
      <c r="L440" s="33">
        <v>437</v>
      </c>
      <c r="M440" s="23">
        <f ca="1"/>
        <v>280531.90953600267</v>
      </c>
      <c r="N440" s="25">
        <f t="shared" si="18"/>
        <v>127713.65200000002</v>
      </c>
      <c r="O440" s="25">
        <f t="shared" ca="1" si="19"/>
        <v>0</v>
      </c>
      <c r="P440" s="25">
        <f t="shared" ca="1" si="20"/>
        <v>0</v>
      </c>
    </row>
    <row r="441" spans="12:16" s="23" customFormat="1" ht="13.8">
      <c r="L441" s="23">
        <v>438</v>
      </c>
      <c r="M441" s="23">
        <f ca="1"/>
        <v>252818.95855866926</v>
      </c>
      <c r="N441" s="25">
        <f t="shared" si="18"/>
        <v>127713.65200000002</v>
      </c>
      <c r="O441" s="25">
        <f t="shared" ca="1" si="19"/>
        <v>0</v>
      </c>
      <c r="P441" s="25">
        <f t="shared" ca="1" si="20"/>
        <v>0</v>
      </c>
    </row>
    <row r="442" spans="12:16" s="23" customFormat="1" ht="13.8">
      <c r="L442" s="33">
        <v>439</v>
      </c>
      <c r="M442" s="23">
        <f ca="1"/>
        <v>232275.56752160969</v>
      </c>
      <c r="N442" s="25">
        <f t="shared" si="18"/>
        <v>127713.65200000002</v>
      </c>
      <c r="O442" s="25">
        <f t="shared" ca="1" si="19"/>
        <v>0</v>
      </c>
      <c r="P442" s="25">
        <f t="shared" ca="1" si="20"/>
        <v>0</v>
      </c>
    </row>
    <row r="443" spans="12:16" s="23" customFormat="1" ht="13.8">
      <c r="L443" s="23">
        <v>440</v>
      </c>
      <c r="M443" s="23">
        <f ca="1"/>
        <v>233496.00819747412</v>
      </c>
      <c r="N443" s="25">
        <f t="shared" si="18"/>
        <v>127713.65200000002</v>
      </c>
      <c r="O443" s="25">
        <f t="shared" ca="1" si="19"/>
        <v>0</v>
      </c>
      <c r="P443" s="25">
        <f t="shared" ca="1" si="20"/>
        <v>0</v>
      </c>
    </row>
    <row r="444" spans="12:16" s="23" customFormat="1" ht="13.8">
      <c r="L444" s="33">
        <v>441</v>
      </c>
      <c r="M444" s="23">
        <f ca="1"/>
        <v>111354.1943239418</v>
      </c>
      <c r="N444" s="25">
        <f t="shared" si="18"/>
        <v>127713.65200000002</v>
      </c>
      <c r="O444" s="25">
        <f t="shared" ca="1" si="19"/>
        <v>1</v>
      </c>
      <c r="P444" s="25">
        <f t="shared" ca="1" si="20"/>
        <v>0.12809482322264351</v>
      </c>
    </row>
    <row r="445" spans="12:16" s="23" customFormat="1" ht="13.8">
      <c r="L445" s="23">
        <v>442</v>
      </c>
      <c r="M445" s="23">
        <f ca="1"/>
        <v>94270.138517270272</v>
      </c>
      <c r="N445" s="25">
        <f t="shared" si="18"/>
        <v>127713.65200000002</v>
      </c>
      <c r="O445" s="25">
        <f t="shared" ca="1" si="19"/>
        <v>1</v>
      </c>
      <c r="P445" s="25">
        <f t="shared" ca="1" si="20"/>
        <v>0.26186326175004171</v>
      </c>
    </row>
    <row r="446" spans="12:16" s="23" customFormat="1" ht="13.8">
      <c r="L446" s="33">
        <v>443</v>
      </c>
      <c r="M446" s="23">
        <f ca="1"/>
        <v>167723.62749775744</v>
      </c>
      <c r="N446" s="25">
        <f t="shared" si="18"/>
        <v>127713.65200000002</v>
      </c>
      <c r="O446" s="25">
        <f t="shared" ca="1" si="19"/>
        <v>0</v>
      </c>
      <c r="P446" s="25">
        <f t="shared" ca="1" si="20"/>
        <v>0</v>
      </c>
    </row>
    <row r="447" spans="12:16" s="23" customFormat="1" ht="13.8">
      <c r="L447" s="23">
        <v>444</v>
      </c>
      <c r="M447" s="23">
        <f ca="1"/>
        <v>206705.87665237891</v>
      </c>
      <c r="N447" s="25">
        <f t="shared" si="18"/>
        <v>127713.65200000002</v>
      </c>
      <c r="O447" s="25">
        <f t="shared" ca="1" si="19"/>
        <v>0</v>
      </c>
      <c r="P447" s="25">
        <f t="shared" ca="1" si="20"/>
        <v>0</v>
      </c>
    </row>
    <row r="448" spans="12:16" s="23" customFormat="1" ht="13.8">
      <c r="L448" s="33">
        <v>445</v>
      </c>
      <c r="M448" s="23">
        <f ca="1"/>
        <v>193446.58857930015</v>
      </c>
      <c r="N448" s="25">
        <f t="shared" si="18"/>
        <v>127713.65200000002</v>
      </c>
      <c r="O448" s="25">
        <f t="shared" ca="1" si="19"/>
        <v>0</v>
      </c>
      <c r="P448" s="25">
        <f t="shared" ca="1" si="20"/>
        <v>0</v>
      </c>
    </row>
    <row r="449" spans="12:16" s="23" customFormat="1" ht="13.8">
      <c r="L449" s="23">
        <v>446</v>
      </c>
      <c r="M449" s="23">
        <f ca="1"/>
        <v>223826.24759326957</v>
      </c>
      <c r="N449" s="25">
        <f t="shared" si="18"/>
        <v>127713.65200000002</v>
      </c>
      <c r="O449" s="25">
        <f t="shared" ca="1" si="19"/>
        <v>0</v>
      </c>
      <c r="P449" s="25">
        <f t="shared" ca="1" si="20"/>
        <v>0</v>
      </c>
    </row>
    <row r="450" spans="12:16" s="23" customFormat="1" ht="13.8">
      <c r="L450" s="33">
        <v>447</v>
      </c>
      <c r="M450" s="23">
        <f ca="1"/>
        <v>269684.34333880985</v>
      </c>
      <c r="N450" s="25">
        <f t="shared" si="18"/>
        <v>127713.65200000002</v>
      </c>
      <c r="O450" s="25">
        <f t="shared" ca="1" si="19"/>
        <v>0</v>
      </c>
      <c r="P450" s="25">
        <f t="shared" ca="1" si="20"/>
        <v>0</v>
      </c>
    </row>
    <row r="451" spans="12:16" s="23" customFormat="1" ht="13.8">
      <c r="L451" s="23">
        <v>448</v>
      </c>
      <c r="M451" s="23">
        <f ca="1"/>
        <v>168248.00064546437</v>
      </c>
      <c r="N451" s="25">
        <f t="shared" si="18"/>
        <v>127713.65200000002</v>
      </c>
      <c r="O451" s="25">
        <f t="shared" ca="1" si="19"/>
        <v>0</v>
      </c>
      <c r="P451" s="25">
        <f t="shared" ca="1" si="20"/>
        <v>0</v>
      </c>
    </row>
    <row r="452" spans="12:16" s="23" customFormat="1" ht="13.8">
      <c r="L452" s="33">
        <v>449</v>
      </c>
      <c r="M452" s="23">
        <f ca="1"/>
        <v>183658.89811121734</v>
      </c>
      <c r="N452" s="25">
        <f t="shared" ref="N452:N515" si="21">($C$24+$E$24)*1.1</f>
        <v>127713.65200000002</v>
      </c>
      <c r="O452" s="25">
        <f t="shared" ca="1" si="19"/>
        <v>0</v>
      </c>
      <c r="P452" s="25">
        <f t="shared" ca="1" si="20"/>
        <v>0</v>
      </c>
    </row>
    <row r="453" spans="12:16" s="23" customFormat="1" ht="13.8">
      <c r="L453" s="23">
        <v>450</v>
      </c>
      <c r="M453" s="23">
        <f ca="1"/>
        <v>208081.17728570741</v>
      </c>
      <c r="N453" s="25">
        <f t="shared" si="21"/>
        <v>127713.65200000002</v>
      </c>
      <c r="O453" s="25">
        <f t="shared" ref="O453:O516" ca="1" si="22">IF(M453&lt;N453,1,0)</f>
        <v>0</v>
      </c>
      <c r="P453" s="25">
        <f t="shared" ref="P453:P516" ca="1" si="23">MAX((N453-M453)/N453,0)</f>
        <v>0</v>
      </c>
    </row>
    <row r="454" spans="12:16" s="23" customFormat="1" ht="13.8">
      <c r="L454" s="33">
        <v>451</v>
      </c>
      <c r="M454" s="23">
        <f ca="1"/>
        <v>132760.71599348786</v>
      </c>
      <c r="N454" s="25">
        <f t="shared" si="21"/>
        <v>127713.65200000002</v>
      </c>
      <c r="O454" s="25">
        <f t="shared" ca="1" si="22"/>
        <v>0</v>
      </c>
      <c r="P454" s="25">
        <f t="shared" ca="1" si="23"/>
        <v>0</v>
      </c>
    </row>
    <row r="455" spans="12:16" s="23" customFormat="1" ht="13.8">
      <c r="L455" s="23">
        <v>452</v>
      </c>
      <c r="M455" s="23">
        <f ca="1"/>
        <v>127077.96184414074</v>
      </c>
      <c r="N455" s="25">
        <f t="shared" si="21"/>
        <v>127713.65200000002</v>
      </c>
      <c r="O455" s="25">
        <f t="shared" ca="1" si="22"/>
        <v>1</v>
      </c>
      <c r="P455" s="25">
        <f t="shared" ca="1" si="23"/>
        <v>4.9774643971443227E-3</v>
      </c>
    </row>
    <row r="456" spans="12:16" s="23" customFormat="1" ht="13.8">
      <c r="L456" s="33">
        <v>453</v>
      </c>
      <c r="M456" s="23">
        <f ca="1"/>
        <v>162143.93031287997</v>
      </c>
      <c r="N456" s="25">
        <f t="shared" si="21"/>
        <v>127713.65200000002</v>
      </c>
      <c r="O456" s="25">
        <f t="shared" ca="1" si="22"/>
        <v>0</v>
      </c>
      <c r="P456" s="25">
        <f t="shared" ca="1" si="23"/>
        <v>0</v>
      </c>
    </row>
    <row r="457" spans="12:16" s="23" customFormat="1" ht="13.8">
      <c r="L457" s="23">
        <v>454</v>
      </c>
      <c r="M457" s="23">
        <f ca="1"/>
        <v>157105.87869844542</v>
      </c>
      <c r="N457" s="25">
        <f t="shared" si="21"/>
        <v>127713.65200000002</v>
      </c>
      <c r="O457" s="25">
        <f t="shared" ca="1" si="22"/>
        <v>0</v>
      </c>
      <c r="P457" s="25">
        <f t="shared" ca="1" si="23"/>
        <v>0</v>
      </c>
    </row>
    <row r="458" spans="12:16" s="23" customFormat="1" ht="13.8">
      <c r="L458" s="33">
        <v>455</v>
      </c>
      <c r="M458" s="23">
        <f ca="1"/>
        <v>220607.01045295983</v>
      </c>
      <c r="N458" s="25">
        <f t="shared" si="21"/>
        <v>127713.65200000002</v>
      </c>
      <c r="O458" s="25">
        <f t="shared" ca="1" si="22"/>
        <v>0</v>
      </c>
      <c r="P458" s="25">
        <f t="shared" ca="1" si="23"/>
        <v>0</v>
      </c>
    </row>
    <row r="459" spans="12:16" s="23" customFormat="1" ht="13.8">
      <c r="L459" s="23">
        <v>456</v>
      </c>
      <c r="M459" s="23">
        <f ca="1"/>
        <v>66334.740847486493</v>
      </c>
      <c r="N459" s="25">
        <f t="shared" si="21"/>
        <v>127713.65200000002</v>
      </c>
      <c r="O459" s="25">
        <f t="shared" ca="1" si="22"/>
        <v>1</v>
      </c>
      <c r="P459" s="25">
        <f t="shared" ca="1" si="23"/>
        <v>0.48059788590583502</v>
      </c>
    </row>
    <row r="460" spans="12:16" s="23" customFormat="1" ht="13.8">
      <c r="L460" s="33">
        <v>457</v>
      </c>
      <c r="M460" s="23">
        <f ca="1"/>
        <v>166735.62168050453</v>
      </c>
      <c r="N460" s="25">
        <f t="shared" si="21"/>
        <v>127713.65200000002</v>
      </c>
      <c r="O460" s="25">
        <f t="shared" ca="1" si="22"/>
        <v>0</v>
      </c>
      <c r="P460" s="25">
        <f t="shared" ca="1" si="23"/>
        <v>0</v>
      </c>
    </row>
    <row r="461" spans="12:16" s="23" customFormat="1" ht="13.8">
      <c r="L461" s="23">
        <v>458</v>
      </c>
      <c r="M461" s="23">
        <f ca="1"/>
        <v>101095.01885218499</v>
      </c>
      <c r="N461" s="25">
        <f t="shared" si="21"/>
        <v>127713.65200000002</v>
      </c>
      <c r="O461" s="25">
        <f t="shared" ca="1" si="22"/>
        <v>1</v>
      </c>
      <c r="P461" s="25">
        <f t="shared" ca="1" si="23"/>
        <v>0.20842433624727152</v>
      </c>
    </row>
    <row r="462" spans="12:16" s="23" customFormat="1" ht="13.8">
      <c r="L462" s="33">
        <v>459</v>
      </c>
      <c r="M462" s="23">
        <f ca="1"/>
        <v>153864.91868940022</v>
      </c>
      <c r="N462" s="25">
        <f t="shared" si="21"/>
        <v>127713.65200000002</v>
      </c>
      <c r="O462" s="25">
        <f t="shared" ca="1" si="22"/>
        <v>0</v>
      </c>
      <c r="P462" s="25">
        <f t="shared" ca="1" si="23"/>
        <v>0</v>
      </c>
    </row>
    <row r="463" spans="12:16" s="23" customFormat="1" ht="13.8">
      <c r="L463" s="23">
        <v>460</v>
      </c>
      <c r="M463" s="23">
        <f ca="1"/>
        <v>254883.57206876433</v>
      </c>
      <c r="N463" s="25">
        <f t="shared" si="21"/>
        <v>127713.65200000002</v>
      </c>
      <c r="O463" s="25">
        <f t="shared" ca="1" si="22"/>
        <v>0</v>
      </c>
      <c r="P463" s="25">
        <f t="shared" ca="1" si="23"/>
        <v>0</v>
      </c>
    </row>
    <row r="464" spans="12:16" s="23" customFormat="1" ht="13.8">
      <c r="L464" s="33">
        <v>461</v>
      </c>
      <c r="M464" s="23">
        <f ca="1"/>
        <v>139148.37091831374</v>
      </c>
      <c r="N464" s="25">
        <f t="shared" si="21"/>
        <v>127713.65200000002</v>
      </c>
      <c r="O464" s="25">
        <f t="shared" ca="1" si="22"/>
        <v>0</v>
      </c>
      <c r="P464" s="25">
        <f t="shared" ca="1" si="23"/>
        <v>0</v>
      </c>
    </row>
    <row r="465" spans="12:16" s="23" customFormat="1" ht="13.8">
      <c r="L465" s="23">
        <v>462</v>
      </c>
      <c r="M465" s="23">
        <f ca="1"/>
        <v>185192.45506223949</v>
      </c>
      <c r="N465" s="25">
        <f t="shared" si="21"/>
        <v>127713.65200000002</v>
      </c>
      <c r="O465" s="25">
        <f t="shared" ca="1" si="22"/>
        <v>0</v>
      </c>
      <c r="P465" s="25">
        <f t="shared" ca="1" si="23"/>
        <v>0</v>
      </c>
    </row>
    <row r="466" spans="12:16" s="23" customFormat="1" ht="13.8">
      <c r="L466" s="33">
        <v>463</v>
      </c>
      <c r="M466" s="23">
        <f ca="1"/>
        <v>153074.54611737499</v>
      </c>
      <c r="N466" s="25">
        <f t="shared" si="21"/>
        <v>127713.65200000002</v>
      </c>
      <c r="O466" s="25">
        <f t="shared" ca="1" si="22"/>
        <v>0</v>
      </c>
      <c r="P466" s="25">
        <f t="shared" ca="1" si="23"/>
        <v>0</v>
      </c>
    </row>
    <row r="467" spans="12:16" s="23" customFormat="1" ht="13.8">
      <c r="L467" s="23">
        <v>464</v>
      </c>
      <c r="M467" s="23">
        <f ca="1"/>
        <v>221529.49768875787</v>
      </c>
      <c r="N467" s="25">
        <f t="shared" si="21"/>
        <v>127713.65200000002</v>
      </c>
      <c r="O467" s="25">
        <f t="shared" ca="1" si="22"/>
        <v>0</v>
      </c>
      <c r="P467" s="25">
        <f t="shared" ca="1" si="23"/>
        <v>0</v>
      </c>
    </row>
    <row r="468" spans="12:16" s="23" customFormat="1" ht="13.8">
      <c r="L468" s="33">
        <v>465</v>
      </c>
      <c r="M468" s="23">
        <f ca="1"/>
        <v>165700.87578139099</v>
      </c>
      <c r="N468" s="25">
        <f t="shared" si="21"/>
        <v>127713.65200000002</v>
      </c>
      <c r="O468" s="25">
        <f t="shared" ca="1" si="22"/>
        <v>0</v>
      </c>
      <c r="P468" s="25">
        <f t="shared" ca="1" si="23"/>
        <v>0</v>
      </c>
    </row>
    <row r="469" spans="12:16" s="23" customFormat="1" ht="13.8">
      <c r="L469" s="23">
        <v>466</v>
      </c>
      <c r="M469" s="23">
        <f ca="1"/>
        <v>120798.07300645007</v>
      </c>
      <c r="N469" s="25">
        <f t="shared" si="21"/>
        <v>127713.65200000002</v>
      </c>
      <c r="O469" s="25">
        <f t="shared" ca="1" si="22"/>
        <v>1</v>
      </c>
      <c r="P469" s="25">
        <f t="shared" ca="1" si="23"/>
        <v>5.4149097494682462E-2</v>
      </c>
    </row>
    <row r="470" spans="12:16" s="23" customFormat="1" ht="13.8">
      <c r="L470" s="33">
        <v>467</v>
      </c>
      <c r="M470" s="23">
        <f ca="1"/>
        <v>138569.97644941381</v>
      </c>
      <c r="N470" s="25">
        <f t="shared" si="21"/>
        <v>127713.65200000002</v>
      </c>
      <c r="O470" s="25">
        <f t="shared" ca="1" si="22"/>
        <v>0</v>
      </c>
      <c r="P470" s="25">
        <f t="shared" ca="1" si="23"/>
        <v>0</v>
      </c>
    </row>
    <row r="471" spans="12:16" s="23" customFormat="1" ht="13.8">
      <c r="L471" s="23">
        <v>468</v>
      </c>
      <c r="M471" s="23">
        <f ca="1"/>
        <v>155348.23060458386</v>
      </c>
      <c r="N471" s="25">
        <f t="shared" si="21"/>
        <v>127713.65200000002</v>
      </c>
      <c r="O471" s="25">
        <f t="shared" ca="1" si="22"/>
        <v>0</v>
      </c>
      <c r="P471" s="25">
        <f t="shared" ca="1" si="23"/>
        <v>0</v>
      </c>
    </row>
    <row r="472" spans="12:16" s="23" customFormat="1" ht="13.8">
      <c r="L472" s="33">
        <v>469</v>
      </c>
      <c r="M472" s="23">
        <f ca="1"/>
        <v>150268.96011425726</v>
      </c>
      <c r="N472" s="25">
        <f t="shared" si="21"/>
        <v>127713.65200000002</v>
      </c>
      <c r="O472" s="25">
        <f t="shared" ca="1" si="22"/>
        <v>0</v>
      </c>
      <c r="P472" s="25">
        <f t="shared" ca="1" si="23"/>
        <v>0</v>
      </c>
    </row>
    <row r="473" spans="12:16" s="23" customFormat="1" ht="13.8">
      <c r="L473" s="23">
        <v>470</v>
      </c>
      <c r="M473" s="23">
        <f ca="1"/>
        <v>108099.65196585917</v>
      </c>
      <c r="N473" s="25">
        <f t="shared" si="21"/>
        <v>127713.65200000002</v>
      </c>
      <c r="O473" s="25">
        <f t="shared" ca="1" si="22"/>
        <v>1</v>
      </c>
      <c r="P473" s="25">
        <f t="shared" ca="1" si="23"/>
        <v>0.15357794352432144</v>
      </c>
    </row>
    <row r="474" spans="12:16" s="23" customFormat="1" ht="13.8">
      <c r="L474" s="33">
        <v>471</v>
      </c>
      <c r="M474" s="23">
        <f ca="1"/>
        <v>257696.68385623672</v>
      </c>
      <c r="N474" s="25">
        <f t="shared" si="21"/>
        <v>127713.65200000002</v>
      </c>
      <c r="O474" s="25">
        <f t="shared" ca="1" si="22"/>
        <v>0</v>
      </c>
      <c r="P474" s="25">
        <f t="shared" ca="1" si="23"/>
        <v>0</v>
      </c>
    </row>
    <row r="475" spans="12:16" s="23" customFormat="1" ht="13.8">
      <c r="L475" s="23">
        <v>472</v>
      </c>
      <c r="M475" s="23">
        <f ca="1"/>
        <v>91172.414394141466</v>
      </c>
      <c r="N475" s="25">
        <f t="shared" si="21"/>
        <v>127713.65200000002</v>
      </c>
      <c r="O475" s="25">
        <f t="shared" ca="1" si="22"/>
        <v>1</v>
      </c>
      <c r="P475" s="25">
        <f t="shared" ca="1" si="23"/>
        <v>0.28611849268752054</v>
      </c>
    </row>
    <row r="476" spans="12:16" s="23" customFormat="1" ht="13.8">
      <c r="L476" s="33">
        <v>473</v>
      </c>
      <c r="M476" s="23">
        <f ca="1"/>
        <v>239481.21813684827</v>
      </c>
      <c r="N476" s="25">
        <f t="shared" si="21"/>
        <v>127713.65200000002</v>
      </c>
      <c r="O476" s="25">
        <f t="shared" ca="1" si="22"/>
        <v>0</v>
      </c>
      <c r="P476" s="25">
        <f t="shared" ca="1" si="23"/>
        <v>0</v>
      </c>
    </row>
    <row r="477" spans="12:16" s="23" customFormat="1" ht="13.8">
      <c r="L477" s="23">
        <v>474</v>
      </c>
      <c r="M477" s="23">
        <f ca="1"/>
        <v>170085.07735208623</v>
      </c>
      <c r="N477" s="25">
        <f t="shared" si="21"/>
        <v>127713.65200000002</v>
      </c>
      <c r="O477" s="25">
        <f t="shared" ca="1" si="22"/>
        <v>0</v>
      </c>
      <c r="P477" s="25">
        <f t="shared" ca="1" si="23"/>
        <v>0</v>
      </c>
    </row>
    <row r="478" spans="12:16" s="23" customFormat="1" ht="13.8">
      <c r="L478" s="33">
        <v>475</v>
      </c>
      <c r="M478" s="23">
        <f ca="1"/>
        <v>176673.91014054581</v>
      </c>
      <c r="N478" s="25">
        <f t="shared" si="21"/>
        <v>127713.65200000002</v>
      </c>
      <c r="O478" s="25">
        <f t="shared" ca="1" si="22"/>
        <v>0</v>
      </c>
      <c r="P478" s="25">
        <f t="shared" ca="1" si="23"/>
        <v>0</v>
      </c>
    </row>
    <row r="479" spans="12:16" s="23" customFormat="1" ht="13.8">
      <c r="L479" s="23">
        <v>476</v>
      </c>
      <c r="M479" s="23">
        <f ca="1"/>
        <v>191516.11685468411</v>
      </c>
      <c r="N479" s="25">
        <f t="shared" si="21"/>
        <v>127713.65200000002</v>
      </c>
      <c r="O479" s="25">
        <f t="shared" ca="1" si="22"/>
        <v>0</v>
      </c>
      <c r="P479" s="25">
        <f t="shared" ca="1" si="23"/>
        <v>0</v>
      </c>
    </row>
    <row r="480" spans="12:16" s="23" customFormat="1" ht="13.8">
      <c r="L480" s="33">
        <v>477</v>
      </c>
      <c r="M480" s="23">
        <f ca="1"/>
        <v>112948.99814387335</v>
      </c>
      <c r="N480" s="25">
        <f t="shared" si="21"/>
        <v>127713.65200000002</v>
      </c>
      <c r="O480" s="25">
        <f t="shared" ca="1" si="22"/>
        <v>1</v>
      </c>
      <c r="P480" s="25">
        <f t="shared" ca="1" si="23"/>
        <v>0.11560748302872635</v>
      </c>
    </row>
    <row r="481" spans="12:16" s="23" customFormat="1" ht="13.8">
      <c r="L481" s="23">
        <v>478</v>
      </c>
      <c r="M481" s="23">
        <f ca="1"/>
        <v>142669.16001035448</v>
      </c>
      <c r="N481" s="25">
        <f t="shared" si="21"/>
        <v>127713.65200000002</v>
      </c>
      <c r="O481" s="25">
        <f t="shared" ca="1" si="22"/>
        <v>0</v>
      </c>
      <c r="P481" s="25">
        <f t="shared" ca="1" si="23"/>
        <v>0</v>
      </c>
    </row>
    <row r="482" spans="12:16" s="23" customFormat="1" ht="13.8">
      <c r="L482" s="33">
        <v>479</v>
      </c>
      <c r="M482" s="23">
        <f ca="1"/>
        <v>319114.32158924482</v>
      </c>
      <c r="N482" s="25">
        <f t="shared" si="21"/>
        <v>127713.65200000002</v>
      </c>
      <c r="O482" s="25">
        <f t="shared" ca="1" si="22"/>
        <v>0</v>
      </c>
      <c r="P482" s="25">
        <f t="shared" ca="1" si="23"/>
        <v>0</v>
      </c>
    </row>
    <row r="483" spans="12:16" s="23" customFormat="1" ht="13.8">
      <c r="L483" s="23">
        <v>480</v>
      </c>
      <c r="M483" s="23">
        <f ca="1"/>
        <v>190425.40054323879</v>
      </c>
      <c r="N483" s="25">
        <f t="shared" si="21"/>
        <v>127713.65200000002</v>
      </c>
      <c r="O483" s="25">
        <f t="shared" ca="1" si="22"/>
        <v>0</v>
      </c>
      <c r="P483" s="25">
        <f t="shared" ca="1" si="23"/>
        <v>0</v>
      </c>
    </row>
    <row r="484" spans="12:16" s="23" customFormat="1" ht="13.8">
      <c r="L484" s="33">
        <v>481</v>
      </c>
      <c r="M484" s="23">
        <f ca="1"/>
        <v>140952.25400044411</v>
      </c>
      <c r="N484" s="25">
        <f t="shared" si="21"/>
        <v>127713.65200000002</v>
      </c>
      <c r="O484" s="25">
        <f t="shared" ca="1" si="22"/>
        <v>0</v>
      </c>
      <c r="P484" s="25">
        <f t="shared" ca="1" si="23"/>
        <v>0</v>
      </c>
    </row>
    <row r="485" spans="12:16" s="23" customFormat="1" ht="13.8">
      <c r="L485" s="23">
        <v>482</v>
      </c>
      <c r="M485" s="23">
        <f ca="1"/>
        <v>169857.54156581839</v>
      </c>
      <c r="N485" s="25">
        <f t="shared" si="21"/>
        <v>127713.65200000002</v>
      </c>
      <c r="O485" s="25">
        <f t="shared" ca="1" si="22"/>
        <v>0</v>
      </c>
      <c r="P485" s="25">
        <f t="shared" ca="1" si="23"/>
        <v>0</v>
      </c>
    </row>
    <row r="486" spans="12:16" s="23" customFormat="1" ht="13.8">
      <c r="L486" s="33">
        <v>483</v>
      </c>
      <c r="M486" s="23">
        <f ca="1"/>
        <v>188620.55830728542</v>
      </c>
      <c r="N486" s="25">
        <f t="shared" si="21"/>
        <v>127713.65200000002</v>
      </c>
      <c r="O486" s="25">
        <f t="shared" ca="1" si="22"/>
        <v>0</v>
      </c>
      <c r="P486" s="25">
        <f t="shared" ca="1" si="23"/>
        <v>0</v>
      </c>
    </row>
    <row r="487" spans="12:16" s="23" customFormat="1" ht="13.8">
      <c r="L487" s="23">
        <v>484</v>
      </c>
      <c r="M487" s="23">
        <f ca="1"/>
        <v>116704.76021269204</v>
      </c>
      <c r="N487" s="25">
        <f t="shared" si="21"/>
        <v>127713.65200000002</v>
      </c>
      <c r="O487" s="25">
        <f t="shared" ca="1" si="22"/>
        <v>1</v>
      </c>
      <c r="P487" s="25">
        <f t="shared" ca="1" si="23"/>
        <v>8.6199804131417174E-2</v>
      </c>
    </row>
    <row r="488" spans="12:16" s="23" customFormat="1" ht="13.8">
      <c r="L488" s="33">
        <v>485</v>
      </c>
      <c r="M488" s="23">
        <f ca="1"/>
        <v>104300.74116631395</v>
      </c>
      <c r="N488" s="25">
        <f t="shared" si="21"/>
        <v>127713.65200000002</v>
      </c>
      <c r="O488" s="25">
        <f t="shared" ca="1" si="22"/>
        <v>1</v>
      </c>
      <c r="P488" s="25">
        <f t="shared" ca="1" si="23"/>
        <v>0.18332347769435067</v>
      </c>
    </row>
    <row r="489" spans="12:16" s="23" customFormat="1" ht="13.8">
      <c r="L489" s="23">
        <v>486</v>
      </c>
      <c r="M489" s="23">
        <f ca="1"/>
        <v>92469.291187315233</v>
      </c>
      <c r="N489" s="25">
        <f t="shared" si="21"/>
        <v>127713.65200000002</v>
      </c>
      <c r="O489" s="25">
        <f t="shared" ca="1" si="22"/>
        <v>1</v>
      </c>
      <c r="P489" s="25">
        <f t="shared" ca="1" si="23"/>
        <v>0.27596392602323189</v>
      </c>
    </row>
    <row r="490" spans="12:16" s="23" customFormat="1" ht="13.8">
      <c r="L490" s="33">
        <v>487</v>
      </c>
      <c r="M490" s="23">
        <f ca="1"/>
        <v>167391.88996038039</v>
      </c>
      <c r="N490" s="25">
        <f t="shared" si="21"/>
        <v>127713.65200000002</v>
      </c>
      <c r="O490" s="25">
        <f t="shared" ca="1" si="22"/>
        <v>0</v>
      </c>
      <c r="P490" s="25">
        <f t="shared" ca="1" si="23"/>
        <v>0</v>
      </c>
    </row>
    <row r="491" spans="12:16" s="23" customFormat="1" ht="13.8">
      <c r="L491" s="23">
        <v>488</v>
      </c>
      <c r="M491" s="23">
        <f ca="1"/>
        <v>209840.47947752173</v>
      </c>
      <c r="N491" s="25">
        <f t="shared" si="21"/>
        <v>127713.65200000002</v>
      </c>
      <c r="O491" s="25">
        <f t="shared" ca="1" si="22"/>
        <v>0</v>
      </c>
      <c r="P491" s="25">
        <f t="shared" ca="1" si="23"/>
        <v>0</v>
      </c>
    </row>
    <row r="492" spans="12:16" s="23" customFormat="1" ht="13.8">
      <c r="L492" s="33">
        <v>489</v>
      </c>
      <c r="M492" s="23">
        <f ca="1"/>
        <v>251767.83320335145</v>
      </c>
      <c r="N492" s="25">
        <f t="shared" si="21"/>
        <v>127713.65200000002</v>
      </c>
      <c r="O492" s="25">
        <f t="shared" ca="1" si="22"/>
        <v>0</v>
      </c>
      <c r="P492" s="25">
        <f t="shared" ca="1" si="23"/>
        <v>0</v>
      </c>
    </row>
    <row r="493" spans="12:16" s="23" customFormat="1" ht="13.8">
      <c r="L493" s="23">
        <v>490</v>
      </c>
      <c r="M493" s="23">
        <f ca="1"/>
        <v>64593.3014507517</v>
      </c>
      <c r="N493" s="25">
        <f t="shared" si="21"/>
        <v>127713.65200000002</v>
      </c>
      <c r="O493" s="25">
        <f t="shared" ca="1" si="22"/>
        <v>1</v>
      </c>
      <c r="P493" s="25">
        <f t="shared" ca="1" si="23"/>
        <v>0.4942333850828125</v>
      </c>
    </row>
    <row r="494" spans="12:16" s="23" customFormat="1" ht="13.8">
      <c r="L494" s="33">
        <v>491</v>
      </c>
      <c r="M494" s="23">
        <f ca="1"/>
        <v>136274.07565018607</v>
      </c>
      <c r="N494" s="25">
        <f t="shared" si="21"/>
        <v>127713.65200000002</v>
      </c>
      <c r="O494" s="25">
        <f t="shared" ca="1" si="22"/>
        <v>0</v>
      </c>
      <c r="P494" s="25">
        <f t="shared" ca="1" si="23"/>
        <v>0</v>
      </c>
    </row>
    <row r="495" spans="12:16" s="23" customFormat="1" ht="13.8">
      <c r="L495" s="23">
        <v>492</v>
      </c>
      <c r="M495" s="23">
        <f ca="1"/>
        <v>171895.1275116755</v>
      </c>
      <c r="N495" s="25">
        <f t="shared" si="21"/>
        <v>127713.65200000002</v>
      </c>
      <c r="O495" s="25">
        <f t="shared" ca="1" si="22"/>
        <v>0</v>
      </c>
      <c r="P495" s="25">
        <f t="shared" ca="1" si="23"/>
        <v>0</v>
      </c>
    </row>
    <row r="496" spans="12:16" s="23" customFormat="1" ht="13.8">
      <c r="L496" s="33">
        <v>493</v>
      </c>
      <c r="M496" s="23">
        <f ca="1"/>
        <v>126505.14743728728</v>
      </c>
      <c r="N496" s="25">
        <f t="shared" si="21"/>
        <v>127713.65200000002</v>
      </c>
      <c r="O496" s="25">
        <f t="shared" ca="1" si="22"/>
        <v>1</v>
      </c>
      <c r="P496" s="25">
        <f t="shared" ca="1" si="23"/>
        <v>9.4626106433221401E-3</v>
      </c>
    </row>
    <row r="497" spans="12:16" s="23" customFormat="1" ht="13.8">
      <c r="L497" s="23">
        <v>494</v>
      </c>
      <c r="M497" s="23">
        <f ca="1"/>
        <v>237329.21566567133</v>
      </c>
      <c r="N497" s="25">
        <f t="shared" si="21"/>
        <v>127713.65200000002</v>
      </c>
      <c r="O497" s="25">
        <f t="shared" ca="1" si="22"/>
        <v>0</v>
      </c>
      <c r="P497" s="25">
        <f t="shared" ca="1" si="23"/>
        <v>0</v>
      </c>
    </row>
    <row r="498" spans="12:16" s="23" customFormat="1" ht="13.8">
      <c r="L498" s="33">
        <v>495</v>
      </c>
      <c r="M498" s="23">
        <f ca="1"/>
        <v>241994.42878471254</v>
      </c>
      <c r="N498" s="25">
        <f t="shared" si="21"/>
        <v>127713.65200000002</v>
      </c>
      <c r="O498" s="25">
        <f t="shared" ca="1" si="22"/>
        <v>0</v>
      </c>
      <c r="P498" s="25">
        <f t="shared" ca="1" si="23"/>
        <v>0</v>
      </c>
    </row>
    <row r="499" spans="12:16" s="23" customFormat="1" ht="13.8">
      <c r="L499" s="23">
        <v>496</v>
      </c>
      <c r="M499" s="23">
        <f ca="1"/>
        <v>212102.18427313416</v>
      </c>
      <c r="N499" s="25">
        <f t="shared" si="21"/>
        <v>127713.65200000002</v>
      </c>
      <c r="O499" s="25">
        <f t="shared" ca="1" si="22"/>
        <v>0</v>
      </c>
      <c r="P499" s="25">
        <f t="shared" ca="1" si="23"/>
        <v>0</v>
      </c>
    </row>
    <row r="500" spans="12:16" s="23" customFormat="1" ht="13.8">
      <c r="L500" s="33">
        <v>497</v>
      </c>
      <c r="M500" s="23">
        <f ca="1"/>
        <v>225023.69311489392</v>
      </c>
      <c r="N500" s="25">
        <f t="shared" si="21"/>
        <v>127713.65200000002</v>
      </c>
      <c r="O500" s="25">
        <f t="shared" ca="1" si="22"/>
        <v>0</v>
      </c>
      <c r="P500" s="25">
        <f t="shared" ca="1" si="23"/>
        <v>0</v>
      </c>
    </row>
    <row r="501" spans="12:16" s="23" customFormat="1" ht="13.8">
      <c r="L501" s="23">
        <v>498</v>
      </c>
      <c r="M501" s="23">
        <f ca="1"/>
        <v>250035.94476721642</v>
      </c>
      <c r="N501" s="25">
        <f t="shared" si="21"/>
        <v>127713.65200000002</v>
      </c>
      <c r="O501" s="25">
        <f t="shared" ca="1" si="22"/>
        <v>0</v>
      </c>
      <c r="P501" s="25">
        <f t="shared" ca="1" si="23"/>
        <v>0</v>
      </c>
    </row>
    <row r="502" spans="12:16" s="23" customFormat="1" ht="13.8">
      <c r="L502" s="33">
        <v>499</v>
      </c>
      <c r="M502" s="23">
        <f ca="1"/>
        <v>67432.496798539491</v>
      </c>
      <c r="N502" s="25">
        <f t="shared" si="21"/>
        <v>127713.65200000002</v>
      </c>
      <c r="O502" s="25">
        <f t="shared" ca="1" si="22"/>
        <v>1</v>
      </c>
      <c r="P502" s="25">
        <f t="shared" ca="1" si="23"/>
        <v>0.47200243871704894</v>
      </c>
    </row>
    <row r="503" spans="12:16" s="23" customFormat="1" ht="13.8">
      <c r="L503" s="23">
        <v>500</v>
      </c>
      <c r="M503" s="23">
        <f ca="1"/>
        <v>34734.644705043967</v>
      </c>
      <c r="N503" s="25">
        <f t="shared" si="21"/>
        <v>127713.65200000002</v>
      </c>
      <c r="O503" s="25">
        <f t="shared" ca="1" si="22"/>
        <v>1</v>
      </c>
      <c r="P503" s="25">
        <f t="shared" ca="1" si="23"/>
        <v>0.72802715950019214</v>
      </c>
    </row>
    <row r="504" spans="12:16" s="23" customFormat="1" ht="13.8">
      <c r="L504" s="33">
        <v>501</v>
      </c>
      <c r="M504" s="23">
        <f ca="1"/>
        <v>344068.12021300051</v>
      </c>
      <c r="N504" s="25">
        <f t="shared" si="21"/>
        <v>127713.65200000002</v>
      </c>
      <c r="O504" s="25">
        <f t="shared" ca="1" si="22"/>
        <v>0</v>
      </c>
      <c r="P504" s="25">
        <f t="shared" ca="1" si="23"/>
        <v>0</v>
      </c>
    </row>
    <row r="505" spans="12:16" s="23" customFormat="1" ht="13.8">
      <c r="L505" s="23">
        <v>502</v>
      </c>
      <c r="M505" s="23">
        <f ca="1"/>
        <v>202155.04118167187</v>
      </c>
      <c r="N505" s="25">
        <f t="shared" si="21"/>
        <v>127713.65200000002</v>
      </c>
      <c r="O505" s="25">
        <f t="shared" ca="1" si="22"/>
        <v>0</v>
      </c>
      <c r="P505" s="25">
        <f t="shared" ca="1" si="23"/>
        <v>0</v>
      </c>
    </row>
    <row r="506" spans="12:16" s="23" customFormat="1" ht="13.8">
      <c r="L506" s="33">
        <v>503</v>
      </c>
      <c r="M506" s="23">
        <f ca="1"/>
        <v>124359.45823309703</v>
      </c>
      <c r="N506" s="25">
        <f t="shared" si="21"/>
        <v>127713.65200000002</v>
      </c>
      <c r="O506" s="25">
        <f t="shared" ca="1" si="22"/>
        <v>1</v>
      </c>
      <c r="P506" s="25">
        <f t="shared" ca="1" si="23"/>
        <v>2.6263392475089398E-2</v>
      </c>
    </row>
    <row r="507" spans="12:16" s="23" customFormat="1" ht="13.8">
      <c r="L507" s="23">
        <v>504</v>
      </c>
      <c r="M507" s="23">
        <f ca="1"/>
        <v>245096.10028142505</v>
      </c>
      <c r="N507" s="25">
        <f t="shared" si="21"/>
        <v>127713.65200000002</v>
      </c>
      <c r="O507" s="25">
        <f t="shared" ca="1" si="22"/>
        <v>0</v>
      </c>
      <c r="P507" s="25">
        <f t="shared" ca="1" si="23"/>
        <v>0</v>
      </c>
    </row>
    <row r="508" spans="12:16" s="23" customFormat="1" ht="13.8">
      <c r="L508" s="33">
        <v>505</v>
      </c>
      <c r="M508" s="23">
        <f ca="1"/>
        <v>272728.32082305936</v>
      </c>
      <c r="N508" s="25">
        <f t="shared" si="21"/>
        <v>127713.65200000002</v>
      </c>
      <c r="O508" s="25">
        <f t="shared" ca="1" si="22"/>
        <v>0</v>
      </c>
      <c r="P508" s="25">
        <f t="shared" ca="1" si="23"/>
        <v>0</v>
      </c>
    </row>
    <row r="509" spans="12:16" s="23" customFormat="1" ht="13.8">
      <c r="L509" s="23">
        <v>506</v>
      </c>
      <c r="M509" s="23">
        <f ca="1"/>
        <v>116184.21666899114</v>
      </c>
      <c r="N509" s="25">
        <f t="shared" si="21"/>
        <v>127713.65200000002</v>
      </c>
      <c r="O509" s="25">
        <f t="shared" ca="1" si="22"/>
        <v>1</v>
      </c>
      <c r="P509" s="25">
        <f t="shared" ca="1" si="23"/>
        <v>9.027566865763792E-2</v>
      </c>
    </row>
    <row r="510" spans="12:16" s="23" customFormat="1" ht="13.8">
      <c r="L510" s="33">
        <v>507</v>
      </c>
      <c r="M510" s="23">
        <f ca="1"/>
        <v>91031.636290637354</v>
      </c>
      <c r="N510" s="25">
        <f t="shared" si="21"/>
        <v>127713.65200000002</v>
      </c>
      <c r="O510" s="25">
        <f t="shared" ca="1" si="22"/>
        <v>1</v>
      </c>
      <c r="P510" s="25">
        <f t="shared" ca="1" si="23"/>
        <v>0.28722078755811209</v>
      </c>
    </row>
    <row r="511" spans="12:16" s="23" customFormat="1" ht="13.8">
      <c r="L511" s="23">
        <v>508</v>
      </c>
      <c r="M511" s="23">
        <f ca="1"/>
        <v>228471.9116586856</v>
      </c>
      <c r="N511" s="25">
        <f t="shared" si="21"/>
        <v>127713.65200000002</v>
      </c>
      <c r="O511" s="25">
        <f t="shared" ca="1" si="22"/>
        <v>0</v>
      </c>
      <c r="P511" s="25">
        <f t="shared" ca="1" si="23"/>
        <v>0</v>
      </c>
    </row>
    <row r="512" spans="12:16" s="23" customFormat="1" ht="13.8">
      <c r="L512" s="33">
        <v>509</v>
      </c>
      <c r="M512" s="23">
        <f ca="1"/>
        <v>116472.0124074718</v>
      </c>
      <c r="N512" s="25">
        <f t="shared" si="21"/>
        <v>127713.65200000002</v>
      </c>
      <c r="O512" s="25">
        <f t="shared" ca="1" si="22"/>
        <v>1</v>
      </c>
      <c r="P512" s="25">
        <f t="shared" ca="1" si="23"/>
        <v>8.8022223282192349E-2</v>
      </c>
    </row>
    <row r="513" spans="12:16" s="23" customFormat="1" ht="13.8">
      <c r="L513" s="23">
        <v>510</v>
      </c>
      <c r="M513" s="23">
        <f ca="1"/>
        <v>193239.17502219282</v>
      </c>
      <c r="N513" s="25">
        <f t="shared" si="21"/>
        <v>127713.65200000002</v>
      </c>
      <c r="O513" s="25">
        <f t="shared" ca="1" si="22"/>
        <v>0</v>
      </c>
      <c r="P513" s="25">
        <f t="shared" ca="1" si="23"/>
        <v>0</v>
      </c>
    </row>
    <row r="514" spans="12:16" s="23" customFormat="1" ht="13.8">
      <c r="L514" s="33">
        <v>511</v>
      </c>
      <c r="M514" s="23">
        <f ca="1"/>
        <v>152738.37482574768</v>
      </c>
      <c r="N514" s="25">
        <f t="shared" si="21"/>
        <v>127713.65200000002</v>
      </c>
      <c r="O514" s="25">
        <f t="shared" ca="1" si="22"/>
        <v>0</v>
      </c>
      <c r="P514" s="25">
        <f t="shared" ca="1" si="23"/>
        <v>0</v>
      </c>
    </row>
    <row r="515" spans="12:16" s="23" customFormat="1" ht="13.8">
      <c r="L515" s="23">
        <v>512</v>
      </c>
      <c r="M515" s="23">
        <f ca="1"/>
        <v>64023.416390112216</v>
      </c>
      <c r="N515" s="25">
        <f t="shared" si="21"/>
        <v>127713.65200000002</v>
      </c>
      <c r="O515" s="25">
        <f t="shared" ca="1" si="22"/>
        <v>1</v>
      </c>
      <c r="P515" s="25">
        <f t="shared" ca="1" si="23"/>
        <v>0.49869559449985656</v>
      </c>
    </row>
    <row r="516" spans="12:16" s="23" customFormat="1" ht="13.8">
      <c r="L516" s="33">
        <v>513</v>
      </c>
      <c r="M516" s="23">
        <f ca="1"/>
        <v>267580.54227579397</v>
      </c>
      <c r="N516" s="25">
        <f t="shared" ref="N516:N579" si="24">($C$24+$E$24)*1.1</f>
        <v>127713.65200000002</v>
      </c>
      <c r="O516" s="25">
        <f t="shared" ca="1" si="22"/>
        <v>0</v>
      </c>
      <c r="P516" s="25">
        <f t="shared" ca="1" si="23"/>
        <v>0</v>
      </c>
    </row>
    <row r="517" spans="12:16" s="23" customFormat="1" ht="13.8">
      <c r="L517" s="23">
        <v>514</v>
      </c>
      <c r="M517" s="23">
        <f ca="1"/>
        <v>256649.80772283374</v>
      </c>
      <c r="N517" s="25">
        <f t="shared" si="24"/>
        <v>127713.65200000002</v>
      </c>
      <c r="O517" s="25">
        <f t="shared" ref="O517:O580" ca="1" si="25">IF(M517&lt;N517,1,0)</f>
        <v>0</v>
      </c>
      <c r="P517" s="25">
        <f t="shared" ref="P517:P580" ca="1" si="26">MAX((N517-M517)/N517,0)</f>
        <v>0</v>
      </c>
    </row>
    <row r="518" spans="12:16" s="23" customFormat="1" ht="13.8">
      <c r="L518" s="33">
        <v>515</v>
      </c>
      <c r="M518" s="23">
        <f ca="1"/>
        <v>128432.04947154377</v>
      </c>
      <c r="N518" s="25">
        <f t="shared" si="24"/>
        <v>127713.65200000002</v>
      </c>
      <c r="O518" s="25">
        <f t="shared" ca="1" si="25"/>
        <v>0</v>
      </c>
      <c r="P518" s="25">
        <f t="shared" ca="1" si="26"/>
        <v>0</v>
      </c>
    </row>
    <row r="519" spans="12:16" s="23" customFormat="1" ht="13.8">
      <c r="L519" s="23">
        <v>516</v>
      </c>
      <c r="M519" s="23">
        <f ca="1"/>
        <v>246608.39655985951</v>
      </c>
      <c r="N519" s="25">
        <f t="shared" si="24"/>
        <v>127713.65200000002</v>
      </c>
      <c r="O519" s="25">
        <f t="shared" ca="1" si="25"/>
        <v>0</v>
      </c>
      <c r="P519" s="25">
        <f t="shared" ca="1" si="26"/>
        <v>0</v>
      </c>
    </row>
    <row r="520" spans="12:16" s="23" customFormat="1" ht="13.8">
      <c r="L520" s="33">
        <v>517</v>
      </c>
      <c r="M520" s="23">
        <f ca="1"/>
        <v>111526.18503613361</v>
      </c>
      <c r="N520" s="25">
        <f t="shared" si="24"/>
        <v>127713.65200000002</v>
      </c>
      <c r="O520" s="25">
        <f t="shared" ca="1" si="25"/>
        <v>1</v>
      </c>
      <c r="P520" s="25">
        <f t="shared" ca="1" si="26"/>
        <v>0.12674813311161442</v>
      </c>
    </row>
    <row r="521" spans="12:16" s="23" customFormat="1" ht="13.8">
      <c r="L521" s="23">
        <v>518</v>
      </c>
      <c r="M521" s="23">
        <f ca="1"/>
        <v>142931.99871667428</v>
      </c>
      <c r="N521" s="25">
        <f t="shared" si="24"/>
        <v>127713.65200000002</v>
      </c>
      <c r="O521" s="25">
        <f t="shared" ca="1" si="25"/>
        <v>0</v>
      </c>
      <c r="P521" s="25">
        <f t="shared" ca="1" si="26"/>
        <v>0</v>
      </c>
    </row>
    <row r="522" spans="12:16" s="23" customFormat="1" ht="13.8">
      <c r="L522" s="33">
        <v>519</v>
      </c>
      <c r="M522" s="23">
        <f ca="1"/>
        <v>263197.70496229589</v>
      </c>
      <c r="N522" s="25">
        <f t="shared" si="24"/>
        <v>127713.65200000002</v>
      </c>
      <c r="O522" s="25">
        <f t="shared" ca="1" si="25"/>
        <v>0</v>
      </c>
      <c r="P522" s="25">
        <f t="shared" ca="1" si="26"/>
        <v>0</v>
      </c>
    </row>
    <row r="523" spans="12:16" s="23" customFormat="1" ht="13.8">
      <c r="L523" s="23">
        <v>520</v>
      </c>
      <c r="M523" s="23">
        <f ca="1"/>
        <v>243309.11085107079</v>
      </c>
      <c r="N523" s="25">
        <f t="shared" si="24"/>
        <v>127713.65200000002</v>
      </c>
      <c r="O523" s="25">
        <f t="shared" ca="1" si="25"/>
        <v>0</v>
      </c>
      <c r="P523" s="25">
        <f t="shared" ca="1" si="26"/>
        <v>0</v>
      </c>
    </row>
    <row r="524" spans="12:16" s="23" customFormat="1" ht="13.8">
      <c r="L524" s="33">
        <v>521</v>
      </c>
      <c r="M524" s="23">
        <f ca="1"/>
        <v>219460.5388163405</v>
      </c>
      <c r="N524" s="25">
        <f t="shared" si="24"/>
        <v>127713.65200000002</v>
      </c>
      <c r="O524" s="25">
        <f t="shared" ca="1" si="25"/>
        <v>0</v>
      </c>
      <c r="P524" s="25">
        <f t="shared" ca="1" si="26"/>
        <v>0</v>
      </c>
    </row>
    <row r="525" spans="12:16" s="23" customFormat="1" ht="13.8">
      <c r="L525" s="23">
        <v>522</v>
      </c>
      <c r="M525" s="23">
        <f ca="1"/>
        <v>124799.75112717961</v>
      </c>
      <c r="N525" s="25">
        <f t="shared" si="24"/>
        <v>127713.65200000002</v>
      </c>
      <c r="O525" s="25">
        <f t="shared" ca="1" si="25"/>
        <v>1</v>
      </c>
      <c r="P525" s="25">
        <f t="shared" ca="1" si="26"/>
        <v>2.2815891857985597E-2</v>
      </c>
    </row>
    <row r="526" spans="12:16" s="23" customFormat="1" ht="13.8">
      <c r="L526" s="33">
        <v>523</v>
      </c>
      <c r="M526" s="23">
        <f ca="1"/>
        <v>322223.44357909617</v>
      </c>
      <c r="N526" s="25">
        <f t="shared" si="24"/>
        <v>127713.65200000002</v>
      </c>
      <c r="O526" s="25">
        <f t="shared" ca="1" si="25"/>
        <v>0</v>
      </c>
      <c r="P526" s="25">
        <f t="shared" ca="1" si="26"/>
        <v>0</v>
      </c>
    </row>
    <row r="527" spans="12:16" s="23" customFormat="1" ht="13.8">
      <c r="L527" s="23">
        <v>524</v>
      </c>
      <c r="M527" s="23">
        <f ca="1"/>
        <v>274465.05832744919</v>
      </c>
      <c r="N527" s="25">
        <f t="shared" si="24"/>
        <v>127713.65200000002</v>
      </c>
      <c r="O527" s="25">
        <f t="shared" ca="1" si="25"/>
        <v>0</v>
      </c>
      <c r="P527" s="25">
        <f t="shared" ca="1" si="26"/>
        <v>0</v>
      </c>
    </row>
    <row r="528" spans="12:16" s="23" customFormat="1" ht="13.8">
      <c r="L528" s="33">
        <v>525</v>
      </c>
      <c r="M528" s="23">
        <f ca="1"/>
        <v>190298.38438593308</v>
      </c>
      <c r="N528" s="25">
        <f t="shared" si="24"/>
        <v>127713.65200000002</v>
      </c>
      <c r="O528" s="25">
        <f t="shared" ca="1" si="25"/>
        <v>0</v>
      </c>
      <c r="P528" s="25">
        <f t="shared" ca="1" si="26"/>
        <v>0</v>
      </c>
    </row>
    <row r="529" spans="12:16" s="23" customFormat="1" ht="13.8">
      <c r="L529" s="23">
        <v>526</v>
      </c>
      <c r="M529" s="23">
        <f ca="1"/>
        <v>180824.2562915101</v>
      </c>
      <c r="N529" s="25">
        <f t="shared" si="24"/>
        <v>127713.65200000002</v>
      </c>
      <c r="O529" s="25">
        <f t="shared" ca="1" si="25"/>
        <v>0</v>
      </c>
      <c r="P529" s="25">
        <f t="shared" ca="1" si="26"/>
        <v>0</v>
      </c>
    </row>
    <row r="530" spans="12:16" s="23" customFormat="1" ht="13.8">
      <c r="L530" s="33">
        <v>527</v>
      </c>
      <c r="M530" s="23">
        <f ca="1"/>
        <v>397520.50451782276</v>
      </c>
      <c r="N530" s="25">
        <f t="shared" si="24"/>
        <v>127713.65200000002</v>
      </c>
      <c r="O530" s="25">
        <f t="shared" ca="1" si="25"/>
        <v>0</v>
      </c>
      <c r="P530" s="25">
        <f t="shared" ca="1" si="26"/>
        <v>0</v>
      </c>
    </row>
    <row r="531" spans="12:16" s="23" customFormat="1" ht="13.8">
      <c r="L531" s="23">
        <v>528</v>
      </c>
      <c r="M531" s="23">
        <f ca="1"/>
        <v>125154.50100606999</v>
      </c>
      <c r="N531" s="25">
        <f t="shared" si="24"/>
        <v>127713.65200000002</v>
      </c>
      <c r="O531" s="25">
        <f t="shared" ca="1" si="25"/>
        <v>1</v>
      </c>
      <c r="P531" s="25">
        <f t="shared" ca="1" si="26"/>
        <v>2.003819445966536E-2</v>
      </c>
    </row>
    <row r="532" spans="12:16" s="23" customFormat="1" ht="13.8">
      <c r="L532" s="33">
        <v>529</v>
      </c>
      <c r="M532" s="23">
        <f ca="1"/>
        <v>211295.81515116515</v>
      </c>
      <c r="N532" s="25">
        <f t="shared" si="24"/>
        <v>127713.65200000002</v>
      </c>
      <c r="O532" s="25">
        <f t="shared" ca="1" si="25"/>
        <v>0</v>
      </c>
      <c r="P532" s="25">
        <f t="shared" ca="1" si="26"/>
        <v>0</v>
      </c>
    </row>
    <row r="533" spans="12:16" s="23" customFormat="1" ht="13.8">
      <c r="L533" s="23">
        <v>530</v>
      </c>
      <c r="M533" s="23">
        <f ca="1"/>
        <v>172188.52781710459</v>
      </c>
      <c r="N533" s="25">
        <f t="shared" si="24"/>
        <v>127713.65200000002</v>
      </c>
      <c r="O533" s="25">
        <f t="shared" ca="1" si="25"/>
        <v>0</v>
      </c>
      <c r="P533" s="25">
        <f t="shared" ca="1" si="26"/>
        <v>0</v>
      </c>
    </row>
    <row r="534" spans="12:16" s="23" customFormat="1" ht="13.8">
      <c r="L534" s="33">
        <v>531</v>
      </c>
      <c r="M534" s="23">
        <f ca="1"/>
        <v>118511.63653653035</v>
      </c>
      <c r="N534" s="25">
        <f t="shared" si="24"/>
        <v>127713.65200000002</v>
      </c>
      <c r="O534" s="25">
        <f t="shared" ca="1" si="25"/>
        <v>1</v>
      </c>
      <c r="P534" s="25">
        <f t="shared" ca="1" si="26"/>
        <v>7.2051932736757585E-2</v>
      </c>
    </row>
    <row r="535" spans="12:16" s="23" customFormat="1" ht="13.8">
      <c r="L535" s="23">
        <v>532</v>
      </c>
      <c r="M535" s="23">
        <f ca="1"/>
        <v>213895.38369425069</v>
      </c>
      <c r="N535" s="25">
        <f t="shared" si="24"/>
        <v>127713.65200000002</v>
      </c>
      <c r="O535" s="25">
        <f t="shared" ca="1" si="25"/>
        <v>0</v>
      </c>
      <c r="P535" s="25">
        <f t="shared" ca="1" si="26"/>
        <v>0</v>
      </c>
    </row>
    <row r="536" spans="12:16" s="23" customFormat="1" ht="13.8">
      <c r="L536" s="33">
        <v>533</v>
      </c>
      <c r="M536" s="23">
        <f ca="1"/>
        <v>193858.38569465274</v>
      </c>
      <c r="N536" s="25">
        <f t="shared" si="24"/>
        <v>127713.65200000002</v>
      </c>
      <c r="O536" s="25">
        <f t="shared" ca="1" si="25"/>
        <v>0</v>
      </c>
      <c r="P536" s="25">
        <f t="shared" ca="1" si="26"/>
        <v>0</v>
      </c>
    </row>
    <row r="537" spans="12:16" s="23" customFormat="1" ht="13.8">
      <c r="L537" s="23">
        <v>534</v>
      </c>
      <c r="M537" s="23">
        <f ca="1"/>
        <v>169326.70562986934</v>
      </c>
      <c r="N537" s="25">
        <f t="shared" si="24"/>
        <v>127713.65200000002</v>
      </c>
      <c r="O537" s="25">
        <f t="shared" ca="1" si="25"/>
        <v>0</v>
      </c>
      <c r="P537" s="25">
        <f t="shared" ca="1" si="26"/>
        <v>0</v>
      </c>
    </row>
    <row r="538" spans="12:16" s="23" customFormat="1" ht="13.8">
      <c r="L538" s="33">
        <v>535</v>
      </c>
      <c r="M538" s="23">
        <f ca="1"/>
        <v>127521.71067348322</v>
      </c>
      <c r="N538" s="25">
        <f t="shared" si="24"/>
        <v>127713.65200000002</v>
      </c>
      <c r="O538" s="25">
        <f t="shared" ca="1" si="25"/>
        <v>1</v>
      </c>
      <c r="P538" s="25">
        <f t="shared" ca="1" si="26"/>
        <v>1.5029037499984482E-3</v>
      </c>
    </row>
    <row r="539" spans="12:16" s="23" customFormat="1" ht="13.8">
      <c r="L539" s="23">
        <v>536</v>
      </c>
      <c r="M539" s="23">
        <f ca="1"/>
        <v>231368.8764793291</v>
      </c>
      <c r="N539" s="25">
        <f t="shared" si="24"/>
        <v>127713.65200000002</v>
      </c>
      <c r="O539" s="25">
        <f t="shared" ca="1" si="25"/>
        <v>0</v>
      </c>
      <c r="P539" s="25">
        <f t="shared" ca="1" si="26"/>
        <v>0</v>
      </c>
    </row>
    <row r="540" spans="12:16" s="23" customFormat="1" ht="13.8">
      <c r="L540" s="33">
        <v>537</v>
      </c>
      <c r="M540" s="23">
        <f ca="1"/>
        <v>206515.33242358558</v>
      </c>
      <c r="N540" s="25">
        <f t="shared" si="24"/>
        <v>127713.65200000002</v>
      </c>
      <c r="O540" s="25">
        <f t="shared" ca="1" si="25"/>
        <v>0</v>
      </c>
      <c r="P540" s="25">
        <f t="shared" ca="1" si="26"/>
        <v>0</v>
      </c>
    </row>
    <row r="541" spans="12:16" s="23" customFormat="1" ht="13.8">
      <c r="L541" s="23">
        <v>538</v>
      </c>
      <c r="M541" s="23">
        <f ca="1"/>
        <v>119030.97496050198</v>
      </c>
      <c r="N541" s="25">
        <f t="shared" si="24"/>
        <v>127713.65200000002</v>
      </c>
      <c r="O541" s="25">
        <f t="shared" ca="1" si="25"/>
        <v>1</v>
      </c>
      <c r="P541" s="25">
        <f t="shared" ca="1" si="26"/>
        <v>6.7985504317878559E-2</v>
      </c>
    </row>
    <row r="542" spans="12:16" s="23" customFormat="1" ht="13.8">
      <c r="L542" s="33">
        <v>539</v>
      </c>
      <c r="M542" s="23">
        <f ca="1"/>
        <v>193433.33088871645</v>
      </c>
      <c r="N542" s="25">
        <f t="shared" si="24"/>
        <v>127713.65200000002</v>
      </c>
      <c r="O542" s="25">
        <f t="shared" ca="1" si="25"/>
        <v>0</v>
      </c>
      <c r="P542" s="25">
        <f t="shared" ca="1" si="26"/>
        <v>0</v>
      </c>
    </row>
    <row r="543" spans="12:16" s="23" customFormat="1" ht="13.8">
      <c r="L543" s="23">
        <v>540</v>
      </c>
      <c r="M543" s="23">
        <f ca="1"/>
        <v>177806.86631284931</v>
      </c>
      <c r="N543" s="25">
        <f t="shared" si="24"/>
        <v>127713.65200000002</v>
      </c>
      <c r="O543" s="25">
        <f t="shared" ca="1" si="25"/>
        <v>0</v>
      </c>
      <c r="P543" s="25">
        <f t="shared" ca="1" si="26"/>
        <v>0</v>
      </c>
    </row>
    <row r="544" spans="12:16" s="23" customFormat="1" ht="13.8">
      <c r="L544" s="33">
        <v>541</v>
      </c>
      <c r="M544" s="23">
        <f ca="1"/>
        <v>275508.43660646281</v>
      </c>
      <c r="N544" s="25">
        <f t="shared" si="24"/>
        <v>127713.65200000002</v>
      </c>
      <c r="O544" s="25">
        <f t="shared" ca="1" si="25"/>
        <v>0</v>
      </c>
      <c r="P544" s="25">
        <f t="shared" ca="1" si="26"/>
        <v>0</v>
      </c>
    </row>
    <row r="545" spans="12:16" s="23" customFormat="1" ht="13.8">
      <c r="L545" s="23">
        <v>542</v>
      </c>
      <c r="M545" s="23">
        <f ca="1"/>
        <v>71471.020113110251</v>
      </c>
      <c r="N545" s="25">
        <f t="shared" si="24"/>
        <v>127713.65200000002</v>
      </c>
      <c r="O545" s="25">
        <f t="shared" ca="1" si="25"/>
        <v>1</v>
      </c>
      <c r="P545" s="25">
        <f t="shared" ca="1" si="26"/>
        <v>0.44038073460533222</v>
      </c>
    </row>
    <row r="546" spans="12:16" s="23" customFormat="1" ht="13.8">
      <c r="L546" s="33">
        <v>543</v>
      </c>
      <c r="M546" s="23">
        <f ca="1"/>
        <v>280279.92428533779</v>
      </c>
      <c r="N546" s="25">
        <f t="shared" si="24"/>
        <v>127713.65200000002</v>
      </c>
      <c r="O546" s="25">
        <f t="shared" ca="1" si="25"/>
        <v>0</v>
      </c>
      <c r="P546" s="25">
        <f t="shared" ca="1" si="26"/>
        <v>0</v>
      </c>
    </row>
    <row r="547" spans="12:16" s="23" customFormat="1" ht="13.8">
      <c r="L547" s="23">
        <v>544</v>
      </c>
      <c r="M547" s="23">
        <f ca="1"/>
        <v>155746.66331560179</v>
      </c>
      <c r="N547" s="25">
        <f t="shared" si="24"/>
        <v>127713.65200000002</v>
      </c>
      <c r="O547" s="25">
        <f t="shared" ca="1" si="25"/>
        <v>0</v>
      </c>
      <c r="P547" s="25">
        <f t="shared" ca="1" si="26"/>
        <v>0</v>
      </c>
    </row>
    <row r="548" spans="12:16" s="23" customFormat="1" ht="13.8">
      <c r="L548" s="33">
        <v>545</v>
      </c>
      <c r="M548" s="23">
        <f ca="1"/>
        <v>203696.18353683717</v>
      </c>
      <c r="N548" s="25">
        <f t="shared" si="24"/>
        <v>127713.65200000002</v>
      </c>
      <c r="O548" s="25">
        <f t="shared" ca="1" si="25"/>
        <v>0</v>
      </c>
      <c r="P548" s="25">
        <f t="shared" ca="1" si="26"/>
        <v>0</v>
      </c>
    </row>
    <row r="549" spans="12:16" s="23" customFormat="1" ht="13.8">
      <c r="L549" s="23">
        <v>546</v>
      </c>
      <c r="M549" s="23">
        <f ca="1"/>
        <v>38042.135946779032</v>
      </c>
      <c r="N549" s="25">
        <f t="shared" si="24"/>
        <v>127713.65200000002</v>
      </c>
      <c r="O549" s="25">
        <f t="shared" ca="1" si="25"/>
        <v>1</v>
      </c>
      <c r="P549" s="25">
        <f t="shared" ca="1" si="26"/>
        <v>0.70212944856686876</v>
      </c>
    </row>
    <row r="550" spans="12:16" s="23" customFormat="1" ht="13.8">
      <c r="L550" s="33">
        <v>547</v>
      </c>
      <c r="M550" s="23">
        <f ca="1"/>
        <v>95527.365441612899</v>
      </c>
      <c r="N550" s="25">
        <f t="shared" si="24"/>
        <v>127713.65200000002</v>
      </c>
      <c r="O550" s="25">
        <f t="shared" ca="1" si="25"/>
        <v>1</v>
      </c>
      <c r="P550" s="25">
        <f t="shared" ca="1" si="26"/>
        <v>0.25201915421216764</v>
      </c>
    </row>
    <row r="551" spans="12:16" s="23" customFormat="1" ht="13.8">
      <c r="L551" s="23">
        <v>548</v>
      </c>
      <c r="M551" s="23">
        <f ca="1"/>
        <v>301591.06162764202</v>
      </c>
      <c r="N551" s="25">
        <f t="shared" si="24"/>
        <v>127713.65200000002</v>
      </c>
      <c r="O551" s="25">
        <f t="shared" ca="1" si="25"/>
        <v>0</v>
      </c>
      <c r="P551" s="25">
        <f t="shared" ca="1" si="26"/>
        <v>0</v>
      </c>
    </row>
    <row r="552" spans="12:16" s="23" customFormat="1" ht="13.8">
      <c r="L552" s="33">
        <v>549</v>
      </c>
      <c r="M552" s="23">
        <f ca="1"/>
        <v>224027.2135790746</v>
      </c>
      <c r="N552" s="25">
        <f t="shared" si="24"/>
        <v>127713.65200000002</v>
      </c>
      <c r="O552" s="25">
        <f t="shared" ca="1" si="25"/>
        <v>0</v>
      </c>
      <c r="P552" s="25">
        <f t="shared" ca="1" si="26"/>
        <v>0</v>
      </c>
    </row>
    <row r="553" spans="12:16" s="23" customFormat="1" ht="13.8">
      <c r="L553" s="23">
        <v>550</v>
      </c>
      <c r="M553" s="23">
        <f ca="1"/>
        <v>317796.14889814204</v>
      </c>
      <c r="N553" s="25">
        <f t="shared" si="24"/>
        <v>127713.65200000002</v>
      </c>
      <c r="O553" s="25">
        <f t="shared" ca="1" si="25"/>
        <v>0</v>
      </c>
      <c r="P553" s="25">
        <f t="shared" ca="1" si="26"/>
        <v>0</v>
      </c>
    </row>
    <row r="554" spans="12:16" s="23" customFormat="1" ht="13.8">
      <c r="L554" s="33">
        <v>551</v>
      </c>
      <c r="M554" s="23">
        <f ca="1"/>
        <v>100705.05880648163</v>
      </c>
      <c r="N554" s="25">
        <f t="shared" si="24"/>
        <v>127713.65200000002</v>
      </c>
      <c r="O554" s="25">
        <f t="shared" ca="1" si="25"/>
        <v>1</v>
      </c>
      <c r="P554" s="25">
        <f t="shared" ca="1" si="26"/>
        <v>0.21147772983203383</v>
      </c>
    </row>
    <row r="555" spans="12:16" s="23" customFormat="1" ht="13.8">
      <c r="L555" s="23">
        <v>552</v>
      </c>
      <c r="M555" s="23">
        <f ca="1"/>
        <v>131899.04861446421</v>
      </c>
      <c r="N555" s="25">
        <f t="shared" si="24"/>
        <v>127713.65200000002</v>
      </c>
      <c r="O555" s="25">
        <f t="shared" ca="1" si="25"/>
        <v>0</v>
      </c>
      <c r="P555" s="25">
        <f t="shared" ca="1" si="26"/>
        <v>0</v>
      </c>
    </row>
    <row r="556" spans="12:16" s="23" customFormat="1" ht="13.8">
      <c r="L556" s="33">
        <v>553</v>
      </c>
      <c r="M556" s="23">
        <f ca="1"/>
        <v>135866.73476284137</v>
      </c>
      <c r="N556" s="25">
        <f t="shared" si="24"/>
        <v>127713.65200000002</v>
      </c>
      <c r="O556" s="25">
        <f t="shared" ca="1" si="25"/>
        <v>0</v>
      </c>
      <c r="P556" s="25">
        <f t="shared" ca="1" si="26"/>
        <v>0</v>
      </c>
    </row>
    <row r="557" spans="12:16" s="23" customFormat="1" ht="13.8">
      <c r="L557" s="23">
        <v>554</v>
      </c>
      <c r="M557" s="23">
        <f ca="1"/>
        <v>182039.91651980072</v>
      </c>
      <c r="N557" s="25">
        <f t="shared" si="24"/>
        <v>127713.65200000002</v>
      </c>
      <c r="O557" s="25">
        <f t="shared" ca="1" si="25"/>
        <v>0</v>
      </c>
      <c r="P557" s="25">
        <f t="shared" ca="1" si="26"/>
        <v>0</v>
      </c>
    </row>
    <row r="558" spans="12:16" s="23" customFormat="1" ht="13.8">
      <c r="L558" s="33">
        <v>555</v>
      </c>
      <c r="M558" s="23">
        <f ca="1"/>
        <v>123409.95179159591</v>
      </c>
      <c r="N558" s="25">
        <f t="shared" si="24"/>
        <v>127713.65200000002</v>
      </c>
      <c r="O558" s="25">
        <f t="shared" ca="1" si="25"/>
        <v>1</v>
      </c>
      <c r="P558" s="25">
        <f t="shared" ca="1" si="26"/>
        <v>3.3698043560794116E-2</v>
      </c>
    </row>
    <row r="559" spans="12:16" s="23" customFormat="1" ht="13.8">
      <c r="L559" s="23">
        <v>556</v>
      </c>
      <c r="M559" s="23">
        <f ca="1"/>
        <v>74685.02481838144</v>
      </c>
      <c r="N559" s="25">
        <f t="shared" si="24"/>
        <v>127713.65200000002</v>
      </c>
      <c r="O559" s="25">
        <f t="shared" ca="1" si="25"/>
        <v>1</v>
      </c>
      <c r="P559" s="25">
        <f t="shared" ca="1" si="26"/>
        <v>0.41521502479326616</v>
      </c>
    </row>
    <row r="560" spans="12:16" s="23" customFormat="1" ht="13.8">
      <c r="L560" s="33">
        <v>557</v>
      </c>
      <c r="M560" s="23">
        <f ca="1"/>
        <v>376427.22437786544</v>
      </c>
      <c r="N560" s="25">
        <f t="shared" si="24"/>
        <v>127713.65200000002</v>
      </c>
      <c r="O560" s="25">
        <f t="shared" ca="1" si="25"/>
        <v>0</v>
      </c>
      <c r="P560" s="25">
        <f t="shared" ca="1" si="26"/>
        <v>0</v>
      </c>
    </row>
    <row r="561" spans="12:16" s="23" customFormat="1" ht="13.8">
      <c r="L561" s="23">
        <v>558</v>
      </c>
      <c r="M561" s="23">
        <f ca="1"/>
        <v>200375.83892621516</v>
      </c>
      <c r="N561" s="25">
        <f t="shared" si="24"/>
        <v>127713.65200000002</v>
      </c>
      <c r="O561" s="25">
        <f t="shared" ca="1" si="25"/>
        <v>0</v>
      </c>
      <c r="P561" s="25">
        <f t="shared" ca="1" si="26"/>
        <v>0</v>
      </c>
    </row>
    <row r="562" spans="12:16" s="23" customFormat="1" ht="13.8">
      <c r="L562" s="33">
        <v>559</v>
      </c>
      <c r="M562" s="23">
        <f ca="1"/>
        <v>295281.84210908168</v>
      </c>
      <c r="N562" s="25">
        <f t="shared" si="24"/>
        <v>127713.65200000002</v>
      </c>
      <c r="O562" s="25">
        <f t="shared" ca="1" si="25"/>
        <v>0</v>
      </c>
      <c r="P562" s="25">
        <f t="shared" ca="1" si="26"/>
        <v>0</v>
      </c>
    </row>
    <row r="563" spans="12:16" s="23" customFormat="1" ht="13.8">
      <c r="L563" s="23">
        <v>560</v>
      </c>
      <c r="M563" s="23">
        <f ca="1"/>
        <v>175633.964723835</v>
      </c>
      <c r="N563" s="25">
        <f t="shared" si="24"/>
        <v>127713.65200000002</v>
      </c>
      <c r="O563" s="25">
        <f t="shared" ca="1" si="25"/>
        <v>0</v>
      </c>
      <c r="P563" s="25">
        <f t="shared" ca="1" si="26"/>
        <v>0</v>
      </c>
    </row>
    <row r="564" spans="12:16" s="23" customFormat="1" ht="13.8">
      <c r="L564" s="33">
        <v>561</v>
      </c>
      <c r="M564" s="23">
        <f ca="1"/>
        <v>207728.64581891475</v>
      </c>
      <c r="N564" s="25">
        <f t="shared" si="24"/>
        <v>127713.65200000002</v>
      </c>
      <c r="O564" s="25">
        <f t="shared" ca="1" si="25"/>
        <v>0</v>
      </c>
      <c r="P564" s="25">
        <f t="shared" ca="1" si="26"/>
        <v>0</v>
      </c>
    </row>
    <row r="565" spans="12:16" s="23" customFormat="1" ht="13.8">
      <c r="L565" s="23">
        <v>562</v>
      </c>
      <c r="M565" s="23">
        <f ca="1"/>
        <v>254957.32928458639</v>
      </c>
      <c r="N565" s="25">
        <f t="shared" si="24"/>
        <v>127713.65200000002</v>
      </c>
      <c r="O565" s="25">
        <f t="shared" ca="1" si="25"/>
        <v>0</v>
      </c>
      <c r="P565" s="25">
        <f t="shared" ca="1" si="26"/>
        <v>0</v>
      </c>
    </row>
    <row r="566" spans="12:16" s="23" customFormat="1" ht="13.8">
      <c r="L566" s="33">
        <v>563</v>
      </c>
      <c r="M566" s="23">
        <f ca="1"/>
        <v>159513.68306619622</v>
      </c>
      <c r="N566" s="25">
        <f t="shared" si="24"/>
        <v>127713.65200000002</v>
      </c>
      <c r="O566" s="25">
        <f t="shared" ca="1" si="25"/>
        <v>0</v>
      </c>
      <c r="P566" s="25">
        <f t="shared" ca="1" si="26"/>
        <v>0</v>
      </c>
    </row>
    <row r="567" spans="12:16" s="23" customFormat="1" ht="13.8">
      <c r="L567" s="23">
        <v>564</v>
      </c>
      <c r="M567" s="23">
        <f ca="1"/>
        <v>149059.61567089552</v>
      </c>
      <c r="N567" s="25">
        <f t="shared" si="24"/>
        <v>127713.65200000002</v>
      </c>
      <c r="O567" s="25">
        <f t="shared" ca="1" si="25"/>
        <v>0</v>
      </c>
      <c r="P567" s="25">
        <f t="shared" ca="1" si="26"/>
        <v>0</v>
      </c>
    </row>
    <row r="568" spans="12:16" s="23" customFormat="1" ht="13.8">
      <c r="L568" s="33">
        <v>565</v>
      </c>
      <c r="M568" s="23">
        <f ca="1"/>
        <v>131618.84460369582</v>
      </c>
      <c r="N568" s="25">
        <f t="shared" si="24"/>
        <v>127713.65200000002</v>
      </c>
      <c r="O568" s="25">
        <f t="shared" ca="1" si="25"/>
        <v>0</v>
      </c>
      <c r="P568" s="25">
        <f t="shared" ca="1" si="26"/>
        <v>0</v>
      </c>
    </row>
    <row r="569" spans="12:16" s="23" customFormat="1" ht="13.8">
      <c r="L569" s="23">
        <v>566</v>
      </c>
      <c r="M569" s="23">
        <f ca="1"/>
        <v>70772.269473492503</v>
      </c>
      <c r="N569" s="25">
        <f t="shared" si="24"/>
        <v>127713.65200000002</v>
      </c>
      <c r="O569" s="25">
        <f t="shared" ca="1" si="25"/>
        <v>1</v>
      </c>
      <c r="P569" s="25">
        <f t="shared" ca="1" si="26"/>
        <v>0.44585196362960089</v>
      </c>
    </row>
    <row r="570" spans="12:16" s="23" customFormat="1" ht="13.8">
      <c r="L570" s="33">
        <v>567</v>
      </c>
      <c r="M570" s="23">
        <f ca="1"/>
        <v>85522.535854581816</v>
      </c>
      <c r="N570" s="25">
        <f t="shared" si="24"/>
        <v>127713.65200000002</v>
      </c>
      <c r="O570" s="25">
        <f t="shared" ca="1" si="25"/>
        <v>1</v>
      </c>
      <c r="P570" s="25">
        <f t="shared" ca="1" si="26"/>
        <v>0.33035713476753603</v>
      </c>
    </row>
    <row r="571" spans="12:16" s="23" customFormat="1" ht="13.8">
      <c r="L571" s="23">
        <v>568</v>
      </c>
      <c r="M571" s="23">
        <f ca="1"/>
        <v>147149.72201903092</v>
      </c>
      <c r="N571" s="25">
        <f t="shared" si="24"/>
        <v>127713.65200000002</v>
      </c>
      <c r="O571" s="25">
        <f t="shared" ca="1" si="25"/>
        <v>0</v>
      </c>
      <c r="P571" s="25">
        <f t="shared" ca="1" si="26"/>
        <v>0</v>
      </c>
    </row>
    <row r="572" spans="12:16" s="23" customFormat="1" ht="13.8">
      <c r="L572" s="33">
        <v>569</v>
      </c>
      <c r="M572" s="23">
        <f ca="1"/>
        <v>205433.27185009597</v>
      </c>
      <c r="N572" s="25">
        <f t="shared" si="24"/>
        <v>127713.65200000002</v>
      </c>
      <c r="O572" s="25">
        <f t="shared" ca="1" si="25"/>
        <v>0</v>
      </c>
      <c r="P572" s="25">
        <f t="shared" ca="1" si="26"/>
        <v>0</v>
      </c>
    </row>
    <row r="573" spans="12:16" s="23" customFormat="1" ht="13.8">
      <c r="L573" s="23">
        <v>570</v>
      </c>
      <c r="M573" s="23">
        <f ca="1"/>
        <v>103047.22287612656</v>
      </c>
      <c r="N573" s="25">
        <f t="shared" si="24"/>
        <v>127713.65200000002</v>
      </c>
      <c r="O573" s="25">
        <f t="shared" ca="1" si="25"/>
        <v>1</v>
      </c>
      <c r="P573" s="25">
        <f t="shared" ca="1" si="26"/>
        <v>0.19313854656566751</v>
      </c>
    </row>
    <row r="574" spans="12:16" s="23" customFormat="1" ht="13.8">
      <c r="L574" s="33">
        <v>571</v>
      </c>
      <c r="M574" s="23">
        <f ca="1"/>
        <v>231792.52825139245</v>
      </c>
      <c r="N574" s="25">
        <f t="shared" si="24"/>
        <v>127713.65200000002</v>
      </c>
      <c r="O574" s="25">
        <f t="shared" ca="1" si="25"/>
        <v>0</v>
      </c>
      <c r="P574" s="25">
        <f t="shared" ca="1" si="26"/>
        <v>0</v>
      </c>
    </row>
    <row r="575" spans="12:16" s="23" customFormat="1" ht="13.8">
      <c r="L575" s="23">
        <v>572</v>
      </c>
      <c r="M575" s="23">
        <f ca="1"/>
        <v>242402.13995669526</v>
      </c>
      <c r="N575" s="25">
        <f t="shared" si="24"/>
        <v>127713.65200000002</v>
      </c>
      <c r="O575" s="25">
        <f t="shared" ca="1" si="25"/>
        <v>0</v>
      </c>
      <c r="P575" s="25">
        <f t="shared" ca="1" si="26"/>
        <v>0</v>
      </c>
    </row>
    <row r="576" spans="12:16" s="23" customFormat="1" ht="13.8">
      <c r="L576" s="33">
        <v>573</v>
      </c>
      <c r="M576" s="23">
        <f ca="1"/>
        <v>99113.851482904167</v>
      </c>
      <c r="N576" s="25">
        <f t="shared" si="24"/>
        <v>127713.65200000002</v>
      </c>
      <c r="O576" s="25">
        <f t="shared" ca="1" si="25"/>
        <v>1</v>
      </c>
      <c r="P576" s="25">
        <f t="shared" ca="1" si="26"/>
        <v>0.22393690940022484</v>
      </c>
    </row>
    <row r="577" spans="12:16" s="23" customFormat="1" ht="13.8">
      <c r="L577" s="23">
        <v>574</v>
      </c>
      <c r="M577" s="23">
        <f ca="1"/>
        <v>291280.19903297722</v>
      </c>
      <c r="N577" s="25">
        <f t="shared" si="24"/>
        <v>127713.65200000002</v>
      </c>
      <c r="O577" s="25">
        <f t="shared" ca="1" si="25"/>
        <v>0</v>
      </c>
      <c r="P577" s="25">
        <f t="shared" ca="1" si="26"/>
        <v>0</v>
      </c>
    </row>
    <row r="578" spans="12:16" s="23" customFormat="1" ht="13.8">
      <c r="L578" s="33">
        <v>575</v>
      </c>
      <c r="M578" s="23">
        <f ca="1"/>
        <v>46770.575854141811</v>
      </c>
      <c r="N578" s="25">
        <f t="shared" si="24"/>
        <v>127713.65200000002</v>
      </c>
      <c r="O578" s="25">
        <f t="shared" ca="1" si="25"/>
        <v>1</v>
      </c>
      <c r="P578" s="25">
        <f t="shared" ca="1" si="26"/>
        <v>0.63378562023939466</v>
      </c>
    </row>
    <row r="579" spans="12:16" s="23" customFormat="1" ht="13.8">
      <c r="L579" s="23">
        <v>576</v>
      </c>
      <c r="M579" s="23">
        <f ca="1"/>
        <v>245540.56209859499</v>
      </c>
      <c r="N579" s="25">
        <f t="shared" si="24"/>
        <v>127713.65200000002</v>
      </c>
      <c r="O579" s="25">
        <f t="shared" ca="1" si="25"/>
        <v>0</v>
      </c>
      <c r="P579" s="25">
        <f t="shared" ca="1" si="26"/>
        <v>0</v>
      </c>
    </row>
    <row r="580" spans="12:16" s="23" customFormat="1" ht="13.8">
      <c r="L580" s="33">
        <v>577</v>
      </c>
      <c r="M580" s="23">
        <f ca="1"/>
        <v>302831.6038313146</v>
      </c>
      <c r="N580" s="25">
        <f t="shared" ref="N580:N643" si="27">($C$24+$E$24)*1.1</f>
        <v>127713.65200000002</v>
      </c>
      <c r="O580" s="25">
        <f t="shared" ca="1" si="25"/>
        <v>0</v>
      </c>
      <c r="P580" s="25">
        <f t="shared" ca="1" si="26"/>
        <v>0</v>
      </c>
    </row>
    <row r="581" spans="12:16" s="23" customFormat="1" ht="13.8">
      <c r="L581" s="23">
        <v>578</v>
      </c>
      <c r="M581" s="23">
        <f ca="1"/>
        <v>197948.29249912704</v>
      </c>
      <c r="N581" s="25">
        <f t="shared" si="27"/>
        <v>127713.65200000002</v>
      </c>
      <c r="O581" s="25">
        <f t="shared" ref="O581:O644" ca="1" si="28">IF(M581&lt;N581,1,0)</f>
        <v>0</v>
      </c>
      <c r="P581" s="25">
        <f t="shared" ref="P581:P644" ca="1" si="29">MAX((N581-M581)/N581,0)</f>
        <v>0</v>
      </c>
    </row>
    <row r="582" spans="12:16" s="23" customFormat="1" ht="13.8">
      <c r="L582" s="33">
        <v>579</v>
      </c>
      <c r="M582" s="23">
        <f ca="1"/>
        <v>118948.87384731165</v>
      </c>
      <c r="N582" s="25">
        <f t="shared" si="27"/>
        <v>127713.65200000002</v>
      </c>
      <c r="O582" s="25">
        <f t="shared" ca="1" si="28"/>
        <v>1</v>
      </c>
      <c r="P582" s="25">
        <f t="shared" ca="1" si="29"/>
        <v>6.862835738726164E-2</v>
      </c>
    </row>
    <row r="583" spans="12:16" s="23" customFormat="1" ht="13.8">
      <c r="L583" s="23">
        <v>580</v>
      </c>
      <c r="M583" s="23">
        <f ca="1"/>
        <v>141900.34069642652</v>
      </c>
      <c r="N583" s="25">
        <f t="shared" si="27"/>
        <v>127713.65200000002</v>
      </c>
      <c r="O583" s="25">
        <f t="shared" ca="1" si="28"/>
        <v>0</v>
      </c>
      <c r="P583" s="25">
        <f t="shared" ca="1" si="29"/>
        <v>0</v>
      </c>
    </row>
    <row r="584" spans="12:16" s="23" customFormat="1" ht="13.8">
      <c r="L584" s="33">
        <v>581</v>
      </c>
      <c r="M584" s="23">
        <f ca="1"/>
        <v>148710.18595584692</v>
      </c>
      <c r="N584" s="25">
        <f t="shared" si="27"/>
        <v>127713.65200000002</v>
      </c>
      <c r="O584" s="25">
        <f t="shared" ca="1" si="28"/>
        <v>0</v>
      </c>
      <c r="P584" s="25">
        <f t="shared" ca="1" si="29"/>
        <v>0</v>
      </c>
    </row>
    <row r="585" spans="12:16" s="23" customFormat="1" ht="13.8">
      <c r="L585" s="23">
        <v>582</v>
      </c>
      <c r="M585" s="23">
        <f ca="1"/>
        <v>159299.02321829469</v>
      </c>
      <c r="N585" s="25">
        <f t="shared" si="27"/>
        <v>127713.65200000002</v>
      </c>
      <c r="O585" s="25">
        <f t="shared" ca="1" si="28"/>
        <v>0</v>
      </c>
      <c r="P585" s="25">
        <f t="shared" ca="1" si="29"/>
        <v>0</v>
      </c>
    </row>
    <row r="586" spans="12:16" s="23" customFormat="1" ht="13.8">
      <c r="L586" s="33">
        <v>583</v>
      </c>
      <c r="M586" s="23">
        <f ca="1"/>
        <v>256480.71387233929</v>
      </c>
      <c r="N586" s="25">
        <f t="shared" si="27"/>
        <v>127713.65200000002</v>
      </c>
      <c r="O586" s="25">
        <f t="shared" ca="1" si="28"/>
        <v>0</v>
      </c>
      <c r="P586" s="25">
        <f t="shared" ca="1" si="29"/>
        <v>0</v>
      </c>
    </row>
    <row r="587" spans="12:16" s="23" customFormat="1" ht="13.8">
      <c r="L587" s="23">
        <v>584</v>
      </c>
      <c r="M587" s="23">
        <f ca="1"/>
        <v>263461.16262735805</v>
      </c>
      <c r="N587" s="25">
        <f t="shared" si="27"/>
        <v>127713.65200000002</v>
      </c>
      <c r="O587" s="25">
        <f t="shared" ca="1" si="28"/>
        <v>0</v>
      </c>
      <c r="P587" s="25">
        <f t="shared" ca="1" si="29"/>
        <v>0</v>
      </c>
    </row>
    <row r="588" spans="12:16" s="23" customFormat="1" ht="13.8">
      <c r="L588" s="33">
        <v>585</v>
      </c>
      <c r="M588" s="23">
        <f ca="1"/>
        <v>418572.8790992857</v>
      </c>
      <c r="N588" s="25">
        <f t="shared" si="27"/>
        <v>127713.65200000002</v>
      </c>
      <c r="O588" s="25">
        <f t="shared" ca="1" si="28"/>
        <v>0</v>
      </c>
      <c r="P588" s="25">
        <f t="shared" ca="1" si="29"/>
        <v>0</v>
      </c>
    </row>
    <row r="589" spans="12:16" s="23" customFormat="1" ht="13.8">
      <c r="L589" s="23">
        <v>586</v>
      </c>
      <c r="M589" s="23">
        <f ca="1"/>
        <v>237169.39333548053</v>
      </c>
      <c r="N589" s="25">
        <f t="shared" si="27"/>
        <v>127713.65200000002</v>
      </c>
      <c r="O589" s="25">
        <f t="shared" ca="1" si="28"/>
        <v>0</v>
      </c>
      <c r="P589" s="25">
        <f t="shared" ca="1" si="29"/>
        <v>0</v>
      </c>
    </row>
    <row r="590" spans="12:16" s="23" customFormat="1" ht="13.8">
      <c r="L590" s="33">
        <v>587</v>
      </c>
      <c r="M590" s="23">
        <f ca="1"/>
        <v>233865.19818815749</v>
      </c>
      <c r="N590" s="25">
        <f t="shared" si="27"/>
        <v>127713.65200000002</v>
      </c>
      <c r="O590" s="25">
        <f t="shared" ca="1" si="28"/>
        <v>0</v>
      </c>
      <c r="P590" s="25">
        <f t="shared" ca="1" si="29"/>
        <v>0</v>
      </c>
    </row>
    <row r="591" spans="12:16" s="23" customFormat="1" ht="13.8">
      <c r="L591" s="23">
        <v>588</v>
      </c>
      <c r="M591" s="23">
        <f ca="1"/>
        <v>182995.0613940006</v>
      </c>
      <c r="N591" s="25">
        <f t="shared" si="27"/>
        <v>127713.65200000002</v>
      </c>
      <c r="O591" s="25">
        <f t="shared" ca="1" si="28"/>
        <v>0</v>
      </c>
      <c r="P591" s="25">
        <f t="shared" ca="1" si="29"/>
        <v>0</v>
      </c>
    </row>
    <row r="592" spans="12:16" s="23" customFormat="1" ht="13.8">
      <c r="L592" s="33">
        <v>589</v>
      </c>
      <c r="M592" s="23">
        <f ca="1"/>
        <v>250961.58468093525</v>
      </c>
      <c r="N592" s="25">
        <f t="shared" si="27"/>
        <v>127713.65200000002</v>
      </c>
      <c r="O592" s="25">
        <f t="shared" ca="1" si="28"/>
        <v>0</v>
      </c>
      <c r="P592" s="25">
        <f t="shared" ca="1" si="29"/>
        <v>0</v>
      </c>
    </row>
    <row r="593" spans="12:16" s="23" customFormat="1" ht="13.8">
      <c r="L593" s="23">
        <v>590</v>
      </c>
      <c r="M593" s="23">
        <f ca="1"/>
        <v>82486.678869400028</v>
      </c>
      <c r="N593" s="25">
        <f t="shared" si="27"/>
        <v>127713.65200000002</v>
      </c>
      <c r="O593" s="25">
        <f t="shared" ca="1" si="28"/>
        <v>1</v>
      </c>
      <c r="P593" s="25">
        <f t="shared" ca="1" si="29"/>
        <v>0.35412794499526162</v>
      </c>
    </row>
    <row r="594" spans="12:16" s="23" customFormat="1" ht="13.8">
      <c r="L594" s="33">
        <v>591</v>
      </c>
      <c r="M594" s="23">
        <f ca="1"/>
        <v>107886.98131128242</v>
      </c>
      <c r="N594" s="25">
        <f t="shared" si="27"/>
        <v>127713.65200000002</v>
      </c>
      <c r="O594" s="25">
        <f t="shared" ca="1" si="28"/>
        <v>1</v>
      </c>
      <c r="P594" s="25">
        <f t="shared" ca="1" si="29"/>
        <v>0.15524315825466797</v>
      </c>
    </row>
    <row r="595" spans="12:16" s="23" customFormat="1" ht="13.8">
      <c r="L595" s="23">
        <v>592</v>
      </c>
      <c r="M595" s="23">
        <f ca="1"/>
        <v>222096.36377475338</v>
      </c>
      <c r="N595" s="25">
        <f t="shared" si="27"/>
        <v>127713.65200000002</v>
      </c>
      <c r="O595" s="25">
        <f t="shared" ca="1" si="28"/>
        <v>0</v>
      </c>
      <c r="P595" s="25">
        <f t="shared" ca="1" si="29"/>
        <v>0</v>
      </c>
    </row>
    <row r="596" spans="12:16" s="23" customFormat="1" ht="13.8">
      <c r="L596" s="33">
        <v>593</v>
      </c>
      <c r="M596" s="23">
        <f ca="1"/>
        <v>193671.72856308511</v>
      </c>
      <c r="N596" s="25">
        <f t="shared" si="27"/>
        <v>127713.65200000002</v>
      </c>
      <c r="O596" s="25">
        <f t="shared" ca="1" si="28"/>
        <v>0</v>
      </c>
      <c r="P596" s="25">
        <f t="shared" ca="1" si="29"/>
        <v>0</v>
      </c>
    </row>
    <row r="597" spans="12:16" s="23" customFormat="1" ht="13.8">
      <c r="L597" s="23">
        <v>594</v>
      </c>
      <c r="M597" s="23">
        <f ca="1"/>
        <v>189367.29561667217</v>
      </c>
      <c r="N597" s="25">
        <f t="shared" si="27"/>
        <v>127713.65200000002</v>
      </c>
      <c r="O597" s="25">
        <f t="shared" ca="1" si="28"/>
        <v>0</v>
      </c>
      <c r="P597" s="25">
        <f t="shared" ca="1" si="29"/>
        <v>0</v>
      </c>
    </row>
    <row r="598" spans="12:16" s="23" customFormat="1" ht="13.8">
      <c r="L598" s="33">
        <v>595</v>
      </c>
      <c r="M598" s="23">
        <f ca="1"/>
        <v>180666.23312440759</v>
      </c>
      <c r="N598" s="25">
        <f t="shared" si="27"/>
        <v>127713.65200000002</v>
      </c>
      <c r="O598" s="25">
        <f t="shared" ca="1" si="28"/>
        <v>0</v>
      </c>
      <c r="P598" s="25">
        <f t="shared" ca="1" si="29"/>
        <v>0</v>
      </c>
    </row>
    <row r="599" spans="12:16" s="23" customFormat="1" ht="13.8">
      <c r="L599" s="23">
        <v>596</v>
      </c>
      <c r="M599" s="23">
        <f ca="1"/>
        <v>215348.19817481173</v>
      </c>
      <c r="N599" s="25">
        <f t="shared" si="27"/>
        <v>127713.65200000002</v>
      </c>
      <c r="O599" s="25">
        <f t="shared" ca="1" si="28"/>
        <v>0</v>
      </c>
      <c r="P599" s="25">
        <f t="shared" ca="1" si="29"/>
        <v>0</v>
      </c>
    </row>
    <row r="600" spans="12:16" s="23" customFormat="1" ht="13.8">
      <c r="L600" s="33">
        <v>597</v>
      </c>
      <c r="M600" s="23">
        <f ca="1"/>
        <v>242583.81341436945</v>
      </c>
      <c r="N600" s="25">
        <f t="shared" si="27"/>
        <v>127713.65200000002</v>
      </c>
      <c r="O600" s="25">
        <f t="shared" ca="1" si="28"/>
        <v>0</v>
      </c>
      <c r="P600" s="25">
        <f t="shared" ca="1" si="29"/>
        <v>0</v>
      </c>
    </row>
    <row r="601" spans="12:16" s="23" customFormat="1" ht="13.8">
      <c r="L601" s="23">
        <v>598</v>
      </c>
      <c r="M601" s="23">
        <f ca="1"/>
        <v>309912.51809953182</v>
      </c>
      <c r="N601" s="25">
        <f t="shared" si="27"/>
        <v>127713.65200000002</v>
      </c>
      <c r="O601" s="25">
        <f t="shared" ca="1" si="28"/>
        <v>0</v>
      </c>
      <c r="P601" s="25">
        <f t="shared" ca="1" si="29"/>
        <v>0</v>
      </c>
    </row>
    <row r="602" spans="12:16" s="23" customFormat="1" ht="13.8">
      <c r="L602" s="33">
        <v>599</v>
      </c>
      <c r="M602" s="23">
        <f ca="1"/>
        <v>24177.351690672331</v>
      </c>
      <c r="N602" s="25">
        <f t="shared" si="27"/>
        <v>127713.65200000002</v>
      </c>
      <c r="O602" s="25">
        <f t="shared" ca="1" si="28"/>
        <v>1</v>
      </c>
      <c r="P602" s="25">
        <f t="shared" ca="1" si="29"/>
        <v>0.81069093779674928</v>
      </c>
    </row>
    <row r="603" spans="12:16" s="23" customFormat="1" ht="13.8">
      <c r="L603" s="23">
        <v>600</v>
      </c>
      <c r="M603" s="23">
        <f ca="1"/>
        <v>109207.52244230772</v>
      </c>
      <c r="N603" s="25">
        <f t="shared" si="27"/>
        <v>127713.65200000002</v>
      </c>
      <c r="O603" s="25">
        <f t="shared" ca="1" si="28"/>
        <v>1</v>
      </c>
      <c r="P603" s="25">
        <f t="shared" ca="1" si="29"/>
        <v>0.14490329943499147</v>
      </c>
    </row>
    <row r="604" spans="12:16" s="23" customFormat="1" ht="13.8">
      <c r="L604" s="33">
        <v>601</v>
      </c>
      <c r="M604" s="23">
        <f ca="1"/>
        <v>96572.890306188623</v>
      </c>
      <c r="N604" s="25">
        <f t="shared" si="27"/>
        <v>127713.65200000002</v>
      </c>
      <c r="O604" s="25">
        <f t="shared" ca="1" si="28"/>
        <v>1</v>
      </c>
      <c r="P604" s="25">
        <f t="shared" ca="1" si="29"/>
        <v>0.24383267729131564</v>
      </c>
    </row>
    <row r="605" spans="12:16" s="23" customFormat="1" ht="13.8">
      <c r="L605" s="23">
        <v>602</v>
      </c>
      <c r="M605" s="23">
        <f ca="1"/>
        <v>202474.42675828945</v>
      </c>
      <c r="N605" s="25">
        <f t="shared" si="27"/>
        <v>127713.65200000002</v>
      </c>
      <c r="O605" s="25">
        <f t="shared" ca="1" si="28"/>
        <v>0</v>
      </c>
      <c r="P605" s="25">
        <f t="shared" ca="1" si="29"/>
        <v>0</v>
      </c>
    </row>
    <row r="606" spans="12:16" s="23" customFormat="1" ht="13.8">
      <c r="L606" s="33">
        <v>603</v>
      </c>
      <c r="M606" s="23">
        <f ca="1"/>
        <v>226140.93874539313</v>
      </c>
      <c r="N606" s="25">
        <f t="shared" si="27"/>
        <v>127713.65200000002</v>
      </c>
      <c r="O606" s="25">
        <f t="shared" ca="1" si="28"/>
        <v>0</v>
      </c>
      <c r="P606" s="25">
        <f t="shared" ca="1" si="29"/>
        <v>0</v>
      </c>
    </row>
    <row r="607" spans="12:16" s="23" customFormat="1" ht="13.8">
      <c r="L607" s="23">
        <v>604</v>
      </c>
      <c r="M607" s="23">
        <f ca="1"/>
        <v>115992.26203977628</v>
      </c>
      <c r="N607" s="25">
        <f t="shared" si="27"/>
        <v>127713.65200000002</v>
      </c>
      <c r="O607" s="25">
        <f t="shared" ca="1" si="28"/>
        <v>1</v>
      </c>
      <c r="P607" s="25">
        <f t="shared" ca="1" si="29"/>
        <v>9.1778676567981429E-2</v>
      </c>
    </row>
    <row r="608" spans="12:16" s="23" customFormat="1" ht="13.8">
      <c r="L608" s="33">
        <v>605</v>
      </c>
      <c r="M608" s="23">
        <f ca="1"/>
        <v>83411.22529834522</v>
      </c>
      <c r="N608" s="25">
        <f t="shared" si="27"/>
        <v>127713.65200000002</v>
      </c>
      <c r="O608" s="25">
        <f t="shared" ca="1" si="28"/>
        <v>1</v>
      </c>
      <c r="P608" s="25">
        <f t="shared" ca="1" si="29"/>
        <v>0.34688873121923403</v>
      </c>
    </row>
    <row r="609" spans="12:16" s="23" customFormat="1" ht="13.8">
      <c r="L609" s="23">
        <v>606</v>
      </c>
      <c r="M609" s="23">
        <f ca="1"/>
        <v>101010.34463569468</v>
      </c>
      <c r="N609" s="25">
        <f t="shared" si="27"/>
        <v>127713.65200000002</v>
      </c>
      <c r="O609" s="25">
        <f t="shared" ca="1" si="28"/>
        <v>1</v>
      </c>
      <c r="P609" s="25">
        <f t="shared" ca="1" si="29"/>
        <v>0.20908733675790064</v>
      </c>
    </row>
    <row r="610" spans="12:16" s="23" customFormat="1" ht="13.8">
      <c r="L610" s="33">
        <v>607</v>
      </c>
      <c r="M610" s="23">
        <f ca="1"/>
        <v>96333.956563270942</v>
      </c>
      <c r="N610" s="25">
        <f t="shared" si="27"/>
        <v>127713.65200000002</v>
      </c>
      <c r="O610" s="25">
        <f t="shared" ca="1" si="28"/>
        <v>1</v>
      </c>
      <c r="P610" s="25">
        <f t="shared" ca="1" si="29"/>
        <v>0.24570353243621185</v>
      </c>
    </row>
    <row r="611" spans="12:16" s="23" customFormat="1" ht="13.8">
      <c r="L611" s="23">
        <v>608</v>
      </c>
      <c r="M611" s="23">
        <f ca="1"/>
        <v>184854.74459267571</v>
      </c>
      <c r="N611" s="25">
        <f t="shared" si="27"/>
        <v>127713.65200000002</v>
      </c>
      <c r="O611" s="25">
        <f t="shared" ca="1" si="28"/>
        <v>0</v>
      </c>
      <c r="P611" s="25">
        <f t="shared" ca="1" si="29"/>
        <v>0</v>
      </c>
    </row>
    <row r="612" spans="12:16" s="23" customFormat="1" ht="13.8">
      <c r="L612" s="33">
        <v>609</v>
      </c>
      <c r="M612" s="23">
        <f ca="1"/>
        <v>190518.50542056613</v>
      </c>
      <c r="N612" s="25">
        <f t="shared" si="27"/>
        <v>127713.65200000002</v>
      </c>
      <c r="O612" s="25">
        <f t="shared" ca="1" si="28"/>
        <v>0</v>
      </c>
      <c r="P612" s="25">
        <f t="shared" ca="1" si="29"/>
        <v>0</v>
      </c>
    </row>
    <row r="613" spans="12:16" s="23" customFormat="1" ht="13.8">
      <c r="L613" s="23">
        <v>610</v>
      </c>
      <c r="M613" s="23">
        <f ca="1"/>
        <v>130642.00990958243</v>
      </c>
      <c r="N613" s="25">
        <f t="shared" si="27"/>
        <v>127713.65200000002</v>
      </c>
      <c r="O613" s="25">
        <f t="shared" ca="1" si="28"/>
        <v>0</v>
      </c>
      <c r="P613" s="25">
        <f t="shared" ca="1" si="29"/>
        <v>0</v>
      </c>
    </row>
    <row r="614" spans="12:16" s="23" customFormat="1" ht="13.8">
      <c r="L614" s="33">
        <v>611</v>
      </c>
      <c r="M614" s="23">
        <f ca="1"/>
        <v>180286.2044202493</v>
      </c>
      <c r="N614" s="25">
        <f t="shared" si="27"/>
        <v>127713.65200000002</v>
      </c>
      <c r="O614" s="25">
        <f t="shared" ca="1" si="28"/>
        <v>0</v>
      </c>
      <c r="P614" s="25">
        <f t="shared" ca="1" si="29"/>
        <v>0</v>
      </c>
    </row>
    <row r="615" spans="12:16" s="23" customFormat="1" ht="13.8">
      <c r="L615" s="23">
        <v>612</v>
      </c>
      <c r="M615" s="23">
        <f ca="1"/>
        <v>133877.55339693639</v>
      </c>
      <c r="N615" s="25">
        <f t="shared" si="27"/>
        <v>127713.65200000002</v>
      </c>
      <c r="O615" s="25">
        <f t="shared" ca="1" si="28"/>
        <v>0</v>
      </c>
      <c r="P615" s="25">
        <f t="shared" ca="1" si="29"/>
        <v>0</v>
      </c>
    </row>
    <row r="616" spans="12:16" s="23" customFormat="1" ht="13.8">
      <c r="L616" s="33">
        <v>613</v>
      </c>
      <c r="M616" s="23">
        <f ca="1"/>
        <v>272235.95657087379</v>
      </c>
      <c r="N616" s="25">
        <f t="shared" si="27"/>
        <v>127713.65200000002</v>
      </c>
      <c r="O616" s="25">
        <f t="shared" ca="1" si="28"/>
        <v>0</v>
      </c>
      <c r="P616" s="25">
        <f t="shared" ca="1" si="29"/>
        <v>0</v>
      </c>
    </row>
    <row r="617" spans="12:16" s="23" customFormat="1" ht="13.8">
      <c r="L617" s="23">
        <v>614</v>
      </c>
      <c r="M617" s="23">
        <f ca="1"/>
        <v>202721.9802630331</v>
      </c>
      <c r="N617" s="25">
        <f t="shared" si="27"/>
        <v>127713.65200000002</v>
      </c>
      <c r="O617" s="25">
        <f t="shared" ca="1" si="28"/>
        <v>0</v>
      </c>
      <c r="P617" s="25">
        <f t="shared" ca="1" si="29"/>
        <v>0</v>
      </c>
    </row>
    <row r="618" spans="12:16" s="23" customFormat="1" ht="13.8">
      <c r="L618" s="33">
        <v>615</v>
      </c>
      <c r="M618" s="23">
        <f ca="1"/>
        <v>151760.60273925547</v>
      </c>
      <c r="N618" s="25">
        <f t="shared" si="27"/>
        <v>127713.65200000002</v>
      </c>
      <c r="O618" s="25">
        <f t="shared" ca="1" si="28"/>
        <v>0</v>
      </c>
      <c r="P618" s="25">
        <f t="shared" ca="1" si="29"/>
        <v>0</v>
      </c>
    </row>
    <row r="619" spans="12:16" s="23" customFormat="1" ht="13.8">
      <c r="L619" s="23">
        <v>616</v>
      </c>
      <c r="M619" s="23">
        <f ca="1"/>
        <v>124802.41270851846</v>
      </c>
      <c r="N619" s="25">
        <f t="shared" si="27"/>
        <v>127713.65200000002</v>
      </c>
      <c r="O619" s="25">
        <f t="shared" ca="1" si="28"/>
        <v>1</v>
      </c>
      <c r="P619" s="25">
        <f t="shared" ca="1" si="29"/>
        <v>2.2795051632237068E-2</v>
      </c>
    </row>
    <row r="620" spans="12:16" s="23" customFormat="1" ht="13.8">
      <c r="L620" s="33">
        <v>617</v>
      </c>
      <c r="M620" s="23">
        <f ca="1"/>
        <v>116626.76262182365</v>
      </c>
      <c r="N620" s="25">
        <f t="shared" si="27"/>
        <v>127713.65200000002</v>
      </c>
      <c r="O620" s="25">
        <f t="shared" ca="1" si="28"/>
        <v>1</v>
      </c>
      <c r="P620" s="25">
        <f t="shared" ca="1" si="29"/>
        <v>8.6810526553389611E-2</v>
      </c>
    </row>
    <row r="621" spans="12:16" s="23" customFormat="1" ht="13.8">
      <c r="L621" s="23">
        <v>618</v>
      </c>
      <c r="M621" s="23">
        <f ca="1"/>
        <v>100044.23066549728</v>
      </c>
      <c r="N621" s="25">
        <f t="shared" si="27"/>
        <v>127713.65200000002</v>
      </c>
      <c r="O621" s="25">
        <f t="shared" ca="1" si="28"/>
        <v>1</v>
      </c>
      <c r="P621" s="25">
        <f t="shared" ca="1" si="29"/>
        <v>0.21665202506700484</v>
      </c>
    </row>
    <row r="622" spans="12:16" s="23" customFormat="1" ht="13.8">
      <c r="L622" s="33">
        <v>619</v>
      </c>
      <c r="M622" s="23">
        <f ca="1"/>
        <v>154114.93746336759</v>
      </c>
      <c r="N622" s="25">
        <f t="shared" si="27"/>
        <v>127713.65200000002</v>
      </c>
      <c r="O622" s="25">
        <f t="shared" ca="1" si="28"/>
        <v>0</v>
      </c>
      <c r="P622" s="25">
        <f t="shared" ca="1" si="29"/>
        <v>0</v>
      </c>
    </row>
    <row r="623" spans="12:16" s="23" customFormat="1" ht="13.8">
      <c r="L623" s="23">
        <v>620</v>
      </c>
      <c r="M623" s="23">
        <f ca="1"/>
        <v>164091.63057423296</v>
      </c>
      <c r="N623" s="25">
        <f t="shared" si="27"/>
        <v>127713.65200000002</v>
      </c>
      <c r="O623" s="25">
        <f t="shared" ca="1" si="28"/>
        <v>0</v>
      </c>
      <c r="P623" s="25">
        <f t="shared" ca="1" si="29"/>
        <v>0</v>
      </c>
    </row>
    <row r="624" spans="12:16" s="23" customFormat="1" ht="13.8">
      <c r="L624" s="33">
        <v>621</v>
      </c>
      <c r="M624" s="23">
        <f ca="1"/>
        <v>151005.61546974984</v>
      </c>
      <c r="N624" s="25">
        <f t="shared" si="27"/>
        <v>127713.65200000002</v>
      </c>
      <c r="O624" s="25">
        <f t="shared" ca="1" si="28"/>
        <v>0</v>
      </c>
      <c r="P624" s="25">
        <f t="shared" ca="1" si="29"/>
        <v>0</v>
      </c>
    </row>
    <row r="625" spans="12:16" s="23" customFormat="1" ht="13.8">
      <c r="L625" s="23">
        <v>622</v>
      </c>
      <c r="M625" s="23">
        <f ca="1"/>
        <v>176167.60829045065</v>
      </c>
      <c r="N625" s="25">
        <f t="shared" si="27"/>
        <v>127713.65200000002</v>
      </c>
      <c r="O625" s="25">
        <f t="shared" ca="1" si="28"/>
        <v>0</v>
      </c>
      <c r="P625" s="25">
        <f t="shared" ca="1" si="29"/>
        <v>0</v>
      </c>
    </row>
    <row r="626" spans="12:16" s="23" customFormat="1" ht="13.8">
      <c r="L626" s="33">
        <v>623</v>
      </c>
      <c r="M626" s="23">
        <f ca="1"/>
        <v>189564.71883631608</v>
      </c>
      <c r="N626" s="25">
        <f t="shared" si="27"/>
        <v>127713.65200000002</v>
      </c>
      <c r="O626" s="25">
        <f t="shared" ca="1" si="28"/>
        <v>0</v>
      </c>
      <c r="P626" s="25">
        <f t="shared" ca="1" si="29"/>
        <v>0</v>
      </c>
    </row>
    <row r="627" spans="12:16" s="23" customFormat="1" ht="13.8">
      <c r="L627" s="23">
        <v>624</v>
      </c>
      <c r="M627" s="23">
        <f ca="1"/>
        <v>218303.76227132423</v>
      </c>
      <c r="N627" s="25">
        <f t="shared" si="27"/>
        <v>127713.65200000002</v>
      </c>
      <c r="O627" s="25">
        <f t="shared" ca="1" si="28"/>
        <v>0</v>
      </c>
      <c r="P627" s="25">
        <f t="shared" ca="1" si="29"/>
        <v>0</v>
      </c>
    </row>
    <row r="628" spans="12:16" s="23" customFormat="1" ht="13.8">
      <c r="L628" s="33">
        <v>625</v>
      </c>
      <c r="M628" s="23">
        <f ca="1"/>
        <v>260781.81834891031</v>
      </c>
      <c r="N628" s="25">
        <f t="shared" si="27"/>
        <v>127713.65200000002</v>
      </c>
      <c r="O628" s="25">
        <f t="shared" ca="1" si="28"/>
        <v>0</v>
      </c>
      <c r="P628" s="25">
        <f t="shared" ca="1" si="29"/>
        <v>0</v>
      </c>
    </row>
    <row r="629" spans="12:16" s="23" customFormat="1" ht="13.8">
      <c r="L629" s="23">
        <v>626</v>
      </c>
      <c r="M629" s="23">
        <f ca="1"/>
        <v>182674.03140332727</v>
      </c>
      <c r="N629" s="25">
        <f t="shared" si="27"/>
        <v>127713.65200000002</v>
      </c>
      <c r="O629" s="25">
        <f t="shared" ca="1" si="28"/>
        <v>0</v>
      </c>
      <c r="P629" s="25">
        <f t="shared" ca="1" si="29"/>
        <v>0</v>
      </c>
    </row>
    <row r="630" spans="12:16" s="23" customFormat="1" ht="13.8">
      <c r="L630" s="33">
        <v>627</v>
      </c>
      <c r="M630" s="23">
        <f ca="1"/>
        <v>143181.34394235318</v>
      </c>
      <c r="N630" s="25">
        <f t="shared" si="27"/>
        <v>127713.65200000002</v>
      </c>
      <c r="O630" s="25">
        <f t="shared" ca="1" si="28"/>
        <v>0</v>
      </c>
      <c r="P630" s="25">
        <f t="shared" ca="1" si="29"/>
        <v>0</v>
      </c>
    </row>
    <row r="631" spans="12:16" s="23" customFormat="1" ht="13.8">
      <c r="L631" s="23">
        <v>628</v>
      </c>
      <c r="M631" s="23">
        <f ca="1"/>
        <v>166698.87028609362</v>
      </c>
      <c r="N631" s="25">
        <f t="shared" si="27"/>
        <v>127713.65200000002</v>
      </c>
      <c r="O631" s="25">
        <f t="shared" ca="1" si="28"/>
        <v>0</v>
      </c>
      <c r="P631" s="25">
        <f t="shared" ca="1" si="29"/>
        <v>0</v>
      </c>
    </row>
    <row r="632" spans="12:16" s="23" customFormat="1" ht="13.8">
      <c r="L632" s="33">
        <v>629</v>
      </c>
      <c r="M632" s="23">
        <f ca="1"/>
        <v>246127.3073916648</v>
      </c>
      <c r="N632" s="25">
        <f t="shared" si="27"/>
        <v>127713.65200000002</v>
      </c>
      <c r="O632" s="25">
        <f t="shared" ca="1" si="28"/>
        <v>0</v>
      </c>
      <c r="P632" s="25">
        <f t="shared" ca="1" si="29"/>
        <v>0</v>
      </c>
    </row>
    <row r="633" spans="12:16" s="23" customFormat="1" ht="13.8">
      <c r="L633" s="23">
        <v>630</v>
      </c>
      <c r="M633" s="23">
        <f ca="1"/>
        <v>214486.71388057977</v>
      </c>
      <c r="N633" s="25">
        <f t="shared" si="27"/>
        <v>127713.65200000002</v>
      </c>
      <c r="O633" s="25">
        <f t="shared" ca="1" si="28"/>
        <v>0</v>
      </c>
      <c r="P633" s="25">
        <f t="shared" ca="1" si="29"/>
        <v>0</v>
      </c>
    </row>
    <row r="634" spans="12:16" s="23" customFormat="1" ht="13.8">
      <c r="L634" s="33">
        <v>631</v>
      </c>
      <c r="M634" s="23">
        <f ca="1"/>
        <v>209581.96246823104</v>
      </c>
      <c r="N634" s="25">
        <f t="shared" si="27"/>
        <v>127713.65200000002</v>
      </c>
      <c r="O634" s="25">
        <f t="shared" ca="1" si="28"/>
        <v>0</v>
      </c>
      <c r="P634" s="25">
        <f t="shared" ca="1" si="29"/>
        <v>0</v>
      </c>
    </row>
    <row r="635" spans="12:16" s="23" customFormat="1" ht="13.8">
      <c r="L635" s="23">
        <v>632</v>
      </c>
      <c r="M635" s="23">
        <f ca="1"/>
        <v>208748.84582759716</v>
      </c>
      <c r="N635" s="25">
        <f t="shared" si="27"/>
        <v>127713.65200000002</v>
      </c>
      <c r="O635" s="25">
        <f t="shared" ca="1" si="28"/>
        <v>0</v>
      </c>
      <c r="P635" s="25">
        <f t="shared" ca="1" si="29"/>
        <v>0</v>
      </c>
    </row>
    <row r="636" spans="12:16" s="23" customFormat="1" ht="13.8">
      <c r="L636" s="33">
        <v>633</v>
      </c>
      <c r="M636" s="23">
        <f ca="1"/>
        <v>100030.34843903979</v>
      </c>
      <c r="N636" s="25">
        <f t="shared" si="27"/>
        <v>127713.65200000002</v>
      </c>
      <c r="O636" s="25">
        <f t="shared" ca="1" si="28"/>
        <v>1</v>
      </c>
      <c r="P636" s="25">
        <f t="shared" ca="1" si="29"/>
        <v>0.216760723128959</v>
      </c>
    </row>
    <row r="637" spans="12:16" s="23" customFormat="1" ht="13.8">
      <c r="L637" s="23">
        <v>634</v>
      </c>
      <c r="M637" s="23">
        <f ca="1"/>
        <v>159336.66596116102</v>
      </c>
      <c r="N637" s="25">
        <f t="shared" si="27"/>
        <v>127713.65200000002</v>
      </c>
      <c r="O637" s="25">
        <f t="shared" ca="1" si="28"/>
        <v>0</v>
      </c>
      <c r="P637" s="25">
        <f t="shared" ca="1" si="29"/>
        <v>0</v>
      </c>
    </row>
    <row r="638" spans="12:16" s="23" customFormat="1" ht="13.8">
      <c r="L638" s="33">
        <v>635</v>
      </c>
      <c r="M638" s="23">
        <f ca="1"/>
        <v>207703.85096876617</v>
      </c>
      <c r="N638" s="25">
        <f t="shared" si="27"/>
        <v>127713.65200000002</v>
      </c>
      <c r="O638" s="25">
        <f t="shared" ca="1" si="28"/>
        <v>0</v>
      </c>
      <c r="P638" s="25">
        <f t="shared" ca="1" si="29"/>
        <v>0</v>
      </c>
    </row>
    <row r="639" spans="12:16" s="23" customFormat="1" ht="13.8">
      <c r="L639" s="23">
        <v>636</v>
      </c>
      <c r="M639" s="23">
        <f ca="1"/>
        <v>161920.8083663212</v>
      </c>
      <c r="N639" s="25">
        <f t="shared" si="27"/>
        <v>127713.65200000002</v>
      </c>
      <c r="O639" s="25">
        <f t="shared" ca="1" si="28"/>
        <v>0</v>
      </c>
      <c r="P639" s="25">
        <f t="shared" ca="1" si="29"/>
        <v>0</v>
      </c>
    </row>
    <row r="640" spans="12:16" s="23" customFormat="1" ht="13.8">
      <c r="L640" s="33">
        <v>637</v>
      </c>
      <c r="M640" s="23">
        <f ca="1"/>
        <v>130601.09236095267</v>
      </c>
      <c r="N640" s="25">
        <f t="shared" si="27"/>
        <v>127713.65200000002</v>
      </c>
      <c r="O640" s="25">
        <f t="shared" ca="1" si="28"/>
        <v>0</v>
      </c>
      <c r="P640" s="25">
        <f t="shared" ca="1" si="29"/>
        <v>0</v>
      </c>
    </row>
    <row r="641" spans="12:16" s="23" customFormat="1" ht="13.8">
      <c r="L641" s="23">
        <v>638</v>
      </c>
      <c r="M641" s="23">
        <f ca="1"/>
        <v>252271.41170242365</v>
      </c>
      <c r="N641" s="25">
        <f t="shared" si="27"/>
        <v>127713.65200000002</v>
      </c>
      <c r="O641" s="25">
        <f t="shared" ca="1" si="28"/>
        <v>0</v>
      </c>
      <c r="P641" s="25">
        <f t="shared" ca="1" si="29"/>
        <v>0</v>
      </c>
    </row>
    <row r="642" spans="12:16" s="23" customFormat="1" ht="13.8">
      <c r="L642" s="33">
        <v>639</v>
      </c>
      <c r="M642" s="23">
        <f ca="1"/>
        <v>27330.131681226125</v>
      </c>
      <c r="N642" s="25">
        <f t="shared" si="27"/>
        <v>127713.65200000002</v>
      </c>
      <c r="O642" s="25">
        <f t="shared" ca="1" si="28"/>
        <v>1</v>
      </c>
      <c r="P642" s="25">
        <f t="shared" ca="1" si="29"/>
        <v>0.78600461850996073</v>
      </c>
    </row>
    <row r="643" spans="12:16" s="23" customFormat="1" ht="13.8">
      <c r="L643" s="23">
        <v>640</v>
      </c>
      <c r="M643" s="23">
        <f ca="1"/>
        <v>234433.71680054121</v>
      </c>
      <c r="N643" s="25">
        <f t="shared" si="27"/>
        <v>127713.65200000002</v>
      </c>
      <c r="O643" s="25">
        <f t="shared" ca="1" si="28"/>
        <v>0</v>
      </c>
      <c r="P643" s="25">
        <f t="shared" ca="1" si="29"/>
        <v>0</v>
      </c>
    </row>
    <row r="644" spans="12:16" s="23" customFormat="1" ht="13.8">
      <c r="L644" s="33">
        <v>641</v>
      </c>
      <c r="M644" s="23">
        <f ca="1"/>
        <v>330506.60320065898</v>
      </c>
      <c r="N644" s="25">
        <f t="shared" ref="N644:N707" si="30">($C$24+$E$24)*1.1</f>
        <v>127713.65200000002</v>
      </c>
      <c r="O644" s="25">
        <f t="shared" ca="1" si="28"/>
        <v>0</v>
      </c>
      <c r="P644" s="25">
        <f t="shared" ca="1" si="29"/>
        <v>0</v>
      </c>
    </row>
    <row r="645" spans="12:16" s="23" customFormat="1" ht="13.8">
      <c r="L645" s="23">
        <v>642</v>
      </c>
      <c r="M645" s="23">
        <f ca="1"/>
        <v>200736.04846823463</v>
      </c>
      <c r="N645" s="25">
        <f t="shared" si="30"/>
        <v>127713.65200000002</v>
      </c>
      <c r="O645" s="25">
        <f t="shared" ref="O645:O708" ca="1" si="31">IF(M645&lt;N645,1,0)</f>
        <v>0</v>
      </c>
      <c r="P645" s="25">
        <f t="shared" ref="P645:P708" ca="1" si="32">MAX((N645-M645)/N645,0)</f>
        <v>0</v>
      </c>
    </row>
    <row r="646" spans="12:16" s="23" customFormat="1" ht="13.8">
      <c r="L646" s="33">
        <v>643</v>
      </c>
      <c r="M646" s="23">
        <f ca="1"/>
        <v>172534.66714858648</v>
      </c>
      <c r="N646" s="25">
        <f t="shared" si="30"/>
        <v>127713.65200000002</v>
      </c>
      <c r="O646" s="25">
        <f t="shared" ca="1" si="31"/>
        <v>0</v>
      </c>
      <c r="P646" s="25">
        <f t="shared" ca="1" si="32"/>
        <v>0</v>
      </c>
    </row>
    <row r="647" spans="12:16" s="23" customFormat="1" ht="13.8">
      <c r="L647" s="23">
        <v>644</v>
      </c>
      <c r="M647" s="23">
        <f ca="1"/>
        <v>164431.16111071262</v>
      </c>
      <c r="N647" s="25">
        <f t="shared" si="30"/>
        <v>127713.65200000002</v>
      </c>
      <c r="O647" s="25">
        <f t="shared" ca="1" si="31"/>
        <v>0</v>
      </c>
      <c r="P647" s="25">
        <f t="shared" ca="1" si="32"/>
        <v>0</v>
      </c>
    </row>
    <row r="648" spans="12:16" s="23" customFormat="1" ht="13.8">
      <c r="L648" s="33">
        <v>645</v>
      </c>
      <c r="M648" s="23">
        <f ca="1"/>
        <v>165134.09230514936</v>
      </c>
      <c r="N648" s="25">
        <f t="shared" si="30"/>
        <v>127713.65200000002</v>
      </c>
      <c r="O648" s="25">
        <f t="shared" ca="1" si="31"/>
        <v>0</v>
      </c>
      <c r="P648" s="25">
        <f t="shared" ca="1" si="32"/>
        <v>0</v>
      </c>
    </row>
    <row r="649" spans="12:16" s="23" customFormat="1" ht="13.8">
      <c r="L649" s="23">
        <v>646</v>
      </c>
      <c r="M649" s="23">
        <f ca="1"/>
        <v>230060.78915947551</v>
      </c>
      <c r="N649" s="25">
        <f t="shared" si="30"/>
        <v>127713.65200000002</v>
      </c>
      <c r="O649" s="25">
        <f t="shared" ca="1" si="31"/>
        <v>0</v>
      </c>
      <c r="P649" s="25">
        <f t="shared" ca="1" si="32"/>
        <v>0</v>
      </c>
    </row>
    <row r="650" spans="12:16" s="23" customFormat="1" ht="13.8">
      <c r="L650" s="33">
        <v>647</v>
      </c>
      <c r="M650" s="23">
        <f ca="1"/>
        <v>243493.93538131227</v>
      </c>
      <c r="N650" s="25">
        <f t="shared" si="30"/>
        <v>127713.65200000002</v>
      </c>
      <c r="O650" s="25">
        <f t="shared" ca="1" si="31"/>
        <v>0</v>
      </c>
      <c r="P650" s="25">
        <f t="shared" ca="1" si="32"/>
        <v>0</v>
      </c>
    </row>
    <row r="651" spans="12:16" s="23" customFormat="1" ht="13.8">
      <c r="L651" s="23">
        <v>648</v>
      </c>
      <c r="M651" s="23">
        <f ca="1"/>
        <v>99927.681407003925</v>
      </c>
      <c r="N651" s="25">
        <f t="shared" si="30"/>
        <v>127713.65200000002</v>
      </c>
      <c r="O651" s="25">
        <f t="shared" ca="1" si="31"/>
        <v>1</v>
      </c>
      <c r="P651" s="25">
        <f t="shared" ca="1" si="32"/>
        <v>0.21756460768184821</v>
      </c>
    </row>
    <row r="652" spans="12:16" s="23" customFormat="1" ht="13.8">
      <c r="L652" s="33">
        <v>649</v>
      </c>
      <c r="M652" s="23">
        <f ca="1"/>
        <v>231835.75784385408</v>
      </c>
      <c r="N652" s="25">
        <f t="shared" si="30"/>
        <v>127713.65200000002</v>
      </c>
      <c r="O652" s="25">
        <f t="shared" ca="1" si="31"/>
        <v>0</v>
      </c>
      <c r="P652" s="25">
        <f t="shared" ca="1" si="32"/>
        <v>0</v>
      </c>
    </row>
    <row r="653" spans="12:16" s="23" customFormat="1" ht="13.8">
      <c r="L653" s="23">
        <v>650</v>
      </c>
      <c r="M653" s="23">
        <f ca="1"/>
        <v>111463.55004346215</v>
      </c>
      <c r="N653" s="25">
        <f t="shared" si="30"/>
        <v>127713.65200000002</v>
      </c>
      <c r="O653" s="25">
        <f t="shared" ca="1" si="31"/>
        <v>1</v>
      </c>
      <c r="P653" s="25">
        <f t="shared" ca="1" si="32"/>
        <v>0.12723856613651502</v>
      </c>
    </row>
    <row r="654" spans="12:16" s="23" customFormat="1" ht="13.8">
      <c r="L654" s="33">
        <v>651</v>
      </c>
      <c r="M654" s="23">
        <f ca="1"/>
        <v>155371.67548616481</v>
      </c>
      <c r="N654" s="25">
        <f t="shared" si="30"/>
        <v>127713.65200000002</v>
      </c>
      <c r="O654" s="25">
        <f t="shared" ca="1" si="31"/>
        <v>0</v>
      </c>
      <c r="P654" s="25">
        <f t="shared" ca="1" si="32"/>
        <v>0</v>
      </c>
    </row>
    <row r="655" spans="12:16" s="23" customFormat="1" ht="13.8">
      <c r="L655" s="23">
        <v>652</v>
      </c>
      <c r="M655" s="23">
        <f ca="1"/>
        <v>137419.07705876615</v>
      </c>
      <c r="N655" s="25">
        <f t="shared" si="30"/>
        <v>127713.65200000002</v>
      </c>
      <c r="O655" s="25">
        <f t="shared" ca="1" si="31"/>
        <v>0</v>
      </c>
      <c r="P655" s="25">
        <f t="shared" ca="1" si="32"/>
        <v>0</v>
      </c>
    </row>
    <row r="656" spans="12:16" s="23" customFormat="1" ht="13.8">
      <c r="L656" s="33">
        <v>653</v>
      </c>
      <c r="M656" s="23">
        <f ca="1"/>
        <v>106718.84909565451</v>
      </c>
      <c r="N656" s="25">
        <f t="shared" si="30"/>
        <v>127713.65200000002</v>
      </c>
      <c r="O656" s="25">
        <f t="shared" ca="1" si="31"/>
        <v>1</v>
      </c>
      <c r="P656" s="25">
        <f t="shared" ca="1" si="32"/>
        <v>0.16438965275494197</v>
      </c>
    </row>
    <row r="657" spans="12:16" s="23" customFormat="1" ht="13.8">
      <c r="L657" s="23">
        <v>654</v>
      </c>
      <c r="M657" s="23">
        <f ca="1"/>
        <v>167583.25051854525</v>
      </c>
      <c r="N657" s="25">
        <f t="shared" si="30"/>
        <v>127713.65200000002</v>
      </c>
      <c r="O657" s="25">
        <f t="shared" ca="1" si="31"/>
        <v>0</v>
      </c>
      <c r="P657" s="25">
        <f t="shared" ca="1" si="32"/>
        <v>0</v>
      </c>
    </row>
    <row r="658" spans="12:16" s="23" customFormat="1" ht="13.8">
      <c r="L658" s="33">
        <v>655</v>
      </c>
      <c r="M658" s="23">
        <f ca="1"/>
        <v>62376.540713955605</v>
      </c>
      <c r="N658" s="25">
        <f t="shared" si="30"/>
        <v>127713.65200000002</v>
      </c>
      <c r="O658" s="25">
        <f t="shared" ca="1" si="31"/>
        <v>1</v>
      </c>
      <c r="P658" s="25">
        <f t="shared" ca="1" si="32"/>
        <v>0.51159065818620864</v>
      </c>
    </row>
    <row r="659" spans="12:16" s="23" customFormat="1" ht="13.8">
      <c r="L659" s="23">
        <v>656</v>
      </c>
      <c r="M659" s="23">
        <f ca="1"/>
        <v>247576.45128157604</v>
      </c>
      <c r="N659" s="25">
        <f t="shared" si="30"/>
        <v>127713.65200000002</v>
      </c>
      <c r="O659" s="25">
        <f t="shared" ca="1" si="31"/>
        <v>0</v>
      </c>
      <c r="P659" s="25">
        <f t="shared" ca="1" si="32"/>
        <v>0</v>
      </c>
    </row>
    <row r="660" spans="12:16" s="23" customFormat="1" ht="13.8">
      <c r="L660" s="33">
        <v>657</v>
      </c>
      <c r="M660" s="23">
        <f ca="1"/>
        <v>143739.64149323571</v>
      </c>
      <c r="N660" s="25">
        <f t="shared" si="30"/>
        <v>127713.65200000002</v>
      </c>
      <c r="O660" s="25">
        <f t="shared" ca="1" si="31"/>
        <v>0</v>
      </c>
      <c r="P660" s="25">
        <f t="shared" ca="1" si="32"/>
        <v>0</v>
      </c>
    </row>
    <row r="661" spans="12:16" s="23" customFormat="1" ht="13.8">
      <c r="L661" s="23">
        <v>658</v>
      </c>
      <c r="M661" s="23">
        <f ca="1"/>
        <v>291527.15810281521</v>
      </c>
      <c r="N661" s="25">
        <f t="shared" si="30"/>
        <v>127713.65200000002</v>
      </c>
      <c r="O661" s="25">
        <f t="shared" ca="1" si="31"/>
        <v>0</v>
      </c>
      <c r="P661" s="25">
        <f t="shared" ca="1" si="32"/>
        <v>0</v>
      </c>
    </row>
    <row r="662" spans="12:16" s="23" customFormat="1" ht="13.8">
      <c r="L662" s="33">
        <v>659</v>
      </c>
      <c r="M662" s="23">
        <f ca="1"/>
        <v>17284.817036733508</v>
      </c>
      <c r="N662" s="25">
        <f t="shared" si="30"/>
        <v>127713.65200000002</v>
      </c>
      <c r="O662" s="25">
        <f t="shared" ca="1" si="31"/>
        <v>1</v>
      </c>
      <c r="P662" s="25">
        <f t="shared" ca="1" si="32"/>
        <v>0.86465959773248435</v>
      </c>
    </row>
    <row r="663" spans="12:16" s="23" customFormat="1" ht="13.8">
      <c r="L663" s="23">
        <v>660</v>
      </c>
      <c r="M663" s="23">
        <f ca="1"/>
        <v>71531.005797084566</v>
      </c>
      <c r="N663" s="25">
        <f t="shared" si="30"/>
        <v>127713.65200000002</v>
      </c>
      <c r="O663" s="25">
        <f t="shared" ca="1" si="31"/>
        <v>1</v>
      </c>
      <c r="P663" s="25">
        <f t="shared" ca="1" si="32"/>
        <v>0.43991104571119338</v>
      </c>
    </row>
    <row r="664" spans="12:16" s="23" customFormat="1" ht="13.8">
      <c r="L664" s="33">
        <v>661</v>
      </c>
      <c r="M664" s="23">
        <f ca="1"/>
        <v>188782.33209217421</v>
      </c>
      <c r="N664" s="25">
        <f t="shared" si="30"/>
        <v>127713.65200000002</v>
      </c>
      <c r="O664" s="25">
        <f t="shared" ca="1" si="31"/>
        <v>0</v>
      </c>
      <c r="P664" s="25">
        <f t="shared" ca="1" si="32"/>
        <v>0</v>
      </c>
    </row>
    <row r="665" spans="12:16" s="23" customFormat="1" ht="13.8">
      <c r="L665" s="23">
        <v>662</v>
      </c>
      <c r="M665" s="23">
        <f ca="1"/>
        <v>171506.4723250079</v>
      </c>
      <c r="N665" s="25">
        <f t="shared" si="30"/>
        <v>127713.65200000002</v>
      </c>
      <c r="O665" s="25">
        <f t="shared" ca="1" si="31"/>
        <v>0</v>
      </c>
      <c r="P665" s="25">
        <f t="shared" ca="1" si="32"/>
        <v>0</v>
      </c>
    </row>
    <row r="666" spans="12:16" s="23" customFormat="1" ht="13.8">
      <c r="L666" s="33">
        <v>663</v>
      </c>
      <c r="M666" s="23">
        <f ca="1"/>
        <v>214044.18426285405</v>
      </c>
      <c r="N666" s="25">
        <f t="shared" si="30"/>
        <v>127713.65200000002</v>
      </c>
      <c r="O666" s="25">
        <f t="shared" ca="1" si="31"/>
        <v>0</v>
      </c>
      <c r="P666" s="25">
        <f t="shared" ca="1" si="32"/>
        <v>0</v>
      </c>
    </row>
    <row r="667" spans="12:16" s="23" customFormat="1" ht="13.8">
      <c r="L667" s="23">
        <v>664</v>
      </c>
      <c r="M667" s="23">
        <f ca="1"/>
        <v>196974.85081996702</v>
      </c>
      <c r="N667" s="25">
        <f t="shared" si="30"/>
        <v>127713.65200000002</v>
      </c>
      <c r="O667" s="25">
        <f t="shared" ca="1" si="31"/>
        <v>0</v>
      </c>
      <c r="P667" s="25">
        <f t="shared" ca="1" si="32"/>
        <v>0</v>
      </c>
    </row>
    <row r="668" spans="12:16" s="23" customFormat="1" ht="13.8">
      <c r="L668" s="33">
        <v>665</v>
      </c>
      <c r="M668" s="23">
        <f ca="1"/>
        <v>220895.81218441122</v>
      </c>
      <c r="N668" s="25">
        <f t="shared" si="30"/>
        <v>127713.65200000002</v>
      </c>
      <c r="O668" s="25">
        <f t="shared" ca="1" si="31"/>
        <v>0</v>
      </c>
      <c r="P668" s="25">
        <f t="shared" ca="1" si="32"/>
        <v>0</v>
      </c>
    </row>
    <row r="669" spans="12:16" s="23" customFormat="1" ht="13.8">
      <c r="L669" s="23">
        <v>666</v>
      </c>
      <c r="M669" s="23">
        <f ca="1"/>
        <v>178307.54168413376</v>
      </c>
      <c r="N669" s="25">
        <f t="shared" si="30"/>
        <v>127713.65200000002</v>
      </c>
      <c r="O669" s="25">
        <f t="shared" ca="1" si="31"/>
        <v>0</v>
      </c>
      <c r="P669" s="25">
        <f t="shared" ca="1" si="32"/>
        <v>0</v>
      </c>
    </row>
    <row r="670" spans="12:16" s="23" customFormat="1" ht="13.8">
      <c r="L670" s="33">
        <v>667</v>
      </c>
      <c r="M670" s="23">
        <f ca="1"/>
        <v>64976.983030766598</v>
      </c>
      <c r="N670" s="25">
        <f t="shared" si="30"/>
        <v>127713.65200000002</v>
      </c>
      <c r="O670" s="25">
        <f t="shared" ca="1" si="31"/>
        <v>1</v>
      </c>
      <c r="P670" s="25">
        <f t="shared" ca="1" si="32"/>
        <v>0.49122915198786588</v>
      </c>
    </row>
    <row r="671" spans="12:16" s="23" customFormat="1" ht="13.8">
      <c r="L671" s="23">
        <v>668</v>
      </c>
      <c r="M671" s="23">
        <f ca="1"/>
        <v>218397.11235940584</v>
      </c>
      <c r="N671" s="25">
        <f t="shared" si="30"/>
        <v>127713.65200000002</v>
      </c>
      <c r="O671" s="25">
        <f t="shared" ca="1" si="31"/>
        <v>0</v>
      </c>
      <c r="P671" s="25">
        <f t="shared" ca="1" si="32"/>
        <v>0</v>
      </c>
    </row>
    <row r="672" spans="12:16" s="23" customFormat="1" ht="13.8">
      <c r="L672" s="33">
        <v>669</v>
      </c>
      <c r="M672" s="23">
        <f ca="1"/>
        <v>191935.44305982909</v>
      </c>
      <c r="N672" s="25">
        <f t="shared" si="30"/>
        <v>127713.65200000002</v>
      </c>
      <c r="O672" s="25">
        <f t="shared" ca="1" si="31"/>
        <v>0</v>
      </c>
      <c r="P672" s="25">
        <f t="shared" ca="1" si="32"/>
        <v>0</v>
      </c>
    </row>
    <row r="673" spans="12:16" s="23" customFormat="1" ht="13.8">
      <c r="L673" s="23">
        <v>670</v>
      </c>
      <c r="M673" s="23">
        <f ca="1"/>
        <v>184757.85043760404</v>
      </c>
      <c r="N673" s="25">
        <f t="shared" si="30"/>
        <v>127713.65200000002</v>
      </c>
      <c r="O673" s="25">
        <f t="shared" ca="1" si="31"/>
        <v>0</v>
      </c>
      <c r="P673" s="25">
        <f t="shared" ca="1" si="32"/>
        <v>0</v>
      </c>
    </row>
    <row r="674" spans="12:16" s="23" customFormat="1" ht="13.8">
      <c r="L674" s="33">
        <v>671</v>
      </c>
      <c r="M674" s="23">
        <f ca="1"/>
        <v>244581.65323447651</v>
      </c>
      <c r="N674" s="25">
        <f t="shared" si="30"/>
        <v>127713.65200000002</v>
      </c>
      <c r="O674" s="25">
        <f t="shared" ca="1" si="31"/>
        <v>0</v>
      </c>
      <c r="P674" s="25">
        <f t="shared" ca="1" si="32"/>
        <v>0</v>
      </c>
    </row>
    <row r="675" spans="12:16" s="23" customFormat="1" ht="13.8">
      <c r="L675" s="23">
        <v>672</v>
      </c>
      <c r="M675" s="23">
        <f ca="1"/>
        <v>246055.18068185344</v>
      </c>
      <c r="N675" s="25">
        <f t="shared" si="30"/>
        <v>127713.65200000002</v>
      </c>
      <c r="O675" s="25">
        <f t="shared" ca="1" si="31"/>
        <v>0</v>
      </c>
      <c r="P675" s="25">
        <f t="shared" ca="1" si="32"/>
        <v>0</v>
      </c>
    </row>
    <row r="676" spans="12:16" s="23" customFormat="1" ht="13.8">
      <c r="L676" s="33">
        <v>673</v>
      </c>
      <c r="M676" s="23">
        <f ca="1"/>
        <v>242219.94996439287</v>
      </c>
      <c r="N676" s="25">
        <f t="shared" si="30"/>
        <v>127713.65200000002</v>
      </c>
      <c r="O676" s="25">
        <f t="shared" ca="1" si="31"/>
        <v>0</v>
      </c>
      <c r="P676" s="25">
        <f t="shared" ca="1" si="32"/>
        <v>0</v>
      </c>
    </row>
    <row r="677" spans="12:16" s="23" customFormat="1" ht="13.8">
      <c r="L677" s="23">
        <v>674</v>
      </c>
      <c r="M677" s="23">
        <f ca="1"/>
        <v>176031.07127277955</v>
      </c>
      <c r="N677" s="25">
        <f t="shared" si="30"/>
        <v>127713.65200000002</v>
      </c>
      <c r="O677" s="25">
        <f t="shared" ca="1" si="31"/>
        <v>0</v>
      </c>
      <c r="P677" s="25">
        <f t="shared" ca="1" si="32"/>
        <v>0</v>
      </c>
    </row>
    <row r="678" spans="12:16" s="23" customFormat="1" ht="13.8">
      <c r="L678" s="33">
        <v>675</v>
      </c>
      <c r="M678" s="23">
        <f ca="1"/>
        <v>147813.06588559158</v>
      </c>
      <c r="N678" s="25">
        <f t="shared" si="30"/>
        <v>127713.65200000002</v>
      </c>
      <c r="O678" s="25">
        <f t="shared" ca="1" si="31"/>
        <v>0</v>
      </c>
      <c r="P678" s="25">
        <f t="shared" ca="1" si="32"/>
        <v>0</v>
      </c>
    </row>
    <row r="679" spans="12:16" s="23" customFormat="1" ht="13.8">
      <c r="L679" s="23">
        <v>676</v>
      </c>
      <c r="M679" s="23">
        <f ca="1"/>
        <v>169145.68681317824</v>
      </c>
      <c r="N679" s="25">
        <f t="shared" si="30"/>
        <v>127713.65200000002</v>
      </c>
      <c r="O679" s="25">
        <f t="shared" ca="1" si="31"/>
        <v>0</v>
      </c>
      <c r="P679" s="25">
        <f t="shared" ca="1" si="32"/>
        <v>0</v>
      </c>
    </row>
    <row r="680" spans="12:16" s="23" customFormat="1" ht="13.8">
      <c r="L680" s="33">
        <v>677</v>
      </c>
      <c r="M680" s="23">
        <f ca="1"/>
        <v>102559.13160285477</v>
      </c>
      <c r="N680" s="25">
        <f t="shared" si="30"/>
        <v>127713.65200000002</v>
      </c>
      <c r="O680" s="25">
        <f t="shared" ca="1" si="31"/>
        <v>1</v>
      </c>
      <c r="P680" s="25">
        <f t="shared" ca="1" si="32"/>
        <v>0.19696030927958461</v>
      </c>
    </row>
    <row r="681" spans="12:16" s="23" customFormat="1" ht="13.8">
      <c r="L681" s="23">
        <v>678</v>
      </c>
      <c r="M681" s="23">
        <f ca="1"/>
        <v>235667.10639888846</v>
      </c>
      <c r="N681" s="25">
        <f t="shared" si="30"/>
        <v>127713.65200000002</v>
      </c>
      <c r="O681" s="25">
        <f t="shared" ca="1" si="31"/>
        <v>0</v>
      </c>
      <c r="P681" s="25">
        <f t="shared" ca="1" si="32"/>
        <v>0</v>
      </c>
    </row>
    <row r="682" spans="12:16" s="23" customFormat="1" ht="13.8">
      <c r="L682" s="33">
        <v>679</v>
      </c>
      <c r="M682" s="23">
        <f ca="1"/>
        <v>188645.58308014052</v>
      </c>
      <c r="N682" s="25">
        <f t="shared" si="30"/>
        <v>127713.65200000002</v>
      </c>
      <c r="O682" s="25">
        <f t="shared" ca="1" si="31"/>
        <v>0</v>
      </c>
      <c r="P682" s="25">
        <f t="shared" ca="1" si="32"/>
        <v>0</v>
      </c>
    </row>
    <row r="683" spans="12:16" s="23" customFormat="1" ht="13.8">
      <c r="L683" s="23">
        <v>680</v>
      </c>
      <c r="M683" s="23">
        <f ca="1"/>
        <v>228124.67152847961</v>
      </c>
      <c r="N683" s="25">
        <f t="shared" si="30"/>
        <v>127713.65200000002</v>
      </c>
      <c r="O683" s="25">
        <f t="shared" ca="1" si="31"/>
        <v>0</v>
      </c>
      <c r="P683" s="25">
        <f t="shared" ca="1" si="32"/>
        <v>0</v>
      </c>
    </row>
    <row r="684" spans="12:16" s="23" customFormat="1" ht="13.8">
      <c r="L684" s="33">
        <v>681</v>
      </c>
      <c r="M684" s="23">
        <f ca="1"/>
        <v>220147.86749938308</v>
      </c>
      <c r="N684" s="25">
        <f t="shared" si="30"/>
        <v>127713.65200000002</v>
      </c>
      <c r="O684" s="25">
        <f t="shared" ca="1" si="31"/>
        <v>0</v>
      </c>
      <c r="P684" s="25">
        <f t="shared" ca="1" si="32"/>
        <v>0</v>
      </c>
    </row>
    <row r="685" spans="12:16" s="23" customFormat="1" ht="13.8">
      <c r="L685" s="23">
        <v>682</v>
      </c>
      <c r="M685" s="23">
        <f ca="1"/>
        <v>331327.81619839073</v>
      </c>
      <c r="N685" s="25">
        <f t="shared" si="30"/>
        <v>127713.65200000002</v>
      </c>
      <c r="O685" s="25">
        <f t="shared" ca="1" si="31"/>
        <v>0</v>
      </c>
      <c r="P685" s="25">
        <f t="shared" ca="1" si="32"/>
        <v>0</v>
      </c>
    </row>
    <row r="686" spans="12:16" s="23" customFormat="1" ht="13.8">
      <c r="L686" s="33">
        <v>683</v>
      </c>
      <c r="M686" s="23">
        <f ca="1"/>
        <v>183159.55323253659</v>
      </c>
      <c r="N686" s="25">
        <f t="shared" si="30"/>
        <v>127713.65200000002</v>
      </c>
      <c r="O686" s="25">
        <f t="shared" ca="1" si="31"/>
        <v>0</v>
      </c>
      <c r="P686" s="25">
        <f t="shared" ca="1" si="32"/>
        <v>0</v>
      </c>
    </row>
    <row r="687" spans="12:16" s="23" customFormat="1" ht="13.8">
      <c r="L687" s="23">
        <v>684</v>
      </c>
      <c r="M687" s="23">
        <f ca="1"/>
        <v>79961.526177191859</v>
      </c>
      <c r="N687" s="25">
        <f t="shared" si="30"/>
        <v>127713.65200000002</v>
      </c>
      <c r="O687" s="25">
        <f t="shared" ca="1" si="31"/>
        <v>1</v>
      </c>
      <c r="P687" s="25">
        <f t="shared" ca="1" si="32"/>
        <v>0.37389993219212109</v>
      </c>
    </row>
    <row r="688" spans="12:16" s="23" customFormat="1" ht="13.8">
      <c r="L688" s="33">
        <v>685</v>
      </c>
      <c r="M688" s="23">
        <f ca="1"/>
        <v>186226.89728998669</v>
      </c>
      <c r="N688" s="25">
        <f t="shared" si="30"/>
        <v>127713.65200000002</v>
      </c>
      <c r="O688" s="25">
        <f t="shared" ca="1" si="31"/>
        <v>0</v>
      </c>
      <c r="P688" s="25">
        <f t="shared" ca="1" si="32"/>
        <v>0</v>
      </c>
    </row>
    <row r="689" spans="12:16" s="23" customFormat="1" ht="13.8">
      <c r="L689" s="23">
        <v>686</v>
      </c>
      <c r="M689" s="23">
        <f ca="1"/>
        <v>174580.74468738268</v>
      </c>
      <c r="N689" s="25">
        <f t="shared" si="30"/>
        <v>127713.65200000002</v>
      </c>
      <c r="O689" s="25">
        <f t="shared" ca="1" si="31"/>
        <v>0</v>
      </c>
      <c r="P689" s="25">
        <f t="shared" ca="1" si="32"/>
        <v>0</v>
      </c>
    </row>
    <row r="690" spans="12:16" s="23" customFormat="1" ht="13.8">
      <c r="L690" s="33">
        <v>687</v>
      </c>
      <c r="M690" s="23">
        <f ca="1"/>
        <v>135525.52757020603</v>
      </c>
      <c r="N690" s="25">
        <f t="shared" si="30"/>
        <v>127713.65200000002</v>
      </c>
      <c r="O690" s="25">
        <f t="shared" ca="1" si="31"/>
        <v>0</v>
      </c>
      <c r="P690" s="25">
        <f t="shared" ca="1" si="32"/>
        <v>0</v>
      </c>
    </row>
    <row r="691" spans="12:16" s="23" customFormat="1" ht="13.8">
      <c r="L691" s="23">
        <v>688</v>
      </c>
      <c r="M691" s="23">
        <f ca="1"/>
        <v>217744.06505836578</v>
      </c>
      <c r="N691" s="25">
        <f t="shared" si="30"/>
        <v>127713.65200000002</v>
      </c>
      <c r="O691" s="25">
        <f t="shared" ca="1" si="31"/>
        <v>0</v>
      </c>
      <c r="P691" s="25">
        <f t="shared" ca="1" si="32"/>
        <v>0</v>
      </c>
    </row>
    <row r="692" spans="12:16" s="23" customFormat="1" ht="13.8">
      <c r="L692" s="33">
        <v>689</v>
      </c>
      <c r="M692" s="23">
        <f ca="1"/>
        <v>31935.111336725135</v>
      </c>
      <c r="N692" s="25">
        <f t="shared" si="30"/>
        <v>127713.65200000002</v>
      </c>
      <c r="O692" s="25">
        <f t="shared" ca="1" si="31"/>
        <v>1</v>
      </c>
      <c r="P692" s="25">
        <f t="shared" ca="1" si="32"/>
        <v>0.74994755191304741</v>
      </c>
    </row>
    <row r="693" spans="12:16" s="23" customFormat="1" ht="13.8">
      <c r="L693" s="23">
        <v>690</v>
      </c>
      <c r="M693" s="23">
        <f ca="1"/>
        <v>210535.70172442947</v>
      </c>
      <c r="N693" s="25">
        <f t="shared" si="30"/>
        <v>127713.65200000002</v>
      </c>
      <c r="O693" s="25">
        <f t="shared" ca="1" si="31"/>
        <v>0</v>
      </c>
      <c r="P693" s="25">
        <f t="shared" ca="1" si="32"/>
        <v>0</v>
      </c>
    </row>
    <row r="694" spans="12:16" s="23" customFormat="1" ht="13.8">
      <c r="L694" s="33">
        <v>691</v>
      </c>
      <c r="M694" s="23">
        <f ca="1"/>
        <v>143445.81982385847</v>
      </c>
      <c r="N694" s="25">
        <f t="shared" si="30"/>
        <v>127713.65200000002</v>
      </c>
      <c r="O694" s="25">
        <f t="shared" ca="1" si="31"/>
        <v>0</v>
      </c>
      <c r="P694" s="25">
        <f t="shared" ca="1" si="32"/>
        <v>0</v>
      </c>
    </row>
    <row r="695" spans="12:16" s="23" customFormat="1" ht="13.8">
      <c r="L695" s="23">
        <v>692</v>
      </c>
      <c r="M695" s="23">
        <f ca="1"/>
        <v>187050.68791917289</v>
      </c>
      <c r="N695" s="25">
        <f t="shared" si="30"/>
        <v>127713.65200000002</v>
      </c>
      <c r="O695" s="25">
        <f t="shared" ca="1" si="31"/>
        <v>0</v>
      </c>
      <c r="P695" s="25">
        <f t="shared" ca="1" si="32"/>
        <v>0</v>
      </c>
    </row>
    <row r="696" spans="12:16" s="23" customFormat="1" ht="13.8">
      <c r="L696" s="33">
        <v>693</v>
      </c>
      <c r="M696" s="23">
        <f ca="1"/>
        <v>164735.64380055509</v>
      </c>
      <c r="N696" s="25">
        <f t="shared" si="30"/>
        <v>127713.65200000002</v>
      </c>
      <c r="O696" s="25">
        <f t="shared" ca="1" si="31"/>
        <v>0</v>
      </c>
      <c r="P696" s="25">
        <f t="shared" ca="1" si="32"/>
        <v>0</v>
      </c>
    </row>
    <row r="697" spans="12:16" s="23" customFormat="1" ht="13.8">
      <c r="L697" s="23">
        <v>694</v>
      </c>
      <c r="M697" s="23">
        <f ca="1"/>
        <v>217018.612158548</v>
      </c>
      <c r="N697" s="25">
        <f t="shared" si="30"/>
        <v>127713.65200000002</v>
      </c>
      <c r="O697" s="25">
        <f t="shared" ca="1" si="31"/>
        <v>0</v>
      </c>
      <c r="P697" s="25">
        <f t="shared" ca="1" si="32"/>
        <v>0</v>
      </c>
    </row>
    <row r="698" spans="12:16" s="23" customFormat="1" ht="13.8">
      <c r="L698" s="33">
        <v>695</v>
      </c>
      <c r="M698" s="23">
        <f ca="1"/>
        <v>146459.82673271958</v>
      </c>
      <c r="N698" s="25">
        <f t="shared" si="30"/>
        <v>127713.65200000002</v>
      </c>
      <c r="O698" s="25">
        <f t="shared" ca="1" si="31"/>
        <v>0</v>
      </c>
      <c r="P698" s="25">
        <f t="shared" ca="1" si="32"/>
        <v>0</v>
      </c>
    </row>
    <row r="699" spans="12:16" s="23" customFormat="1" ht="13.8">
      <c r="L699" s="23">
        <v>696</v>
      </c>
      <c r="M699" s="23">
        <f ca="1"/>
        <v>139898.62949670979</v>
      </c>
      <c r="N699" s="25">
        <f t="shared" si="30"/>
        <v>127713.65200000002</v>
      </c>
      <c r="O699" s="25">
        <f t="shared" ca="1" si="31"/>
        <v>0</v>
      </c>
      <c r="P699" s="25">
        <f t="shared" ca="1" si="32"/>
        <v>0</v>
      </c>
    </row>
    <row r="700" spans="12:16" s="23" customFormat="1" ht="13.8">
      <c r="L700" s="33">
        <v>697</v>
      </c>
      <c r="M700" s="23">
        <f ca="1"/>
        <v>170979.17348329938</v>
      </c>
      <c r="N700" s="25">
        <f t="shared" si="30"/>
        <v>127713.65200000002</v>
      </c>
      <c r="O700" s="25">
        <f t="shared" ca="1" si="31"/>
        <v>0</v>
      </c>
      <c r="P700" s="25">
        <f t="shared" ca="1" si="32"/>
        <v>0</v>
      </c>
    </row>
    <row r="701" spans="12:16" s="23" customFormat="1" ht="13.8">
      <c r="L701" s="23">
        <v>698</v>
      </c>
      <c r="M701" s="23">
        <f ca="1"/>
        <v>186602.05516876405</v>
      </c>
      <c r="N701" s="25">
        <f t="shared" si="30"/>
        <v>127713.65200000002</v>
      </c>
      <c r="O701" s="25">
        <f t="shared" ca="1" si="31"/>
        <v>0</v>
      </c>
      <c r="P701" s="25">
        <f t="shared" ca="1" si="32"/>
        <v>0</v>
      </c>
    </row>
    <row r="702" spans="12:16" s="23" customFormat="1" ht="13.8">
      <c r="L702" s="33">
        <v>699</v>
      </c>
      <c r="M702" s="23">
        <f ca="1"/>
        <v>125562.9573501811</v>
      </c>
      <c r="N702" s="25">
        <f t="shared" si="30"/>
        <v>127713.65200000002</v>
      </c>
      <c r="O702" s="25">
        <f t="shared" ca="1" si="31"/>
        <v>1</v>
      </c>
      <c r="P702" s="25">
        <f t="shared" ca="1" si="32"/>
        <v>1.6839974553534188E-2</v>
      </c>
    </row>
    <row r="703" spans="12:16" s="23" customFormat="1" ht="13.8">
      <c r="L703" s="23">
        <v>700</v>
      </c>
      <c r="M703" s="23">
        <f ca="1"/>
        <v>118820.69148048012</v>
      </c>
      <c r="N703" s="25">
        <f t="shared" si="30"/>
        <v>127713.65200000002</v>
      </c>
      <c r="O703" s="25">
        <f t="shared" ca="1" si="31"/>
        <v>1</v>
      </c>
      <c r="P703" s="25">
        <f t="shared" ca="1" si="32"/>
        <v>6.9632027432117397E-2</v>
      </c>
    </row>
    <row r="704" spans="12:16" s="23" customFormat="1" ht="13.8">
      <c r="L704" s="33">
        <v>701</v>
      </c>
      <c r="M704" s="23">
        <f ca="1"/>
        <v>196217.31123914517</v>
      </c>
      <c r="N704" s="25">
        <f t="shared" si="30"/>
        <v>127713.65200000002</v>
      </c>
      <c r="O704" s="25">
        <f t="shared" ca="1" si="31"/>
        <v>0</v>
      </c>
      <c r="P704" s="25">
        <f t="shared" ca="1" si="32"/>
        <v>0</v>
      </c>
    </row>
    <row r="705" spans="12:16" s="23" customFormat="1" ht="13.8">
      <c r="L705" s="23">
        <v>702</v>
      </c>
      <c r="M705" s="23">
        <f ca="1"/>
        <v>204355.98980670879</v>
      </c>
      <c r="N705" s="25">
        <f t="shared" si="30"/>
        <v>127713.65200000002</v>
      </c>
      <c r="O705" s="25">
        <f t="shared" ca="1" si="31"/>
        <v>0</v>
      </c>
      <c r="P705" s="25">
        <f t="shared" ca="1" si="32"/>
        <v>0</v>
      </c>
    </row>
    <row r="706" spans="12:16" s="23" customFormat="1" ht="13.8">
      <c r="L706" s="33">
        <v>703</v>
      </c>
      <c r="M706" s="23">
        <f ca="1"/>
        <v>265772.55107373814</v>
      </c>
      <c r="N706" s="25">
        <f t="shared" si="30"/>
        <v>127713.65200000002</v>
      </c>
      <c r="O706" s="25">
        <f t="shared" ca="1" si="31"/>
        <v>0</v>
      </c>
      <c r="P706" s="25">
        <f t="shared" ca="1" si="32"/>
        <v>0</v>
      </c>
    </row>
    <row r="707" spans="12:16" s="23" customFormat="1" ht="13.8">
      <c r="L707" s="23">
        <v>704</v>
      </c>
      <c r="M707" s="23">
        <f ca="1"/>
        <v>266697.59298611421</v>
      </c>
      <c r="N707" s="25">
        <f t="shared" si="30"/>
        <v>127713.65200000002</v>
      </c>
      <c r="O707" s="25">
        <f t="shared" ca="1" si="31"/>
        <v>0</v>
      </c>
      <c r="P707" s="25">
        <f t="shared" ca="1" si="32"/>
        <v>0</v>
      </c>
    </row>
    <row r="708" spans="12:16" s="23" customFormat="1" ht="13.8">
      <c r="L708" s="33">
        <v>705</v>
      </c>
      <c r="M708" s="23">
        <f ca="1"/>
        <v>223909.57170202644</v>
      </c>
      <c r="N708" s="25">
        <f t="shared" ref="N708:N771" si="33">($C$24+$E$24)*1.1</f>
        <v>127713.65200000002</v>
      </c>
      <c r="O708" s="25">
        <f t="shared" ca="1" si="31"/>
        <v>0</v>
      </c>
      <c r="P708" s="25">
        <f t="shared" ca="1" si="32"/>
        <v>0</v>
      </c>
    </row>
    <row r="709" spans="12:16" s="23" customFormat="1" ht="13.8">
      <c r="L709" s="23">
        <v>706</v>
      </c>
      <c r="M709" s="23">
        <f ca="1"/>
        <v>267796.0311195479</v>
      </c>
      <c r="N709" s="25">
        <f t="shared" si="33"/>
        <v>127713.65200000002</v>
      </c>
      <c r="O709" s="25">
        <f t="shared" ref="O709:O772" ca="1" si="34">IF(M709&lt;N709,1,0)</f>
        <v>0</v>
      </c>
      <c r="P709" s="25">
        <f t="shared" ref="P709:P772" ca="1" si="35">MAX((N709-M709)/N709,0)</f>
        <v>0</v>
      </c>
    </row>
    <row r="710" spans="12:16" s="23" customFormat="1" ht="13.8">
      <c r="L710" s="33">
        <v>707</v>
      </c>
      <c r="M710" s="23">
        <f ca="1"/>
        <v>156596.19826233032</v>
      </c>
      <c r="N710" s="25">
        <f t="shared" si="33"/>
        <v>127713.65200000002</v>
      </c>
      <c r="O710" s="25">
        <f t="shared" ca="1" si="34"/>
        <v>0</v>
      </c>
      <c r="P710" s="25">
        <f t="shared" ca="1" si="35"/>
        <v>0</v>
      </c>
    </row>
    <row r="711" spans="12:16" s="23" customFormat="1" ht="13.8">
      <c r="L711" s="23">
        <v>708</v>
      </c>
      <c r="M711" s="23">
        <f ca="1"/>
        <v>233817.63368736464</v>
      </c>
      <c r="N711" s="25">
        <f t="shared" si="33"/>
        <v>127713.65200000002</v>
      </c>
      <c r="O711" s="25">
        <f t="shared" ca="1" si="34"/>
        <v>0</v>
      </c>
      <c r="P711" s="25">
        <f t="shared" ca="1" si="35"/>
        <v>0</v>
      </c>
    </row>
    <row r="712" spans="12:16" s="23" customFormat="1" ht="13.8">
      <c r="L712" s="33">
        <v>709</v>
      </c>
      <c r="M712" s="23">
        <f ca="1"/>
        <v>64015.033701684377</v>
      </c>
      <c r="N712" s="25">
        <f t="shared" si="33"/>
        <v>127713.65200000002</v>
      </c>
      <c r="O712" s="25">
        <f t="shared" ca="1" si="34"/>
        <v>1</v>
      </c>
      <c r="P712" s="25">
        <f t="shared" ca="1" si="35"/>
        <v>0.49876123108840104</v>
      </c>
    </row>
    <row r="713" spans="12:16" s="23" customFormat="1" ht="13.8">
      <c r="L713" s="23">
        <v>710</v>
      </c>
      <c r="M713" s="23">
        <f ca="1"/>
        <v>265562.14268219814</v>
      </c>
      <c r="N713" s="25">
        <f t="shared" si="33"/>
        <v>127713.65200000002</v>
      </c>
      <c r="O713" s="25">
        <f t="shared" ca="1" si="34"/>
        <v>0</v>
      </c>
      <c r="P713" s="25">
        <f t="shared" ca="1" si="35"/>
        <v>0</v>
      </c>
    </row>
    <row r="714" spans="12:16" s="23" customFormat="1" ht="13.8">
      <c r="L714" s="33">
        <v>711</v>
      </c>
      <c r="M714" s="23">
        <f ca="1"/>
        <v>244638.34289186113</v>
      </c>
      <c r="N714" s="25">
        <f t="shared" si="33"/>
        <v>127713.65200000002</v>
      </c>
      <c r="O714" s="25">
        <f t="shared" ca="1" si="34"/>
        <v>0</v>
      </c>
      <c r="P714" s="25">
        <f t="shared" ca="1" si="35"/>
        <v>0</v>
      </c>
    </row>
    <row r="715" spans="12:16" s="23" customFormat="1" ht="13.8">
      <c r="L715" s="23">
        <v>712</v>
      </c>
      <c r="M715" s="23">
        <f ca="1"/>
        <v>107074.70431949507</v>
      </c>
      <c r="N715" s="25">
        <f t="shared" si="33"/>
        <v>127713.65200000002</v>
      </c>
      <c r="O715" s="25">
        <f t="shared" ca="1" si="34"/>
        <v>1</v>
      </c>
      <c r="P715" s="25">
        <f t="shared" ca="1" si="35"/>
        <v>0.16160330048744473</v>
      </c>
    </row>
    <row r="716" spans="12:16" s="23" customFormat="1" ht="13.8">
      <c r="L716" s="33">
        <v>713</v>
      </c>
      <c r="M716" s="23">
        <f ca="1"/>
        <v>177914.41439758471</v>
      </c>
      <c r="N716" s="25">
        <f t="shared" si="33"/>
        <v>127713.65200000002</v>
      </c>
      <c r="O716" s="25">
        <f t="shared" ca="1" si="34"/>
        <v>0</v>
      </c>
      <c r="P716" s="25">
        <f t="shared" ca="1" si="35"/>
        <v>0</v>
      </c>
    </row>
    <row r="717" spans="12:16" s="23" customFormat="1" ht="13.8">
      <c r="L717" s="23">
        <v>714</v>
      </c>
      <c r="M717" s="23">
        <f ca="1"/>
        <v>122412.97412516846</v>
      </c>
      <c r="N717" s="25">
        <f t="shared" si="33"/>
        <v>127713.65200000002</v>
      </c>
      <c r="O717" s="25">
        <f t="shared" ca="1" si="34"/>
        <v>1</v>
      </c>
      <c r="P717" s="25">
        <f t="shared" ca="1" si="35"/>
        <v>4.1504395120042101E-2</v>
      </c>
    </row>
    <row r="718" spans="12:16" s="23" customFormat="1" ht="13.8">
      <c r="L718" s="33">
        <v>715</v>
      </c>
      <c r="M718" s="23">
        <f ca="1"/>
        <v>290392.5149199288</v>
      </c>
      <c r="N718" s="25">
        <f t="shared" si="33"/>
        <v>127713.65200000002</v>
      </c>
      <c r="O718" s="25">
        <f t="shared" ca="1" si="34"/>
        <v>0</v>
      </c>
      <c r="P718" s="25">
        <f t="shared" ca="1" si="35"/>
        <v>0</v>
      </c>
    </row>
    <row r="719" spans="12:16" s="23" customFormat="1" ht="13.8">
      <c r="L719" s="23">
        <v>716</v>
      </c>
      <c r="M719" s="23">
        <f ca="1"/>
        <v>232140.1731481922</v>
      </c>
      <c r="N719" s="25">
        <f t="shared" si="33"/>
        <v>127713.65200000002</v>
      </c>
      <c r="O719" s="25">
        <f t="shared" ca="1" si="34"/>
        <v>0</v>
      </c>
      <c r="P719" s="25">
        <f t="shared" ca="1" si="35"/>
        <v>0</v>
      </c>
    </row>
    <row r="720" spans="12:16" s="23" customFormat="1" ht="13.8">
      <c r="L720" s="33">
        <v>717</v>
      </c>
      <c r="M720" s="23">
        <f ca="1"/>
        <v>248980.50823580087</v>
      </c>
      <c r="N720" s="25">
        <f t="shared" si="33"/>
        <v>127713.65200000002</v>
      </c>
      <c r="O720" s="25">
        <f t="shared" ca="1" si="34"/>
        <v>0</v>
      </c>
      <c r="P720" s="25">
        <f t="shared" ca="1" si="35"/>
        <v>0</v>
      </c>
    </row>
    <row r="721" spans="12:16" s="23" customFormat="1" ht="13.8">
      <c r="L721" s="23">
        <v>718</v>
      </c>
      <c r="M721" s="23">
        <f ca="1"/>
        <v>104543.6472728665</v>
      </c>
      <c r="N721" s="25">
        <f t="shared" si="33"/>
        <v>127713.65200000002</v>
      </c>
      <c r="O721" s="25">
        <f t="shared" ca="1" si="34"/>
        <v>1</v>
      </c>
      <c r="P721" s="25">
        <f t="shared" ca="1" si="35"/>
        <v>0.18142151887672522</v>
      </c>
    </row>
    <row r="722" spans="12:16" s="23" customFormat="1" ht="13.8">
      <c r="L722" s="33">
        <v>719</v>
      </c>
      <c r="M722" s="23">
        <f ca="1"/>
        <v>82997.480615320033</v>
      </c>
      <c r="N722" s="25">
        <f t="shared" si="33"/>
        <v>127713.65200000002</v>
      </c>
      <c r="O722" s="25">
        <f t="shared" ca="1" si="34"/>
        <v>1</v>
      </c>
      <c r="P722" s="25">
        <f t="shared" ca="1" si="35"/>
        <v>0.35012835890621918</v>
      </c>
    </row>
    <row r="723" spans="12:16" s="23" customFormat="1" ht="13.8">
      <c r="L723" s="23">
        <v>720</v>
      </c>
      <c r="M723" s="23">
        <f ca="1"/>
        <v>184291.707996729</v>
      </c>
      <c r="N723" s="25">
        <f t="shared" si="33"/>
        <v>127713.65200000002</v>
      </c>
      <c r="O723" s="25">
        <f t="shared" ca="1" si="34"/>
        <v>0</v>
      </c>
      <c r="P723" s="25">
        <f t="shared" ca="1" si="35"/>
        <v>0</v>
      </c>
    </row>
    <row r="724" spans="12:16" s="23" customFormat="1" ht="13.8">
      <c r="L724" s="33">
        <v>721</v>
      </c>
      <c r="M724" s="23">
        <f ca="1"/>
        <v>191584.28990590837</v>
      </c>
      <c r="N724" s="25">
        <f t="shared" si="33"/>
        <v>127713.65200000002</v>
      </c>
      <c r="O724" s="25">
        <f t="shared" ca="1" si="34"/>
        <v>0</v>
      </c>
      <c r="P724" s="25">
        <f t="shared" ca="1" si="35"/>
        <v>0</v>
      </c>
    </row>
    <row r="725" spans="12:16" s="23" customFormat="1" ht="13.8">
      <c r="L725" s="23">
        <v>722</v>
      </c>
      <c r="M725" s="23">
        <f ca="1"/>
        <v>275806.25518547255</v>
      </c>
      <c r="N725" s="25">
        <f t="shared" si="33"/>
        <v>127713.65200000002</v>
      </c>
      <c r="O725" s="25">
        <f t="shared" ca="1" si="34"/>
        <v>0</v>
      </c>
      <c r="P725" s="25">
        <f t="shared" ca="1" si="35"/>
        <v>0</v>
      </c>
    </row>
    <row r="726" spans="12:16" s="23" customFormat="1" ht="13.8">
      <c r="L726" s="33">
        <v>723</v>
      </c>
      <c r="M726" s="23">
        <f ca="1"/>
        <v>137056.58941064216</v>
      </c>
      <c r="N726" s="25">
        <f t="shared" si="33"/>
        <v>127713.65200000002</v>
      </c>
      <c r="O726" s="25">
        <f t="shared" ca="1" si="34"/>
        <v>0</v>
      </c>
      <c r="P726" s="25">
        <f t="shared" ca="1" si="35"/>
        <v>0</v>
      </c>
    </row>
    <row r="727" spans="12:16" s="23" customFormat="1" ht="13.8">
      <c r="L727" s="23">
        <v>724</v>
      </c>
      <c r="M727" s="23">
        <f ca="1"/>
        <v>77248.267633703945</v>
      </c>
      <c r="N727" s="25">
        <f t="shared" si="33"/>
        <v>127713.65200000002</v>
      </c>
      <c r="O727" s="25">
        <f t="shared" ca="1" si="34"/>
        <v>1</v>
      </c>
      <c r="P727" s="25">
        <f t="shared" ca="1" si="35"/>
        <v>0.39514479130466074</v>
      </c>
    </row>
    <row r="728" spans="12:16" s="23" customFormat="1" ht="13.8">
      <c r="L728" s="33">
        <v>725</v>
      </c>
      <c r="M728" s="23">
        <f ca="1"/>
        <v>188490.74166407404</v>
      </c>
      <c r="N728" s="25">
        <f t="shared" si="33"/>
        <v>127713.65200000002</v>
      </c>
      <c r="O728" s="25">
        <f t="shared" ca="1" si="34"/>
        <v>0</v>
      </c>
      <c r="P728" s="25">
        <f t="shared" ca="1" si="35"/>
        <v>0</v>
      </c>
    </row>
    <row r="729" spans="12:16" s="23" customFormat="1" ht="13.8">
      <c r="L729" s="23">
        <v>726</v>
      </c>
      <c r="M729" s="23">
        <f ca="1"/>
        <v>51985.911074645599</v>
      </c>
      <c r="N729" s="25">
        <f t="shared" si="33"/>
        <v>127713.65200000002</v>
      </c>
      <c r="O729" s="25">
        <f t="shared" ca="1" si="34"/>
        <v>1</v>
      </c>
      <c r="P729" s="25">
        <f t="shared" ca="1" si="35"/>
        <v>0.59294945950926536</v>
      </c>
    </row>
    <row r="730" spans="12:16" s="23" customFormat="1" ht="13.8">
      <c r="L730" s="33">
        <v>727</v>
      </c>
      <c r="M730" s="23">
        <f ca="1"/>
        <v>187654.19378746825</v>
      </c>
      <c r="N730" s="25">
        <f t="shared" si="33"/>
        <v>127713.65200000002</v>
      </c>
      <c r="O730" s="25">
        <f t="shared" ca="1" si="34"/>
        <v>0</v>
      </c>
      <c r="P730" s="25">
        <f t="shared" ca="1" si="35"/>
        <v>0</v>
      </c>
    </row>
    <row r="731" spans="12:16" s="23" customFormat="1" ht="13.8">
      <c r="L731" s="23">
        <v>728</v>
      </c>
      <c r="M731" s="23">
        <f ca="1"/>
        <v>169409.89767860912</v>
      </c>
      <c r="N731" s="25">
        <f t="shared" si="33"/>
        <v>127713.65200000002</v>
      </c>
      <c r="O731" s="25">
        <f t="shared" ca="1" si="34"/>
        <v>0</v>
      </c>
      <c r="P731" s="25">
        <f t="shared" ca="1" si="35"/>
        <v>0</v>
      </c>
    </row>
    <row r="732" spans="12:16" s="23" customFormat="1" ht="13.8">
      <c r="L732" s="33">
        <v>729</v>
      </c>
      <c r="M732" s="23">
        <f ca="1"/>
        <v>128982.22022305022</v>
      </c>
      <c r="N732" s="25">
        <f t="shared" si="33"/>
        <v>127713.65200000002</v>
      </c>
      <c r="O732" s="25">
        <f t="shared" ca="1" si="34"/>
        <v>0</v>
      </c>
      <c r="P732" s="25">
        <f t="shared" ca="1" si="35"/>
        <v>0</v>
      </c>
    </row>
    <row r="733" spans="12:16" s="23" customFormat="1" ht="13.8">
      <c r="L733" s="23">
        <v>730</v>
      </c>
      <c r="M733" s="23">
        <f ca="1"/>
        <v>149599.45441503249</v>
      </c>
      <c r="N733" s="25">
        <f t="shared" si="33"/>
        <v>127713.65200000002</v>
      </c>
      <c r="O733" s="25">
        <f t="shared" ca="1" si="34"/>
        <v>0</v>
      </c>
      <c r="P733" s="25">
        <f t="shared" ca="1" si="35"/>
        <v>0</v>
      </c>
    </row>
    <row r="734" spans="12:16" s="23" customFormat="1" ht="13.8">
      <c r="L734" s="33">
        <v>731</v>
      </c>
      <c r="M734" s="23">
        <f ca="1"/>
        <v>81960.484073352782</v>
      </c>
      <c r="N734" s="25">
        <f t="shared" si="33"/>
        <v>127713.65200000002</v>
      </c>
      <c r="O734" s="25">
        <f t="shared" ca="1" si="34"/>
        <v>1</v>
      </c>
      <c r="P734" s="25">
        <f t="shared" ca="1" si="35"/>
        <v>0.35824805892049216</v>
      </c>
    </row>
    <row r="735" spans="12:16" s="23" customFormat="1" ht="13.8">
      <c r="L735" s="23">
        <v>732</v>
      </c>
      <c r="M735" s="23">
        <f ca="1"/>
        <v>145669.50812697737</v>
      </c>
      <c r="N735" s="25">
        <f t="shared" si="33"/>
        <v>127713.65200000002</v>
      </c>
      <c r="O735" s="25">
        <f t="shared" ca="1" si="34"/>
        <v>0</v>
      </c>
      <c r="P735" s="25">
        <f t="shared" ca="1" si="35"/>
        <v>0</v>
      </c>
    </row>
    <row r="736" spans="12:16" s="23" customFormat="1" ht="13.8">
      <c r="L736" s="33">
        <v>733</v>
      </c>
      <c r="M736" s="23">
        <f ca="1"/>
        <v>190327.17561905662</v>
      </c>
      <c r="N736" s="25">
        <f t="shared" si="33"/>
        <v>127713.65200000002</v>
      </c>
      <c r="O736" s="25">
        <f t="shared" ca="1" si="34"/>
        <v>0</v>
      </c>
      <c r="P736" s="25">
        <f t="shared" ca="1" si="35"/>
        <v>0</v>
      </c>
    </row>
    <row r="737" spans="12:16" s="23" customFormat="1" ht="13.8">
      <c r="L737" s="23">
        <v>734</v>
      </c>
      <c r="M737" s="23">
        <f ca="1"/>
        <v>251728.25664420173</v>
      </c>
      <c r="N737" s="25">
        <f t="shared" si="33"/>
        <v>127713.65200000002</v>
      </c>
      <c r="O737" s="25">
        <f t="shared" ca="1" si="34"/>
        <v>0</v>
      </c>
      <c r="P737" s="25">
        <f t="shared" ca="1" si="35"/>
        <v>0</v>
      </c>
    </row>
    <row r="738" spans="12:16" s="23" customFormat="1" ht="13.8">
      <c r="L738" s="33">
        <v>735</v>
      </c>
      <c r="M738" s="23">
        <f ca="1"/>
        <v>229134.25063267356</v>
      </c>
      <c r="N738" s="25">
        <f t="shared" si="33"/>
        <v>127713.65200000002</v>
      </c>
      <c r="O738" s="25">
        <f t="shared" ca="1" si="34"/>
        <v>0</v>
      </c>
      <c r="P738" s="25">
        <f t="shared" ca="1" si="35"/>
        <v>0</v>
      </c>
    </row>
    <row r="739" spans="12:16" s="23" customFormat="1" ht="13.8">
      <c r="L739" s="23">
        <v>736</v>
      </c>
      <c r="M739" s="23">
        <f ca="1"/>
        <v>100198.34894323861</v>
      </c>
      <c r="N739" s="25">
        <f t="shared" si="33"/>
        <v>127713.65200000002</v>
      </c>
      <c r="O739" s="25">
        <f t="shared" ca="1" si="34"/>
        <v>1</v>
      </c>
      <c r="P739" s="25">
        <f t="shared" ca="1" si="35"/>
        <v>0.21544527641227737</v>
      </c>
    </row>
    <row r="740" spans="12:16" s="23" customFormat="1" ht="13.8">
      <c r="L740" s="33">
        <v>737</v>
      </c>
      <c r="M740" s="23">
        <f ca="1"/>
        <v>134436.09225042933</v>
      </c>
      <c r="N740" s="25">
        <f t="shared" si="33"/>
        <v>127713.65200000002</v>
      </c>
      <c r="O740" s="25">
        <f t="shared" ca="1" si="34"/>
        <v>0</v>
      </c>
      <c r="P740" s="25">
        <f t="shared" ca="1" si="35"/>
        <v>0</v>
      </c>
    </row>
    <row r="741" spans="12:16" s="23" customFormat="1" ht="13.8">
      <c r="L741" s="23">
        <v>738</v>
      </c>
      <c r="M741" s="23">
        <f ca="1"/>
        <v>295574.71833714563</v>
      </c>
      <c r="N741" s="25">
        <f t="shared" si="33"/>
        <v>127713.65200000002</v>
      </c>
      <c r="O741" s="25">
        <f t="shared" ca="1" si="34"/>
        <v>0</v>
      </c>
      <c r="P741" s="25">
        <f t="shared" ca="1" si="35"/>
        <v>0</v>
      </c>
    </row>
    <row r="742" spans="12:16" s="23" customFormat="1" ht="13.8">
      <c r="L742" s="33">
        <v>739</v>
      </c>
      <c r="M742" s="23">
        <f ca="1"/>
        <v>71542.176429166357</v>
      </c>
      <c r="N742" s="25">
        <f t="shared" si="33"/>
        <v>127713.65200000002</v>
      </c>
      <c r="O742" s="25">
        <f t="shared" ca="1" si="34"/>
        <v>1</v>
      </c>
      <c r="P742" s="25">
        <f t="shared" ca="1" si="35"/>
        <v>0.43982357947789052</v>
      </c>
    </row>
    <row r="743" spans="12:16" s="23" customFormat="1" ht="13.8">
      <c r="L743" s="23">
        <v>740</v>
      </c>
      <c r="M743" s="23">
        <f ca="1"/>
        <v>14626.958844299455</v>
      </c>
      <c r="N743" s="25">
        <f t="shared" si="33"/>
        <v>127713.65200000002</v>
      </c>
      <c r="O743" s="25">
        <f t="shared" ca="1" si="34"/>
        <v>1</v>
      </c>
      <c r="P743" s="25">
        <f t="shared" ca="1" si="35"/>
        <v>0.88547067118322276</v>
      </c>
    </row>
    <row r="744" spans="12:16" s="23" customFormat="1" ht="13.8">
      <c r="L744" s="33">
        <v>741</v>
      </c>
      <c r="M744" s="23">
        <f ca="1"/>
        <v>228883.97368417541</v>
      </c>
      <c r="N744" s="25">
        <f t="shared" si="33"/>
        <v>127713.65200000002</v>
      </c>
      <c r="O744" s="25">
        <f t="shared" ca="1" si="34"/>
        <v>0</v>
      </c>
      <c r="P744" s="25">
        <f t="shared" ca="1" si="35"/>
        <v>0</v>
      </c>
    </row>
    <row r="745" spans="12:16" s="23" customFormat="1" ht="13.8">
      <c r="L745" s="23">
        <v>742</v>
      </c>
      <c r="M745" s="23">
        <f ca="1"/>
        <v>228046.90965819318</v>
      </c>
      <c r="N745" s="25">
        <f t="shared" si="33"/>
        <v>127713.65200000002</v>
      </c>
      <c r="O745" s="25">
        <f t="shared" ca="1" si="34"/>
        <v>0</v>
      </c>
      <c r="P745" s="25">
        <f t="shared" ca="1" si="35"/>
        <v>0</v>
      </c>
    </row>
    <row r="746" spans="12:16" s="23" customFormat="1" ht="13.8">
      <c r="L746" s="33">
        <v>743</v>
      </c>
      <c r="M746" s="23">
        <f ca="1"/>
        <v>105615.25874810472</v>
      </c>
      <c r="N746" s="25">
        <f t="shared" si="33"/>
        <v>127713.65200000002</v>
      </c>
      <c r="O746" s="25">
        <f t="shared" ca="1" si="34"/>
        <v>1</v>
      </c>
      <c r="P746" s="25">
        <f t="shared" ca="1" si="35"/>
        <v>0.17303078336445418</v>
      </c>
    </row>
    <row r="747" spans="12:16" s="23" customFormat="1" ht="13.8">
      <c r="L747" s="23">
        <v>744</v>
      </c>
      <c r="M747" s="23">
        <f ca="1"/>
        <v>235448.46837154002</v>
      </c>
      <c r="N747" s="25">
        <f t="shared" si="33"/>
        <v>127713.65200000002</v>
      </c>
      <c r="O747" s="25">
        <f t="shared" ca="1" si="34"/>
        <v>0</v>
      </c>
      <c r="P747" s="25">
        <f t="shared" ca="1" si="35"/>
        <v>0</v>
      </c>
    </row>
    <row r="748" spans="12:16" s="23" customFormat="1" ht="13.8">
      <c r="L748" s="33">
        <v>745</v>
      </c>
      <c r="M748" s="23">
        <f ca="1"/>
        <v>135801.39340316938</v>
      </c>
      <c r="N748" s="25">
        <f t="shared" si="33"/>
        <v>127713.65200000002</v>
      </c>
      <c r="O748" s="25">
        <f t="shared" ca="1" si="34"/>
        <v>0</v>
      </c>
      <c r="P748" s="25">
        <f t="shared" ca="1" si="35"/>
        <v>0</v>
      </c>
    </row>
    <row r="749" spans="12:16" s="23" customFormat="1" ht="13.8">
      <c r="L749" s="23">
        <v>746</v>
      </c>
      <c r="M749" s="23">
        <f ca="1"/>
        <v>142278.46893344974</v>
      </c>
      <c r="N749" s="25">
        <f t="shared" si="33"/>
        <v>127713.65200000002</v>
      </c>
      <c r="O749" s="25">
        <f t="shared" ca="1" si="34"/>
        <v>0</v>
      </c>
      <c r="P749" s="25">
        <f t="shared" ca="1" si="35"/>
        <v>0</v>
      </c>
    </row>
    <row r="750" spans="12:16" s="23" customFormat="1" ht="13.8">
      <c r="L750" s="33">
        <v>747</v>
      </c>
      <c r="M750" s="23">
        <f ca="1"/>
        <v>280157.71827572008</v>
      </c>
      <c r="N750" s="25">
        <f t="shared" si="33"/>
        <v>127713.65200000002</v>
      </c>
      <c r="O750" s="25">
        <f t="shared" ca="1" si="34"/>
        <v>0</v>
      </c>
      <c r="P750" s="25">
        <f t="shared" ca="1" si="35"/>
        <v>0</v>
      </c>
    </row>
    <row r="751" spans="12:16" s="23" customFormat="1" ht="13.8">
      <c r="L751" s="23">
        <v>748</v>
      </c>
      <c r="M751" s="23">
        <f ca="1"/>
        <v>184954.39936041541</v>
      </c>
      <c r="N751" s="25">
        <f t="shared" si="33"/>
        <v>127713.65200000002</v>
      </c>
      <c r="O751" s="25">
        <f t="shared" ca="1" si="34"/>
        <v>0</v>
      </c>
      <c r="P751" s="25">
        <f t="shared" ca="1" si="35"/>
        <v>0</v>
      </c>
    </row>
    <row r="752" spans="12:16" s="23" customFormat="1" ht="13.8">
      <c r="L752" s="33">
        <v>749</v>
      </c>
      <c r="M752" s="23">
        <f ca="1"/>
        <v>164895.33036115556</v>
      </c>
      <c r="N752" s="25">
        <f t="shared" si="33"/>
        <v>127713.65200000002</v>
      </c>
      <c r="O752" s="25">
        <f t="shared" ca="1" si="34"/>
        <v>0</v>
      </c>
      <c r="P752" s="25">
        <f t="shared" ca="1" si="35"/>
        <v>0</v>
      </c>
    </row>
    <row r="753" spans="12:16" s="23" customFormat="1" ht="13.8">
      <c r="L753" s="23">
        <v>750</v>
      </c>
      <c r="M753" s="23">
        <f ca="1"/>
        <v>225277.77309743816</v>
      </c>
      <c r="N753" s="25">
        <f t="shared" si="33"/>
        <v>127713.65200000002</v>
      </c>
      <c r="O753" s="25">
        <f t="shared" ca="1" si="34"/>
        <v>0</v>
      </c>
      <c r="P753" s="25">
        <f t="shared" ca="1" si="35"/>
        <v>0</v>
      </c>
    </row>
    <row r="754" spans="12:16" s="23" customFormat="1" ht="13.8">
      <c r="L754" s="33">
        <v>751</v>
      </c>
      <c r="M754" s="23">
        <f ca="1"/>
        <v>298100.0809312606</v>
      </c>
      <c r="N754" s="25">
        <f t="shared" si="33"/>
        <v>127713.65200000002</v>
      </c>
      <c r="O754" s="25">
        <f t="shared" ca="1" si="34"/>
        <v>0</v>
      </c>
      <c r="P754" s="25">
        <f t="shared" ca="1" si="35"/>
        <v>0</v>
      </c>
    </row>
    <row r="755" spans="12:16" s="23" customFormat="1" ht="13.8">
      <c r="L755" s="23">
        <v>752</v>
      </c>
      <c r="M755" s="23">
        <f ca="1"/>
        <v>189077.53587823041</v>
      </c>
      <c r="N755" s="25">
        <f t="shared" si="33"/>
        <v>127713.65200000002</v>
      </c>
      <c r="O755" s="25">
        <f t="shared" ca="1" si="34"/>
        <v>0</v>
      </c>
      <c r="P755" s="25">
        <f t="shared" ca="1" si="35"/>
        <v>0</v>
      </c>
    </row>
    <row r="756" spans="12:16" s="23" customFormat="1" ht="13.8">
      <c r="L756" s="33">
        <v>753</v>
      </c>
      <c r="M756" s="23">
        <f ca="1"/>
        <v>283278.06921852019</v>
      </c>
      <c r="N756" s="25">
        <f t="shared" si="33"/>
        <v>127713.65200000002</v>
      </c>
      <c r="O756" s="25">
        <f t="shared" ca="1" si="34"/>
        <v>0</v>
      </c>
      <c r="P756" s="25">
        <f t="shared" ca="1" si="35"/>
        <v>0</v>
      </c>
    </row>
    <row r="757" spans="12:16" s="23" customFormat="1" ht="13.8">
      <c r="L757" s="23">
        <v>754</v>
      </c>
      <c r="M757" s="23">
        <f ca="1"/>
        <v>34169.549461547314</v>
      </c>
      <c r="N757" s="25">
        <f t="shared" si="33"/>
        <v>127713.65200000002</v>
      </c>
      <c r="O757" s="25">
        <f t="shared" ca="1" si="34"/>
        <v>1</v>
      </c>
      <c r="P757" s="25">
        <f t="shared" ca="1" si="35"/>
        <v>0.73245186457006717</v>
      </c>
    </row>
    <row r="758" spans="12:16" s="23" customFormat="1" ht="13.8">
      <c r="L758" s="33">
        <v>755</v>
      </c>
      <c r="M758" s="23">
        <f ca="1"/>
        <v>155636.99762413735</v>
      </c>
      <c r="N758" s="25">
        <f t="shared" si="33"/>
        <v>127713.65200000002</v>
      </c>
      <c r="O758" s="25">
        <f t="shared" ca="1" si="34"/>
        <v>0</v>
      </c>
      <c r="P758" s="25">
        <f t="shared" ca="1" si="35"/>
        <v>0</v>
      </c>
    </row>
    <row r="759" spans="12:16" s="23" customFormat="1" ht="13.8">
      <c r="L759" s="23">
        <v>756</v>
      </c>
      <c r="M759" s="23">
        <f ca="1"/>
        <v>184711.23564644158</v>
      </c>
      <c r="N759" s="25">
        <f t="shared" si="33"/>
        <v>127713.65200000002</v>
      </c>
      <c r="O759" s="25">
        <f t="shared" ca="1" si="34"/>
        <v>0</v>
      </c>
      <c r="P759" s="25">
        <f t="shared" ca="1" si="35"/>
        <v>0</v>
      </c>
    </row>
    <row r="760" spans="12:16" s="23" customFormat="1" ht="13.8">
      <c r="L760" s="33">
        <v>757</v>
      </c>
      <c r="M760" s="23">
        <f ca="1"/>
        <v>189719.31013587868</v>
      </c>
      <c r="N760" s="25">
        <f t="shared" si="33"/>
        <v>127713.65200000002</v>
      </c>
      <c r="O760" s="25">
        <f t="shared" ca="1" si="34"/>
        <v>0</v>
      </c>
      <c r="P760" s="25">
        <f t="shared" ca="1" si="35"/>
        <v>0</v>
      </c>
    </row>
    <row r="761" spans="12:16" s="23" customFormat="1" ht="13.8">
      <c r="L761" s="23">
        <v>758</v>
      </c>
      <c r="M761" s="23">
        <f ca="1"/>
        <v>139915.54954142208</v>
      </c>
      <c r="N761" s="25">
        <f t="shared" si="33"/>
        <v>127713.65200000002</v>
      </c>
      <c r="O761" s="25">
        <f t="shared" ca="1" si="34"/>
        <v>0</v>
      </c>
      <c r="P761" s="25">
        <f t="shared" ca="1" si="35"/>
        <v>0</v>
      </c>
    </row>
    <row r="762" spans="12:16" s="23" customFormat="1" ht="13.8">
      <c r="L762" s="33">
        <v>759</v>
      </c>
      <c r="M762" s="23">
        <f ca="1"/>
        <v>251961.71915636567</v>
      </c>
      <c r="N762" s="25">
        <f t="shared" si="33"/>
        <v>127713.65200000002</v>
      </c>
      <c r="O762" s="25">
        <f t="shared" ca="1" si="34"/>
        <v>0</v>
      </c>
      <c r="P762" s="25">
        <f t="shared" ca="1" si="35"/>
        <v>0</v>
      </c>
    </row>
    <row r="763" spans="12:16" s="23" customFormat="1" ht="13.8">
      <c r="L763" s="23">
        <v>760</v>
      </c>
      <c r="M763" s="23">
        <f ca="1"/>
        <v>153908.26927674701</v>
      </c>
      <c r="N763" s="25">
        <f t="shared" si="33"/>
        <v>127713.65200000002</v>
      </c>
      <c r="O763" s="25">
        <f t="shared" ca="1" si="34"/>
        <v>0</v>
      </c>
      <c r="P763" s="25">
        <f t="shared" ca="1" si="35"/>
        <v>0</v>
      </c>
    </row>
    <row r="764" spans="12:16" s="23" customFormat="1" ht="13.8">
      <c r="L764" s="33">
        <v>761</v>
      </c>
      <c r="M764" s="23">
        <f ca="1"/>
        <v>69898.505276614087</v>
      </c>
      <c r="N764" s="25">
        <f t="shared" si="33"/>
        <v>127713.65200000002</v>
      </c>
      <c r="O764" s="25">
        <f t="shared" ca="1" si="34"/>
        <v>1</v>
      </c>
      <c r="P764" s="25">
        <f t="shared" ca="1" si="35"/>
        <v>0.45269355169160713</v>
      </c>
    </row>
    <row r="765" spans="12:16" s="23" customFormat="1" ht="13.8">
      <c r="L765" s="23">
        <v>762</v>
      </c>
      <c r="M765" s="23">
        <f ca="1"/>
        <v>178854.98154067027</v>
      </c>
      <c r="N765" s="25">
        <f t="shared" si="33"/>
        <v>127713.65200000002</v>
      </c>
      <c r="O765" s="25">
        <f t="shared" ca="1" si="34"/>
        <v>0</v>
      </c>
      <c r="P765" s="25">
        <f t="shared" ca="1" si="35"/>
        <v>0</v>
      </c>
    </row>
    <row r="766" spans="12:16" s="23" customFormat="1" ht="13.8">
      <c r="L766" s="33">
        <v>763</v>
      </c>
      <c r="M766" s="23">
        <f ca="1"/>
        <v>232543.68863639576</v>
      </c>
      <c r="N766" s="25">
        <f t="shared" si="33"/>
        <v>127713.65200000002</v>
      </c>
      <c r="O766" s="25">
        <f t="shared" ca="1" si="34"/>
        <v>0</v>
      </c>
      <c r="P766" s="25">
        <f t="shared" ca="1" si="35"/>
        <v>0</v>
      </c>
    </row>
    <row r="767" spans="12:16" s="23" customFormat="1" ht="13.8">
      <c r="L767" s="23">
        <v>764</v>
      </c>
      <c r="M767" s="23">
        <f ca="1"/>
        <v>181980.2723913432</v>
      </c>
      <c r="N767" s="25">
        <f t="shared" si="33"/>
        <v>127713.65200000002</v>
      </c>
      <c r="O767" s="25">
        <f t="shared" ca="1" si="34"/>
        <v>0</v>
      </c>
      <c r="P767" s="25">
        <f t="shared" ca="1" si="35"/>
        <v>0</v>
      </c>
    </row>
    <row r="768" spans="12:16" s="23" customFormat="1" ht="13.8">
      <c r="L768" s="33">
        <v>765</v>
      </c>
      <c r="M768" s="23">
        <f ca="1"/>
        <v>116011.41302296345</v>
      </c>
      <c r="N768" s="25">
        <f t="shared" si="33"/>
        <v>127713.65200000002</v>
      </c>
      <c r="O768" s="25">
        <f t="shared" ca="1" si="34"/>
        <v>1</v>
      </c>
      <c r="P768" s="25">
        <f t="shared" ca="1" si="35"/>
        <v>9.1628724053999869E-2</v>
      </c>
    </row>
    <row r="769" spans="12:16" s="23" customFormat="1" ht="13.8">
      <c r="L769" s="23">
        <v>766</v>
      </c>
      <c r="M769" s="23">
        <f ca="1"/>
        <v>118304.38319286819</v>
      </c>
      <c r="N769" s="25">
        <f t="shared" si="33"/>
        <v>127713.65200000002</v>
      </c>
      <c r="O769" s="25">
        <f t="shared" ca="1" si="34"/>
        <v>1</v>
      </c>
      <c r="P769" s="25">
        <f t="shared" ca="1" si="35"/>
        <v>7.3674729833360528E-2</v>
      </c>
    </row>
    <row r="770" spans="12:16" s="23" customFormat="1" ht="13.8">
      <c r="L770" s="33">
        <v>767</v>
      </c>
      <c r="M770" s="23">
        <f ca="1"/>
        <v>235768.27748614829</v>
      </c>
      <c r="N770" s="25">
        <f t="shared" si="33"/>
        <v>127713.65200000002</v>
      </c>
      <c r="O770" s="25">
        <f t="shared" ca="1" si="34"/>
        <v>0</v>
      </c>
      <c r="P770" s="25">
        <f t="shared" ca="1" si="35"/>
        <v>0</v>
      </c>
    </row>
    <row r="771" spans="12:16" s="23" customFormat="1" ht="13.8">
      <c r="L771" s="23">
        <v>768</v>
      </c>
      <c r="M771" s="23">
        <f ca="1"/>
        <v>192944.56968813427</v>
      </c>
      <c r="N771" s="25">
        <f t="shared" si="33"/>
        <v>127713.65200000002</v>
      </c>
      <c r="O771" s="25">
        <f t="shared" ca="1" si="34"/>
        <v>0</v>
      </c>
      <c r="P771" s="25">
        <f t="shared" ca="1" si="35"/>
        <v>0</v>
      </c>
    </row>
    <row r="772" spans="12:16" s="23" customFormat="1" ht="13.8">
      <c r="L772" s="33">
        <v>769</v>
      </c>
      <c r="M772" s="23">
        <f ca="1"/>
        <v>140835.89585049142</v>
      </c>
      <c r="N772" s="25">
        <f t="shared" ref="N772:N835" si="36">($C$24+$E$24)*1.1</f>
        <v>127713.65200000002</v>
      </c>
      <c r="O772" s="25">
        <f t="shared" ca="1" si="34"/>
        <v>0</v>
      </c>
      <c r="P772" s="25">
        <f t="shared" ca="1" si="35"/>
        <v>0</v>
      </c>
    </row>
    <row r="773" spans="12:16" s="23" customFormat="1" ht="13.8">
      <c r="L773" s="23">
        <v>770</v>
      </c>
      <c r="M773" s="23">
        <f ca="1"/>
        <v>186891.35297184219</v>
      </c>
      <c r="N773" s="25">
        <f t="shared" si="36"/>
        <v>127713.65200000002</v>
      </c>
      <c r="O773" s="25">
        <f t="shared" ref="O773:O836" ca="1" si="37">IF(M773&lt;N773,1,0)</f>
        <v>0</v>
      </c>
      <c r="P773" s="25">
        <f t="shared" ref="P773:P836" ca="1" si="38">MAX((N773-M773)/N773,0)</f>
        <v>0</v>
      </c>
    </row>
    <row r="774" spans="12:16" s="23" customFormat="1" ht="13.8">
      <c r="L774" s="33">
        <v>771</v>
      </c>
      <c r="M774" s="23">
        <f ca="1"/>
        <v>187044.81402901819</v>
      </c>
      <c r="N774" s="25">
        <f t="shared" si="36"/>
        <v>127713.65200000002</v>
      </c>
      <c r="O774" s="25">
        <f t="shared" ca="1" si="37"/>
        <v>0</v>
      </c>
      <c r="P774" s="25">
        <f t="shared" ca="1" si="38"/>
        <v>0</v>
      </c>
    </row>
    <row r="775" spans="12:16" s="23" customFormat="1" ht="13.8">
      <c r="L775" s="23">
        <v>772</v>
      </c>
      <c r="M775" s="23">
        <f ca="1"/>
        <v>111530.58763868312</v>
      </c>
      <c r="N775" s="25">
        <f t="shared" si="36"/>
        <v>127713.65200000002</v>
      </c>
      <c r="O775" s="25">
        <f t="shared" ca="1" si="37"/>
        <v>1</v>
      </c>
      <c r="P775" s="25">
        <f t="shared" ca="1" si="38"/>
        <v>0.12671366066109277</v>
      </c>
    </row>
    <row r="776" spans="12:16" s="23" customFormat="1" ht="13.8">
      <c r="L776" s="33">
        <v>773</v>
      </c>
      <c r="M776" s="23">
        <f ca="1"/>
        <v>-4578.7967099301968</v>
      </c>
      <c r="N776" s="25">
        <f t="shared" si="36"/>
        <v>127713.65200000002</v>
      </c>
      <c r="O776" s="25">
        <f t="shared" ca="1" si="37"/>
        <v>1</v>
      </c>
      <c r="P776" s="25">
        <f t="shared" ca="1" si="38"/>
        <v>1.0358520537015901</v>
      </c>
    </row>
    <row r="777" spans="12:16" s="23" customFormat="1" ht="13.8">
      <c r="L777" s="23">
        <v>774</v>
      </c>
      <c r="M777" s="23">
        <f ca="1"/>
        <v>87896.71728333713</v>
      </c>
      <c r="N777" s="25">
        <f t="shared" si="36"/>
        <v>127713.65200000002</v>
      </c>
      <c r="O777" s="25">
        <f t="shared" ca="1" si="37"/>
        <v>1</v>
      </c>
      <c r="P777" s="25">
        <f t="shared" ca="1" si="38"/>
        <v>0.31176725505165948</v>
      </c>
    </row>
    <row r="778" spans="12:16" s="23" customFormat="1" ht="13.8">
      <c r="L778" s="33">
        <v>775</v>
      </c>
      <c r="M778" s="23">
        <f ca="1"/>
        <v>193912.40832871501</v>
      </c>
      <c r="N778" s="25">
        <f t="shared" si="36"/>
        <v>127713.65200000002</v>
      </c>
      <c r="O778" s="25">
        <f t="shared" ca="1" si="37"/>
        <v>0</v>
      </c>
      <c r="P778" s="25">
        <f t="shared" ca="1" si="38"/>
        <v>0</v>
      </c>
    </row>
    <row r="779" spans="12:16" s="23" customFormat="1" ht="13.8">
      <c r="L779" s="23">
        <v>776</v>
      </c>
      <c r="M779" s="23">
        <f ca="1"/>
        <v>119818.15259677784</v>
      </c>
      <c r="N779" s="25">
        <f t="shared" si="36"/>
        <v>127713.65200000002</v>
      </c>
      <c r="O779" s="25">
        <f t="shared" ca="1" si="37"/>
        <v>1</v>
      </c>
      <c r="P779" s="25">
        <f t="shared" ca="1" si="38"/>
        <v>6.1821890452417504E-2</v>
      </c>
    </row>
    <row r="780" spans="12:16" s="23" customFormat="1" ht="13.8">
      <c r="L780" s="33">
        <v>777</v>
      </c>
      <c r="M780" s="23">
        <f ca="1"/>
        <v>220124.91328046029</v>
      </c>
      <c r="N780" s="25">
        <f t="shared" si="36"/>
        <v>127713.65200000002</v>
      </c>
      <c r="O780" s="25">
        <f t="shared" ca="1" si="37"/>
        <v>0</v>
      </c>
      <c r="P780" s="25">
        <f t="shared" ca="1" si="38"/>
        <v>0</v>
      </c>
    </row>
    <row r="781" spans="12:16" s="23" customFormat="1" ht="13.8">
      <c r="L781" s="23">
        <v>778</v>
      </c>
      <c r="M781" s="23">
        <f ca="1"/>
        <v>89141.137332287326</v>
      </c>
      <c r="N781" s="25">
        <f t="shared" si="36"/>
        <v>127713.65200000002</v>
      </c>
      <c r="O781" s="25">
        <f t="shared" ca="1" si="37"/>
        <v>1</v>
      </c>
      <c r="P781" s="25">
        <f t="shared" ca="1" si="38"/>
        <v>0.30202342555917738</v>
      </c>
    </row>
    <row r="782" spans="12:16" s="23" customFormat="1" ht="13.8">
      <c r="L782" s="33">
        <v>779</v>
      </c>
      <c r="M782" s="23">
        <f ca="1"/>
        <v>169091.09553817543</v>
      </c>
      <c r="N782" s="25">
        <f t="shared" si="36"/>
        <v>127713.65200000002</v>
      </c>
      <c r="O782" s="25">
        <f t="shared" ca="1" si="37"/>
        <v>0</v>
      </c>
      <c r="P782" s="25">
        <f t="shared" ca="1" si="38"/>
        <v>0</v>
      </c>
    </row>
    <row r="783" spans="12:16" s="23" customFormat="1" ht="13.8">
      <c r="L783" s="23">
        <v>780</v>
      </c>
      <c r="M783" s="23">
        <f ca="1"/>
        <v>80893.209728782735</v>
      </c>
      <c r="N783" s="25">
        <f t="shared" si="36"/>
        <v>127713.65200000002</v>
      </c>
      <c r="O783" s="25">
        <f t="shared" ca="1" si="37"/>
        <v>1</v>
      </c>
      <c r="P783" s="25">
        <f t="shared" ca="1" si="38"/>
        <v>0.36660483462815141</v>
      </c>
    </row>
    <row r="784" spans="12:16" s="23" customFormat="1" ht="13.8">
      <c r="L784" s="33">
        <v>781</v>
      </c>
      <c r="M784" s="23">
        <f ca="1"/>
        <v>136926.89619235115</v>
      </c>
      <c r="N784" s="25">
        <f t="shared" si="36"/>
        <v>127713.65200000002</v>
      </c>
      <c r="O784" s="25">
        <f t="shared" ca="1" si="37"/>
        <v>0</v>
      </c>
      <c r="P784" s="25">
        <f t="shared" ca="1" si="38"/>
        <v>0</v>
      </c>
    </row>
    <row r="785" spans="12:16" s="23" customFormat="1" ht="13.8">
      <c r="L785" s="23">
        <v>782</v>
      </c>
      <c r="M785" s="23">
        <f ca="1"/>
        <v>144475.01954289887</v>
      </c>
      <c r="N785" s="25">
        <f t="shared" si="36"/>
        <v>127713.65200000002</v>
      </c>
      <c r="O785" s="25">
        <f t="shared" ca="1" si="37"/>
        <v>0</v>
      </c>
      <c r="P785" s="25">
        <f t="shared" ca="1" si="38"/>
        <v>0</v>
      </c>
    </row>
    <row r="786" spans="12:16" s="23" customFormat="1" ht="13.8">
      <c r="L786" s="33">
        <v>783</v>
      </c>
      <c r="M786" s="23">
        <f ca="1"/>
        <v>169341.47934365089</v>
      </c>
      <c r="N786" s="25">
        <f t="shared" si="36"/>
        <v>127713.65200000002</v>
      </c>
      <c r="O786" s="25">
        <f t="shared" ca="1" si="37"/>
        <v>0</v>
      </c>
      <c r="P786" s="25">
        <f t="shared" ca="1" si="38"/>
        <v>0</v>
      </c>
    </row>
    <row r="787" spans="12:16" s="23" customFormat="1" ht="13.8">
      <c r="L787" s="23">
        <v>784</v>
      </c>
      <c r="M787" s="23">
        <f ca="1"/>
        <v>192307.76921131244</v>
      </c>
      <c r="N787" s="25">
        <f t="shared" si="36"/>
        <v>127713.65200000002</v>
      </c>
      <c r="O787" s="25">
        <f t="shared" ca="1" si="37"/>
        <v>0</v>
      </c>
      <c r="P787" s="25">
        <f t="shared" ca="1" si="38"/>
        <v>0</v>
      </c>
    </row>
    <row r="788" spans="12:16" s="23" customFormat="1" ht="13.8">
      <c r="L788" s="33">
        <v>785</v>
      </c>
      <c r="M788" s="23">
        <f ca="1"/>
        <v>-4596.8063571929015</v>
      </c>
      <c r="N788" s="25">
        <f t="shared" si="36"/>
        <v>127713.65200000002</v>
      </c>
      <c r="O788" s="25">
        <f t="shared" ca="1" si="37"/>
        <v>1</v>
      </c>
      <c r="P788" s="25">
        <f t="shared" ca="1" si="38"/>
        <v>1.035993069536473</v>
      </c>
    </row>
    <row r="789" spans="12:16" s="23" customFormat="1" ht="13.8">
      <c r="L789" s="23">
        <v>786</v>
      </c>
      <c r="M789" s="23">
        <f ca="1"/>
        <v>269167.3556982638</v>
      </c>
      <c r="N789" s="25">
        <f t="shared" si="36"/>
        <v>127713.65200000002</v>
      </c>
      <c r="O789" s="25">
        <f t="shared" ca="1" si="37"/>
        <v>0</v>
      </c>
      <c r="P789" s="25">
        <f t="shared" ca="1" si="38"/>
        <v>0</v>
      </c>
    </row>
    <row r="790" spans="12:16" s="23" customFormat="1" ht="13.8">
      <c r="L790" s="33">
        <v>787</v>
      </c>
      <c r="M790" s="23">
        <f ca="1"/>
        <v>264711.39077162778</v>
      </c>
      <c r="N790" s="25">
        <f t="shared" si="36"/>
        <v>127713.65200000002</v>
      </c>
      <c r="O790" s="25">
        <f t="shared" ca="1" si="37"/>
        <v>0</v>
      </c>
      <c r="P790" s="25">
        <f t="shared" ca="1" si="38"/>
        <v>0</v>
      </c>
    </row>
    <row r="791" spans="12:16" s="23" customFormat="1" ht="13.8">
      <c r="L791" s="23">
        <v>788</v>
      </c>
      <c r="M791" s="23">
        <f ca="1"/>
        <v>252124.82424507666</v>
      </c>
      <c r="N791" s="25">
        <f t="shared" si="36"/>
        <v>127713.65200000002</v>
      </c>
      <c r="O791" s="25">
        <f t="shared" ca="1" si="37"/>
        <v>0</v>
      </c>
      <c r="P791" s="25">
        <f t="shared" ca="1" si="38"/>
        <v>0</v>
      </c>
    </row>
    <row r="792" spans="12:16" s="23" customFormat="1" ht="13.8">
      <c r="L792" s="33">
        <v>789</v>
      </c>
      <c r="M792" s="23">
        <f ca="1"/>
        <v>122537.31118818602</v>
      </c>
      <c r="N792" s="25">
        <f t="shared" si="36"/>
        <v>127713.65200000002</v>
      </c>
      <c r="O792" s="25">
        <f t="shared" ca="1" si="37"/>
        <v>1</v>
      </c>
      <c r="P792" s="25">
        <f t="shared" ca="1" si="38"/>
        <v>4.0530833867423913E-2</v>
      </c>
    </row>
    <row r="793" spans="12:16" s="23" customFormat="1" ht="13.8">
      <c r="L793" s="23">
        <v>790</v>
      </c>
      <c r="M793" s="23">
        <f ca="1"/>
        <v>137847.69126199075</v>
      </c>
      <c r="N793" s="25">
        <f t="shared" si="36"/>
        <v>127713.65200000002</v>
      </c>
      <c r="O793" s="25">
        <f t="shared" ca="1" si="37"/>
        <v>0</v>
      </c>
      <c r="P793" s="25">
        <f t="shared" ca="1" si="38"/>
        <v>0</v>
      </c>
    </row>
    <row r="794" spans="12:16" s="23" customFormat="1" ht="13.8">
      <c r="L794" s="33">
        <v>791</v>
      </c>
      <c r="M794" s="23">
        <f ca="1"/>
        <v>207499.56602878001</v>
      </c>
      <c r="N794" s="25">
        <f t="shared" si="36"/>
        <v>127713.65200000002</v>
      </c>
      <c r="O794" s="25">
        <f t="shared" ca="1" si="37"/>
        <v>0</v>
      </c>
      <c r="P794" s="25">
        <f t="shared" ca="1" si="38"/>
        <v>0</v>
      </c>
    </row>
    <row r="795" spans="12:16" s="23" customFormat="1" ht="13.8">
      <c r="L795" s="23">
        <v>792</v>
      </c>
      <c r="M795" s="23">
        <f ca="1"/>
        <v>165862.03390596263</v>
      </c>
      <c r="N795" s="25">
        <f t="shared" si="36"/>
        <v>127713.65200000002</v>
      </c>
      <c r="O795" s="25">
        <f t="shared" ca="1" si="37"/>
        <v>0</v>
      </c>
      <c r="P795" s="25">
        <f t="shared" ca="1" si="38"/>
        <v>0</v>
      </c>
    </row>
    <row r="796" spans="12:16" s="23" customFormat="1" ht="13.8">
      <c r="L796" s="33">
        <v>793</v>
      </c>
      <c r="M796" s="23">
        <f ca="1"/>
        <v>34730.458898431854</v>
      </c>
      <c r="N796" s="25">
        <f t="shared" si="36"/>
        <v>127713.65200000002</v>
      </c>
      <c r="O796" s="25">
        <f t="shared" ca="1" si="37"/>
        <v>1</v>
      </c>
      <c r="P796" s="25">
        <f t="shared" ca="1" si="38"/>
        <v>0.72805993443495098</v>
      </c>
    </row>
    <row r="797" spans="12:16" s="23" customFormat="1" ht="13.8">
      <c r="L797" s="23">
        <v>794</v>
      </c>
      <c r="M797" s="23">
        <f ca="1"/>
        <v>232924.16198917455</v>
      </c>
      <c r="N797" s="25">
        <f t="shared" si="36"/>
        <v>127713.65200000002</v>
      </c>
      <c r="O797" s="25">
        <f t="shared" ca="1" si="37"/>
        <v>0</v>
      </c>
      <c r="P797" s="25">
        <f t="shared" ca="1" si="38"/>
        <v>0</v>
      </c>
    </row>
    <row r="798" spans="12:16" s="23" customFormat="1" ht="13.8">
      <c r="L798" s="33">
        <v>795</v>
      </c>
      <c r="M798" s="23">
        <f ca="1"/>
        <v>138263.12757134196</v>
      </c>
      <c r="N798" s="25">
        <f t="shared" si="36"/>
        <v>127713.65200000002</v>
      </c>
      <c r="O798" s="25">
        <f t="shared" ca="1" si="37"/>
        <v>0</v>
      </c>
      <c r="P798" s="25">
        <f t="shared" ca="1" si="38"/>
        <v>0</v>
      </c>
    </row>
    <row r="799" spans="12:16" s="23" customFormat="1" ht="13.8">
      <c r="L799" s="23">
        <v>796</v>
      </c>
      <c r="M799" s="23">
        <f ca="1"/>
        <v>160284.91733461132</v>
      </c>
      <c r="N799" s="25">
        <f t="shared" si="36"/>
        <v>127713.65200000002</v>
      </c>
      <c r="O799" s="25">
        <f t="shared" ca="1" si="37"/>
        <v>0</v>
      </c>
      <c r="P799" s="25">
        <f t="shared" ca="1" si="38"/>
        <v>0</v>
      </c>
    </row>
    <row r="800" spans="12:16" s="23" customFormat="1" ht="13.8">
      <c r="L800" s="33">
        <v>797</v>
      </c>
      <c r="M800" s="23">
        <f ca="1"/>
        <v>203283.04039782344</v>
      </c>
      <c r="N800" s="25">
        <f t="shared" si="36"/>
        <v>127713.65200000002</v>
      </c>
      <c r="O800" s="25">
        <f t="shared" ca="1" si="37"/>
        <v>0</v>
      </c>
      <c r="P800" s="25">
        <f t="shared" ca="1" si="38"/>
        <v>0</v>
      </c>
    </row>
    <row r="801" spans="12:16" s="23" customFormat="1" ht="13.8">
      <c r="L801" s="23">
        <v>798</v>
      </c>
      <c r="M801" s="23">
        <f ca="1"/>
        <v>42833.089011741788</v>
      </c>
      <c r="N801" s="25">
        <f t="shared" si="36"/>
        <v>127713.65200000002</v>
      </c>
      <c r="O801" s="25">
        <f t="shared" ca="1" si="37"/>
        <v>1</v>
      </c>
      <c r="P801" s="25">
        <f t="shared" ca="1" si="38"/>
        <v>0.66461620710883917</v>
      </c>
    </row>
    <row r="802" spans="12:16" s="23" customFormat="1" ht="13.8">
      <c r="L802" s="33">
        <v>799</v>
      </c>
      <c r="M802" s="23">
        <f ca="1"/>
        <v>349648.80513594236</v>
      </c>
      <c r="N802" s="25">
        <f t="shared" si="36"/>
        <v>127713.65200000002</v>
      </c>
      <c r="O802" s="25">
        <f t="shared" ca="1" si="37"/>
        <v>0</v>
      </c>
      <c r="P802" s="25">
        <f t="shared" ca="1" si="38"/>
        <v>0</v>
      </c>
    </row>
    <row r="803" spans="12:16" s="23" customFormat="1" ht="13.8">
      <c r="L803" s="23">
        <v>800</v>
      </c>
      <c r="M803" s="23">
        <f ca="1"/>
        <v>199345.91449362526</v>
      </c>
      <c r="N803" s="25">
        <f t="shared" si="36"/>
        <v>127713.65200000002</v>
      </c>
      <c r="O803" s="25">
        <f t="shared" ca="1" si="37"/>
        <v>0</v>
      </c>
      <c r="P803" s="25">
        <f t="shared" ca="1" si="38"/>
        <v>0</v>
      </c>
    </row>
    <row r="804" spans="12:16" s="23" customFormat="1" ht="13.8">
      <c r="L804" s="33">
        <v>801</v>
      </c>
      <c r="M804" s="23">
        <f ca="1"/>
        <v>89816.110834161183</v>
      </c>
      <c r="N804" s="25">
        <f t="shared" si="36"/>
        <v>127713.65200000002</v>
      </c>
      <c r="O804" s="25">
        <f t="shared" ca="1" si="37"/>
        <v>1</v>
      </c>
      <c r="P804" s="25">
        <f t="shared" ca="1" si="38"/>
        <v>0.29673837191531277</v>
      </c>
    </row>
    <row r="805" spans="12:16" s="23" customFormat="1" ht="13.8">
      <c r="L805" s="23">
        <v>802</v>
      </c>
      <c r="M805" s="23">
        <f ca="1"/>
        <v>127773.1298638982</v>
      </c>
      <c r="N805" s="25">
        <f t="shared" si="36"/>
        <v>127713.65200000002</v>
      </c>
      <c r="O805" s="25">
        <f t="shared" ca="1" si="37"/>
        <v>0</v>
      </c>
      <c r="P805" s="25">
        <f t="shared" ca="1" si="38"/>
        <v>0</v>
      </c>
    </row>
    <row r="806" spans="12:16" s="23" customFormat="1" ht="13.8">
      <c r="L806" s="33">
        <v>803</v>
      </c>
      <c r="M806" s="23">
        <f ca="1"/>
        <v>120635.31800240018</v>
      </c>
      <c r="N806" s="25">
        <f t="shared" si="36"/>
        <v>127713.65200000002</v>
      </c>
      <c r="O806" s="25">
        <f t="shared" ca="1" si="37"/>
        <v>1</v>
      </c>
      <c r="P806" s="25">
        <f t="shared" ca="1" si="38"/>
        <v>5.5423471858747235E-2</v>
      </c>
    </row>
    <row r="807" spans="12:16" s="23" customFormat="1" ht="13.8">
      <c r="L807" s="23">
        <v>804</v>
      </c>
      <c r="M807" s="23">
        <f ca="1"/>
        <v>329185.40938911954</v>
      </c>
      <c r="N807" s="25">
        <f t="shared" si="36"/>
        <v>127713.65200000002</v>
      </c>
      <c r="O807" s="25">
        <f t="shared" ca="1" si="37"/>
        <v>0</v>
      </c>
      <c r="P807" s="25">
        <f t="shared" ca="1" si="38"/>
        <v>0</v>
      </c>
    </row>
    <row r="808" spans="12:16" s="23" customFormat="1" ht="13.8">
      <c r="L808" s="33">
        <v>805</v>
      </c>
      <c r="M808" s="23">
        <f ca="1"/>
        <v>132965.15386298855</v>
      </c>
      <c r="N808" s="25">
        <f t="shared" si="36"/>
        <v>127713.65200000002</v>
      </c>
      <c r="O808" s="25">
        <f t="shared" ca="1" si="37"/>
        <v>0</v>
      </c>
      <c r="P808" s="25">
        <f t="shared" ca="1" si="38"/>
        <v>0</v>
      </c>
    </row>
    <row r="809" spans="12:16" s="23" customFormat="1" ht="13.8">
      <c r="L809" s="23">
        <v>806</v>
      </c>
      <c r="M809" s="23">
        <f ca="1"/>
        <v>136087.7931415303</v>
      </c>
      <c r="N809" s="25">
        <f t="shared" si="36"/>
        <v>127713.65200000002</v>
      </c>
      <c r="O809" s="25">
        <f t="shared" ca="1" si="37"/>
        <v>0</v>
      </c>
      <c r="P809" s="25">
        <f t="shared" ca="1" si="38"/>
        <v>0</v>
      </c>
    </row>
    <row r="810" spans="12:16" s="23" customFormat="1" ht="13.8">
      <c r="L810" s="33">
        <v>807</v>
      </c>
      <c r="M810" s="23">
        <f ca="1"/>
        <v>163287.76218457331</v>
      </c>
      <c r="N810" s="25">
        <f t="shared" si="36"/>
        <v>127713.65200000002</v>
      </c>
      <c r="O810" s="25">
        <f t="shared" ca="1" si="37"/>
        <v>0</v>
      </c>
      <c r="P810" s="25">
        <f t="shared" ca="1" si="38"/>
        <v>0</v>
      </c>
    </row>
    <row r="811" spans="12:16" s="23" customFormat="1" ht="13.8">
      <c r="L811" s="23">
        <v>808</v>
      </c>
      <c r="M811" s="23">
        <f ca="1"/>
        <v>194620.60149559972</v>
      </c>
      <c r="N811" s="25">
        <f t="shared" si="36"/>
        <v>127713.65200000002</v>
      </c>
      <c r="O811" s="25">
        <f t="shared" ca="1" si="37"/>
        <v>0</v>
      </c>
      <c r="P811" s="25">
        <f t="shared" ca="1" si="38"/>
        <v>0</v>
      </c>
    </row>
    <row r="812" spans="12:16" s="23" customFormat="1" ht="13.8">
      <c r="L812" s="33">
        <v>809</v>
      </c>
      <c r="M812" s="23">
        <f ca="1"/>
        <v>267555.37145399902</v>
      </c>
      <c r="N812" s="25">
        <f t="shared" si="36"/>
        <v>127713.65200000002</v>
      </c>
      <c r="O812" s="25">
        <f t="shared" ca="1" si="37"/>
        <v>0</v>
      </c>
      <c r="P812" s="25">
        <f t="shared" ca="1" si="38"/>
        <v>0</v>
      </c>
    </row>
    <row r="813" spans="12:16" s="23" customFormat="1" ht="13.8">
      <c r="L813" s="23">
        <v>810</v>
      </c>
      <c r="M813" s="23">
        <f ca="1"/>
        <v>139237.12947525815</v>
      </c>
      <c r="N813" s="25">
        <f t="shared" si="36"/>
        <v>127713.65200000002</v>
      </c>
      <c r="O813" s="25">
        <f t="shared" ca="1" si="37"/>
        <v>0</v>
      </c>
      <c r="P813" s="25">
        <f t="shared" ca="1" si="38"/>
        <v>0</v>
      </c>
    </row>
    <row r="814" spans="12:16" s="23" customFormat="1" ht="13.8">
      <c r="L814" s="33">
        <v>811</v>
      </c>
      <c r="M814" s="23">
        <f ca="1"/>
        <v>177780.09594072183</v>
      </c>
      <c r="N814" s="25">
        <f t="shared" si="36"/>
        <v>127713.65200000002</v>
      </c>
      <c r="O814" s="25">
        <f t="shared" ca="1" si="37"/>
        <v>0</v>
      </c>
      <c r="P814" s="25">
        <f t="shared" ca="1" si="38"/>
        <v>0</v>
      </c>
    </row>
    <row r="815" spans="12:16" s="23" customFormat="1" ht="13.8">
      <c r="L815" s="23">
        <v>812</v>
      </c>
      <c r="M815" s="23">
        <f ca="1"/>
        <v>175336.21169571448</v>
      </c>
      <c r="N815" s="25">
        <f t="shared" si="36"/>
        <v>127713.65200000002</v>
      </c>
      <c r="O815" s="25">
        <f t="shared" ca="1" si="37"/>
        <v>0</v>
      </c>
      <c r="P815" s="25">
        <f t="shared" ca="1" si="38"/>
        <v>0</v>
      </c>
    </row>
    <row r="816" spans="12:16" s="23" customFormat="1" ht="13.8">
      <c r="L816" s="33">
        <v>813</v>
      </c>
      <c r="M816" s="23">
        <f ca="1"/>
        <v>81131.063257588583</v>
      </c>
      <c r="N816" s="25">
        <f t="shared" si="36"/>
        <v>127713.65200000002</v>
      </c>
      <c r="O816" s="25">
        <f t="shared" ca="1" si="37"/>
        <v>1</v>
      </c>
      <c r="P816" s="25">
        <f t="shared" ca="1" si="38"/>
        <v>0.36474243757755381</v>
      </c>
    </row>
    <row r="817" spans="12:16" s="23" customFormat="1" ht="13.8">
      <c r="L817" s="23">
        <v>814</v>
      </c>
      <c r="M817" s="23">
        <f ca="1"/>
        <v>156361.35215957853</v>
      </c>
      <c r="N817" s="25">
        <f t="shared" si="36"/>
        <v>127713.65200000002</v>
      </c>
      <c r="O817" s="25">
        <f t="shared" ca="1" si="37"/>
        <v>0</v>
      </c>
      <c r="P817" s="25">
        <f t="shared" ca="1" si="38"/>
        <v>0</v>
      </c>
    </row>
    <row r="818" spans="12:16" s="23" customFormat="1" ht="13.8">
      <c r="L818" s="33">
        <v>815</v>
      </c>
      <c r="M818" s="23">
        <f ca="1"/>
        <v>106954.76213574372</v>
      </c>
      <c r="N818" s="25">
        <f t="shared" si="36"/>
        <v>127713.65200000002</v>
      </c>
      <c r="O818" s="25">
        <f t="shared" ca="1" si="37"/>
        <v>1</v>
      </c>
      <c r="P818" s="25">
        <f t="shared" ca="1" si="38"/>
        <v>0.16254244976297677</v>
      </c>
    </row>
    <row r="819" spans="12:16" s="23" customFormat="1" ht="13.8">
      <c r="L819" s="23">
        <v>816</v>
      </c>
      <c r="M819" s="23">
        <f ca="1"/>
        <v>89166.507093507316</v>
      </c>
      <c r="N819" s="25">
        <f t="shared" si="36"/>
        <v>127713.65200000002</v>
      </c>
      <c r="O819" s="25">
        <f t="shared" ca="1" si="37"/>
        <v>1</v>
      </c>
      <c r="P819" s="25">
        <f t="shared" ca="1" si="38"/>
        <v>0.30182477991070755</v>
      </c>
    </row>
    <row r="820" spans="12:16" s="23" customFormat="1" ht="13.8">
      <c r="L820" s="33">
        <v>817</v>
      </c>
      <c r="M820" s="23">
        <f ca="1"/>
        <v>299351.60912542726</v>
      </c>
      <c r="N820" s="25">
        <f t="shared" si="36"/>
        <v>127713.65200000002</v>
      </c>
      <c r="O820" s="25">
        <f t="shared" ca="1" si="37"/>
        <v>0</v>
      </c>
      <c r="P820" s="25">
        <f t="shared" ca="1" si="38"/>
        <v>0</v>
      </c>
    </row>
    <row r="821" spans="12:16" s="23" customFormat="1" ht="13.8">
      <c r="L821" s="23">
        <v>818</v>
      </c>
      <c r="M821" s="23">
        <f ca="1"/>
        <v>170977.37466379607</v>
      </c>
      <c r="N821" s="25">
        <f t="shared" si="36"/>
        <v>127713.65200000002</v>
      </c>
      <c r="O821" s="25">
        <f t="shared" ca="1" si="37"/>
        <v>0</v>
      </c>
      <c r="P821" s="25">
        <f t="shared" ca="1" si="38"/>
        <v>0</v>
      </c>
    </row>
    <row r="822" spans="12:16" s="23" customFormat="1" ht="13.8">
      <c r="L822" s="33">
        <v>819</v>
      </c>
      <c r="M822" s="23">
        <f ca="1"/>
        <v>134615.36572433394</v>
      </c>
      <c r="N822" s="25">
        <f t="shared" si="36"/>
        <v>127713.65200000002</v>
      </c>
      <c r="O822" s="25">
        <f t="shared" ca="1" si="37"/>
        <v>0</v>
      </c>
      <c r="P822" s="25">
        <f t="shared" ca="1" si="38"/>
        <v>0</v>
      </c>
    </row>
    <row r="823" spans="12:16" s="23" customFormat="1" ht="13.8">
      <c r="L823" s="23">
        <v>820</v>
      </c>
      <c r="M823" s="23">
        <f ca="1"/>
        <v>237730.99046092905</v>
      </c>
      <c r="N823" s="25">
        <f t="shared" si="36"/>
        <v>127713.65200000002</v>
      </c>
      <c r="O823" s="25">
        <f t="shared" ca="1" si="37"/>
        <v>0</v>
      </c>
      <c r="P823" s="25">
        <f t="shared" ca="1" si="38"/>
        <v>0</v>
      </c>
    </row>
    <row r="824" spans="12:16" s="23" customFormat="1" ht="13.8">
      <c r="L824" s="33">
        <v>821</v>
      </c>
      <c r="M824" s="23">
        <f ca="1"/>
        <v>132308.86864812151</v>
      </c>
      <c r="N824" s="25">
        <f t="shared" si="36"/>
        <v>127713.65200000002</v>
      </c>
      <c r="O824" s="25">
        <f t="shared" ca="1" si="37"/>
        <v>0</v>
      </c>
      <c r="P824" s="25">
        <f t="shared" ca="1" si="38"/>
        <v>0</v>
      </c>
    </row>
    <row r="825" spans="12:16" s="23" customFormat="1" ht="13.8">
      <c r="L825" s="23">
        <v>822</v>
      </c>
      <c r="M825" s="23">
        <f ca="1"/>
        <v>126328.12526635318</v>
      </c>
      <c r="N825" s="25">
        <f t="shared" si="36"/>
        <v>127713.65200000002</v>
      </c>
      <c r="O825" s="25">
        <f t="shared" ca="1" si="37"/>
        <v>1</v>
      </c>
      <c r="P825" s="25">
        <f t="shared" ca="1" si="38"/>
        <v>1.0848697159226475E-2</v>
      </c>
    </row>
    <row r="826" spans="12:16" s="23" customFormat="1" ht="13.8">
      <c r="L826" s="33">
        <v>823</v>
      </c>
      <c r="M826" s="23">
        <f ca="1"/>
        <v>228204.07532430667</v>
      </c>
      <c r="N826" s="25">
        <f t="shared" si="36"/>
        <v>127713.65200000002</v>
      </c>
      <c r="O826" s="25">
        <f t="shared" ca="1" si="37"/>
        <v>0</v>
      </c>
      <c r="P826" s="25">
        <f t="shared" ca="1" si="38"/>
        <v>0</v>
      </c>
    </row>
    <row r="827" spans="12:16" s="23" customFormat="1" ht="13.8">
      <c r="L827" s="23">
        <v>824</v>
      </c>
      <c r="M827" s="23">
        <f ca="1"/>
        <v>150661.16824802497</v>
      </c>
      <c r="N827" s="25">
        <f t="shared" si="36"/>
        <v>127713.65200000002</v>
      </c>
      <c r="O827" s="25">
        <f t="shared" ca="1" si="37"/>
        <v>0</v>
      </c>
      <c r="P827" s="25">
        <f t="shared" ca="1" si="38"/>
        <v>0</v>
      </c>
    </row>
    <row r="828" spans="12:16" s="23" customFormat="1" ht="13.8">
      <c r="L828" s="33">
        <v>825</v>
      </c>
      <c r="M828" s="23">
        <f ca="1"/>
        <v>245502.39522062815</v>
      </c>
      <c r="N828" s="25">
        <f t="shared" si="36"/>
        <v>127713.65200000002</v>
      </c>
      <c r="O828" s="25">
        <f t="shared" ca="1" si="37"/>
        <v>0</v>
      </c>
      <c r="P828" s="25">
        <f t="shared" ca="1" si="38"/>
        <v>0</v>
      </c>
    </row>
    <row r="829" spans="12:16" s="23" customFormat="1" ht="13.8">
      <c r="L829" s="23">
        <v>826</v>
      </c>
      <c r="M829" s="23">
        <f ca="1"/>
        <v>99913.363410868915</v>
      </c>
      <c r="N829" s="25">
        <f t="shared" si="36"/>
        <v>127713.65200000002</v>
      </c>
      <c r="O829" s="25">
        <f t="shared" ca="1" si="37"/>
        <v>1</v>
      </c>
      <c r="P829" s="25">
        <f t="shared" ca="1" si="38"/>
        <v>0.21767671782755926</v>
      </c>
    </row>
    <row r="830" spans="12:16" s="23" customFormat="1" ht="13.8">
      <c r="L830" s="33">
        <v>827</v>
      </c>
      <c r="M830" s="23">
        <f ca="1"/>
        <v>203297.12580695545</v>
      </c>
      <c r="N830" s="25">
        <f t="shared" si="36"/>
        <v>127713.65200000002</v>
      </c>
      <c r="O830" s="25">
        <f t="shared" ca="1" si="37"/>
        <v>0</v>
      </c>
      <c r="P830" s="25">
        <f t="shared" ca="1" si="38"/>
        <v>0</v>
      </c>
    </row>
    <row r="831" spans="12:16" s="23" customFormat="1" ht="13.8">
      <c r="L831" s="23">
        <v>828</v>
      </c>
      <c r="M831" s="23">
        <f ca="1"/>
        <v>170482.73502263179</v>
      </c>
      <c r="N831" s="25">
        <f t="shared" si="36"/>
        <v>127713.65200000002</v>
      </c>
      <c r="O831" s="25">
        <f t="shared" ca="1" si="37"/>
        <v>0</v>
      </c>
      <c r="P831" s="25">
        <f t="shared" ca="1" si="38"/>
        <v>0</v>
      </c>
    </row>
    <row r="832" spans="12:16" s="23" customFormat="1" ht="13.8">
      <c r="L832" s="33">
        <v>829</v>
      </c>
      <c r="M832" s="23">
        <f ca="1"/>
        <v>225605.75472772034</v>
      </c>
      <c r="N832" s="25">
        <f t="shared" si="36"/>
        <v>127713.65200000002</v>
      </c>
      <c r="O832" s="25">
        <f t="shared" ca="1" si="37"/>
        <v>0</v>
      </c>
      <c r="P832" s="25">
        <f t="shared" ca="1" si="38"/>
        <v>0</v>
      </c>
    </row>
    <row r="833" spans="12:16" s="23" customFormat="1" ht="13.8">
      <c r="L833" s="23">
        <v>830</v>
      </c>
      <c r="M833" s="23">
        <f ca="1"/>
        <v>160784.27818093455</v>
      </c>
      <c r="N833" s="25">
        <f t="shared" si="36"/>
        <v>127713.65200000002</v>
      </c>
      <c r="O833" s="25">
        <f t="shared" ca="1" si="37"/>
        <v>0</v>
      </c>
      <c r="P833" s="25">
        <f t="shared" ca="1" si="38"/>
        <v>0</v>
      </c>
    </row>
    <row r="834" spans="12:16" s="23" customFormat="1" ht="13.8">
      <c r="L834" s="33">
        <v>831</v>
      </c>
      <c r="M834" s="23">
        <f ca="1"/>
        <v>103565.51823762585</v>
      </c>
      <c r="N834" s="25">
        <f t="shared" si="36"/>
        <v>127713.65200000002</v>
      </c>
      <c r="O834" s="25">
        <f t="shared" ca="1" si="37"/>
        <v>1</v>
      </c>
      <c r="P834" s="25">
        <f t="shared" ca="1" si="38"/>
        <v>0.18908028534313753</v>
      </c>
    </row>
    <row r="835" spans="12:16" s="23" customFormat="1" ht="13.8">
      <c r="L835" s="23">
        <v>832</v>
      </c>
      <c r="M835" s="23">
        <f ca="1"/>
        <v>170802.13171340464</v>
      </c>
      <c r="N835" s="25">
        <f t="shared" si="36"/>
        <v>127713.65200000002</v>
      </c>
      <c r="O835" s="25">
        <f t="shared" ca="1" si="37"/>
        <v>0</v>
      </c>
      <c r="P835" s="25">
        <f t="shared" ca="1" si="38"/>
        <v>0</v>
      </c>
    </row>
    <row r="836" spans="12:16" s="23" customFormat="1" ht="13.8">
      <c r="L836" s="33">
        <v>833</v>
      </c>
      <c r="M836" s="23">
        <f ca="1"/>
        <v>241170.37297524244</v>
      </c>
      <c r="N836" s="25">
        <f t="shared" ref="N836:N899" si="39">($C$24+$E$24)*1.1</f>
        <v>127713.65200000002</v>
      </c>
      <c r="O836" s="25">
        <f t="shared" ca="1" si="37"/>
        <v>0</v>
      </c>
      <c r="P836" s="25">
        <f t="shared" ca="1" si="38"/>
        <v>0</v>
      </c>
    </row>
    <row r="837" spans="12:16" s="23" customFormat="1" ht="13.8">
      <c r="L837" s="23">
        <v>834</v>
      </c>
      <c r="M837" s="23">
        <f ca="1"/>
        <v>165097.67826302882</v>
      </c>
      <c r="N837" s="25">
        <f t="shared" si="39"/>
        <v>127713.65200000002</v>
      </c>
      <c r="O837" s="25">
        <f t="shared" ref="O837:O900" ca="1" si="40">IF(M837&lt;N837,1,0)</f>
        <v>0</v>
      </c>
      <c r="P837" s="25">
        <f t="shared" ref="P837:P900" ca="1" si="41">MAX((N837-M837)/N837,0)</f>
        <v>0</v>
      </c>
    </row>
    <row r="838" spans="12:16" s="23" customFormat="1" ht="13.8">
      <c r="L838" s="33">
        <v>835</v>
      </c>
      <c r="M838" s="23">
        <f ca="1"/>
        <v>176709.77339541636</v>
      </c>
      <c r="N838" s="25">
        <f t="shared" si="39"/>
        <v>127713.65200000002</v>
      </c>
      <c r="O838" s="25">
        <f t="shared" ca="1" si="40"/>
        <v>0</v>
      </c>
      <c r="P838" s="25">
        <f t="shared" ca="1" si="41"/>
        <v>0</v>
      </c>
    </row>
    <row r="839" spans="12:16" s="23" customFormat="1" ht="13.8">
      <c r="L839" s="23">
        <v>836</v>
      </c>
      <c r="M839" s="23">
        <f ca="1"/>
        <v>77498.84196904226</v>
      </c>
      <c r="N839" s="25">
        <f t="shared" si="39"/>
        <v>127713.65200000002</v>
      </c>
      <c r="O839" s="25">
        <f t="shared" ca="1" si="40"/>
        <v>1</v>
      </c>
      <c r="P839" s="25">
        <f t="shared" ca="1" si="41"/>
        <v>0.39318279012926316</v>
      </c>
    </row>
    <row r="840" spans="12:16" s="23" customFormat="1" ht="13.8">
      <c r="L840" s="33">
        <v>837</v>
      </c>
      <c r="M840" s="23">
        <f ca="1"/>
        <v>113153.56282075426</v>
      </c>
      <c r="N840" s="25">
        <f t="shared" si="39"/>
        <v>127713.65200000002</v>
      </c>
      <c r="O840" s="25">
        <f t="shared" ca="1" si="40"/>
        <v>1</v>
      </c>
      <c r="P840" s="25">
        <f t="shared" ca="1" si="41"/>
        <v>0.11400573823733232</v>
      </c>
    </row>
    <row r="841" spans="12:16" s="23" customFormat="1" ht="13.8">
      <c r="L841" s="23">
        <v>838</v>
      </c>
      <c r="M841" s="23">
        <f ca="1"/>
        <v>183973.05891654559</v>
      </c>
      <c r="N841" s="25">
        <f t="shared" si="39"/>
        <v>127713.65200000002</v>
      </c>
      <c r="O841" s="25">
        <f t="shared" ca="1" si="40"/>
        <v>0</v>
      </c>
      <c r="P841" s="25">
        <f t="shared" ca="1" si="41"/>
        <v>0</v>
      </c>
    </row>
    <row r="842" spans="12:16" s="23" customFormat="1" ht="13.8">
      <c r="L842" s="33">
        <v>839</v>
      </c>
      <c r="M842" s="23">
        <f ca="1"/>
        <v>182705.32767833403</v>
      </c>
      <c r="N842" s="25">
        <f t="shared" si="39"/>
        <v>127713.65200000002</v>
      </c>
      <c r="O842" s="25">
        <f t="shared" ca="1" si="40"/>
        <v>0</v>
      </c>
      <c r="P842" s="25">
        <f t="shared" ca="1" si="41"/>
        <v>0</v>
      </c>
    </row>
    <row r="843" spans="12:16" s="23" customFormat="1" ht="13.8">
      <c r="L843" s="23">
        <v>840</v>
      </c>
      <c r="M843" s="23">
        <f ca="1"/>
        <v>224337.4496874873</v>
      </c>
      <c r="N843" s="25">
        <f t="shared" si="39"/>
        <v>127713.65200000002</v>
      </c>
      <c r="O843" s="25">
        <f t="shared" ca="1" si="40"/>
        <v>0</v>
      </c>
      <c r="P843" s="25">
        <f t="shared" ca="1" si="41"/>
        <v>0</v>
      </c>
    </row>
    <row r="844" spans="12:16" s="23" customFormat="1" ht="13.8">
      <c r="L844" s="33">
        <v>841</v>
      </c>
      <c r="M844" s="23">
        <f ca="1"/>
        <v>252413.67873690109</v>
      </c>
      <c r="N844" s="25">
        <f t="shared" si="39"/>
        <v>127713.65200000002</v>
      </c>
      <c r="O844" s="25">
        <f t="shared" ca="1" si="40"/>
        <v>0</v>
      </c>
      <c r="P844" s="25">
        <f t="shared" ca="1" si="41"/>
        <v>0</v>
      </c>
    </row>
    <row r="845" spans="12:16" s="23" customFormat="1" ht="13.8">
      <c r="L845" s="23">
        <v>842</v>
      </c>
      <c r="M845" s="23">
        <f ca="1"/>
        <v>166545.2224178584</v>
      </c>
      <c r="N845" s="25">
        <f t="shared" si="39"/>
        <v>127713.65200000002</v>
      </c>
      <c r="O845" s="25">
        <f t="shared" ca="1" si="40"/>
        <v>0</v>
      </c>
      <c r="P845" s="25">
        <f t="shared" ca="1" si="41"/>
        <v>0</v>
      </c>
    </row>
    <row r="846" spans="12:16" s="23" customFormat="1" ht="13.8">
      <c r="L846" s="33">
        <v>843</v>
      </c>
      <c r="M846" s="23">
        <f ca="1"/>
        <v>125724.94934181697</v>
      </c>
      <c r="N846" s="25">
        <f t="shared" si="39"/>
        <v>127713.65200000002</v>
      </c>
      <c r="O846" s="25">
        <f t="shared" ca="1" si="40"/>
        <v>1</v>
      </c>
      <c r="P846" s="25">
        <f t="shared" ca="1" si="41"/>
        <v>1.5571574589246285E-2</v>
      </c>
    </row>
    <row r="847" spans="12:16" s="23" customFormat="1" ht="13.8">
      <c r="L847" s="23">
        <v>844</v>
      </c>
      <c r="M847" s="23">
        <f ca="1"/>
        <v>179663.90141885512</v>
      </c>
      <c r="N847" s="25">
        <f t="shared" si="39"/>
        <v>127713.65200000002</v>
      </c>
      <c r="O847" s="25">
        <f t="shared" ca="1" si="40"/>
        <v>0</v>
      </c>
      <c r="P847" s="25">
        <f t="shared" ca="1" si="41"/>
        <v>0</v>
      </c>
    </row>
    <row r="848" spans="12:16" s="23" customFormat="1" ht="13.8">
      <c r="L848" s="33">
        <v>845</v>
      </c>
      <c r="M848" s="23">
        <f ca="1"/>
        <v>201948.98098264862</v>
      </c>
      <c r="N848" s="25">
        <f t="shared" si="39"/>
        <v>127713.65200000002</v>
      </c>
      <c r="O848" s="25">
        <f t="shared" ca="1" si="40"/>
        <v>0</v>
      </c>
      <c r="P848" s="25">
        <f t="shared" ca="1" si="41"/>
        <v>0</v>
      </c>
    </row>
    <row r="849" spans="12:16" s="23" customFormat="1" ht="13.8">
      <c r="L849" s="23">
        <v>846</v>
      </c>
      <c r="M849" s="23">
        <f ca="1"/>
        <v>254858.68191125689</v>
      </c>
      <c r="N849" s="25">
        <f t="shared" si="39"/>
        <v>127713.65200000002</v>
      </c>
      <c r="O849" s="25">
        <f t="shared" ca="1" si="40"/>
        <v>0</v>
      </c>
      <c r="P849" s="25">
        <f t="shared" ca="1" si="41"/>
        <v>0</v>
      </c>
    </row>
    <row r="850" spans="12:16" s="23" customFormat="1" ht="13.8">
      <c r="L850" s="33">
        <v>847</v>
      </c>
      <c r="M850" s="23">
        <f ca="1"/>
        <v>190199.7243076369</v>
      </c>
      <c r="N850" s="25">
        <f t="shared" si="39"/>
        <v>127713.65200000002</v>
      </c>
      <c r="O850" s="25">
        <f t="shared" ca="1" si="40"/>
        <v>0</v>
      </c>
      <c r="P850" s="25">
        <f t="shared" ca="1" si="41"/>
        <v>0</v>
      </c>
    </row>
    <row r="851" spans="12:16" s="23" customFormat="1" ht="13.8">
      <c r="L851" s="23">
        <v>848</v>
      </c>
      <c r="M851" s="23">
        <f ca="1"/>
        <v>48571.928167510756</v>
      </c>
      <c r="N851" s="25">
        <f t="shared" si="39"/>
        <v>127713.65200000002</v>
      </c>
      <c r="O851" s="25">
        <f t="shared" ca="1" si="40"/>
        <v>1</v>
      </c>
      <c r="P851" s="25">
        <f t="shared" ca="1" si="41"/>
        <v>0.61968100193775089</v>
      </c>
    </row>
    <row r="852" spans="12:16" s="23" customFormat="1" ht="13.8">
      <c r="L852" s="33">
        <v>849</v>
      </c>
      <c r="M852" s="23">
        <f ca="1"/>
        <v>211760.28163540567</v>
      </c>
      <c r="N852" s="25">
        <f t="shared" si="39"/>
        <v>127713.65200000002</v>
      </c>
      <c r="O852" s="25">
        <f t="shared" ca="1" si="40"/>
        <v>0</v>
      </c>
      <c r="P852" s="25">
        <f t="shared" ca="1" si="41"/>
        <v>0</v>
      </c>
    </row>
    <row r="853" spans="12:16" s="23" customFormat="1" ht="13.8">
      <c r="L853" s="23">
        <v>850</v>
      </c>
      <c r="M853" s="23">
        <f ca="1"/>
        <v>256289.5361594694</v>
      </c>
      <c r="N853" s="25">
        <f t="shared" si="39"/>
        <v>127713.65200000002</v>
      </c>
      <c r="O853" s="25">
        <f t="shared" ca="1" si="40"/>
        <v>0</v>
      </c>
      <c r="P853" s="25">
        <f t="shared" ca="1" si="41"/>
        <v>0</v>
      </c>
    </row>
    <row r="854" spans="12:16" s="23" customFormat="1" ht="13.8">
      <c r="L854" s="33">
        <v>851</v>
      </c>
      <c r="M854" s="23">
        <f ca="1"/>
        <v>109210.33558430306</v>
      </c>
      <c r="N854" s="25">
        <f t="shared" si="39"/>
        <v>127713.65200000002</v>
      </c>
      <c r="O854" s="25">
        <f t="shared" ca="1" si="40"/>
        <v>1</v>
      </c>
      <c r="P854" s="25">
        <f t="shared" ca="1" si="41"/>
        <v>0.14488127248680474</v>
      </c>
    </row>
    <row r="855" spans="12:16" s="23" customFormat="1" ht="13.8">
      <c r="L855" s="23">
        <v>852</v>
      </c>
      <c r="M855" s="23">
        <f ca="1"/>
        <v>170748.85303012028</v>
      </c>
      <c r="N855" s="25">
        <f t="shared" si="39"/>
        <v>127713.65200000002</v>
      </c>
      <c r="O855" s="25">
        <f t="shared" ca="1" si="40"/>
        <v>0</v>
      </c>
      <c r="P855" s="25">
        <f t="shared" ca="1" si="41"/>
        <v>0</v>
      </c>
    </row>
    <row r="856" spans="12:16" s="23" customFormat="1" ht="13.8">
      <c r="L856" s="33">
        <v>853</v>
      </c>
      <c r="M856" s="23">
        <f ca="1"/>
        <v>102990.26572404616</v>
      </c>
      <c r="N856" s="25">
        <f t="shared" si="39"/>
        <v>127713.65200000002</v>
      </c>
      <c r="O856" s="25">
        <f t="shared" ca="1" si="40"/>
        <v>1</v>
      </c>
      <c r="P856" s="25">
        <f t="shared" ca="1" si="41"/>
        <v>0.19358452200516399</v>
      </c>
    </row>
    <row r="857" spans="12:16" s="23" customFormat="1" ht="13.8">
      <c r="L857" s="23">
        <v>854</v>
      </c>
      <c r="M857" s="23">
        <f ca="1"/>
        <v>130800.6120184454</v>
      </c>
      <c r="N857" s="25">
        <f t="shared" si="39"/>
        <v>127713.65200000002</v>
      </c>
      <c r="O857" s="25">
        <f t="shared" ca="1" si="40"/>
        <v>0</v>
      </c>
      <c r="P857" s="25">
        <f t="shared" ca="1" si="41"/>
        <v>0</v>
      </c>
    </row>
    <row r="858" spans="12:16" s="23" customFormat="1" ht="13.8">
      <c r="L858" s="33">
        <v>855</v>
      </c>
      <c r="M858" s="23">
        <f ca="1"/>
        <v>169486.02986681304</v>
      </c>
      <c r="N858" s="25">
        <f t="shared" si="39"/>
        <v>127713.65200000002</v>
      </c>
      <c r="O858" s="25">
        <f t="shared" ca="1" si="40"/>
        <v>0</v>
      </c>
      <c r="P858" s="25">
        <f t="shared" ca="1" si="41"/>
        <v>0</v>
      </c>
    </row>
    <row r="859" spans="12:16" s="23" customFormat="1" ht="13.8">
      <c r="L859" s="23">
        <v>856</v>
      </c>
      <c r="M859" s="23">
        <f ca="1"/>
        <v>90180.184333450437</v>
      </c>
      <c r="N859" s="25">
        <f t="shared" si="39"/>
        <v>127713.65200000002</v>
      </c>
      <c r="O859" s="25">
        <f t="shared" ca="1" si="40"/>
        <v>1</v>
      </c>
      <c r="P859" s="25">
        <f t="shared" ca="1" si="41"/>
        <v>0.29388767041560737</v>
      </c>
    </row>
    <row r="860" spans="12:16" s="23" customFormat="1" ht="13.8">
      <c r="L860" s="33">
        <v>857</v>
      </c>
      <c r="M860" s="23">
        <f ca="1"/>
        <v>188996.36584919313</v>
      </c>
      <c r="N860" s="25">
        <f t="shared" si="39"/>
        <v>127713.65200000002</v>
      </c>
      <c r="O860" s="25">
        <f t="shared" ca="1" si="40"/>
        <v>0</v>
      </c>
      <c r="P860" s="25">
        <f t="shared" ca="1" si="41"/>
        <v>0</v>
      </c>
    </row>
    <row r="861" spans="12:16" s="23" customFormat="1" ht="13.8">
      <c r="L861" s="23">
        <v>858</v>
      </c>
      <c r="M861" s="23">
        <f ca="1"/>
        <v>188717.96310469101</v>
      </c>
      <c r="N861" s="25">
        <f t="shared" si="39"/>
        <v>127713.65200000002</v>
      </c>
      <c r="O861" s="25">
        <f t="shared" ca="1" si="40"/>
        <v>0</v>
      </c>
      <c r="P861" s="25">
        <f t="shared" ca="1" si="41"/>
        <v>0</v>
      </c>
    </row>
    <row r="862" spans="12:16" s="23" customFormat="1" ht="13.8">
      <c r="L862" s="33">
        <v>859</v>
      </c>
      <c r="M862" s="23">
        <f ca="1"/>
        <v>262162.71207521879</v>
      </c>
      <c r="N862" s="25">
        <f t="shared" si="39"/>
        <v>127713.65200000002</v>
      </c>
      <c r="O862" s="25">
        <f t="shared" ca="1" si="40"/>
        <v>0</v>
      </c>
      <c r="P862" s="25">
        <f t="shared" ca="1" si="41"/>
        <v>0</v>
      </c>
    </row>
    <row r="863" spans="12:16" s="23" customFormat="1" ht="13.8">
      <c r="L863" s="23">
        <v>860</v>
      </c>
      <c r="M863" s="23">
        <f ca="1"/>
        <v>197601.94439128914</v>
      </c>
      <c r="N863" s="25">
        <f t="shared" si="39"/>
        <v>127713.65200000002</v>
      </c>
      <c r="O863" s="25">
        <f t="shared" ca="1" si="40"/>
        <v>0</v>
      </c>
      <c r="P863" s="25">
        <f t="shared" ca="1" si="41"/>
        <v>0</v>
      </c>
    </row>
    <row r="864" spans="12:16" s="23" customFormat="1" ht="13.8">
      <c r="L864" s="33">
        <v>861</v>
      </c>
      <c r="M864" s="23">
        <f ca="1"/>
        <v>186189.78583327439</v>
      </c>
      <c r="N864" s="25">
        <f t="shared" si="39"/>
        <v>127713.65200000002</v>
      </c>
      <c r="O864" s="25">
        <f t="shared" ca="1" si="40"/>
        <v>0</v>
      </c>
      <c r="P864" s="25">
        <f t="shared" ca="1" si="41"/>
        <v>0</v>
      </c>
    </row>
    <row r="865" spans="12:16" s="23" customFormat="1" ht="13.8">
      <c r="L865" s="23">
        <v>862</v>
      </c>
      <c r="M865" s="23">
        <f ca="1"/>
        <v>266366.29260794056</v>
      </c>
      <c r="N865" s="25">
        <f t="shared" si="39"/>
        <v>127713.65200000002</v>
      </c>
      <c r="O865" s="25">
        <f t="shared" ca="1" si="40"/>
        <v>0</v>
      </c>
      <c r="P865" s="25">
        <f t="shared" ca="1" si="41"/>
        <v>0</v>
      </c>
    </row>
    <row r="866" spans="12:16" s="23" customFormat="1" ht="13.8">
      <c r="L866" s="33">
        <v>863</v>
      </c>
      <c r="M866" s="23">
        <f ca="1"/>
        <v>199252.09140464096</v>
      </c>
      <c r="N866" s="25">
        <f t="shared" si="39"/>
        <v>127713.65200000002</v>
      </c>
      <c r="O866" s="25">
        <f t="shared" ca="1" si="40"/>
        <v>0</v>
      </c>
      <c r="P866" s="25">
        <f t="shared" ca="1" si="41"/>
        <v>0</v>
      </c>
    </row>
    <row r="867" spans="12:16" s="23" customFormat="1" ht="13.8">
      <c r="L867" s="23">
        <v>864</v>
      </c>
      <c r="M867" s="23">
        <f ca="1"/>
        <v>104262.37050090454</v>
      </c>
      <c r="N867" s="25">
        <f t="shared" si="39"/>
        <v>127713.65200000002</v>
      </c>
      <c r="O867" s="25">
        <f t="shared" ca="1" si="40"/>
        <v>1</v>
      </c>
      <c r="P867" s="25">
        <f t="shared" ca="1" si="41"/>
        <v>0.1836239206368907</v>
      </c>
    </row>
    <row r="868" spans="12:16" s="23" customFormat="1" ht="13.8">
      <c r="L868" s="33">
        <v>865</v>
      </c>
      <c r="M868" s="23">
        <f ca="1"/>
        <v>-32635.048141024821</v>
      </c>
      <c r="N868" s="25">
        <f t="shared" si="39"/>
        <v>127713.65200000002</v>
      </c>
      <c r="O868" s="25">
        <f t="shared" ca="1" si="40"/>
        <v>1</v>
      </c>
      <c r="P868" s="25">
        <f t="shared" ca="1" si="41"/>
        <v>1.25553296480023</v>
      </c>
    </row>
    <row r="869" spans="12:16" s="23" customFormat="1" ht="13.8">
      <c r="L869" s="23">
        <v>866</v>
      </c>
      <c r="M869" s="23">
        <f ca="1"/>
        <v>131086.54622989224</v>
      </c>
      <c r="N869" s="25">
        <f t="shared" si="39"/>
        <v>127713.65200000002</v>
      </c>
      <c r="O869" s="25">
        <f t="shared" ca="1" si="40"/>
        <v>0</v>
      </c>
      <c r="P869" s="25">
        <f t="shared" ca="1" si="41"/>
        <v>0</v>
      </c>
    </row>
    <row r="870" spans="12:16" s="23" customFormat="1" ht="13.8">
      <c r="L870" s="33">
        <v>867</v>
      </c>
      <c r="M870" s="23">
        <f ca="1"/>
        <v>262922.56374525768</v>
      </c>
      <c r="N870" s="25">
        <f t="shared" si="39"/>
        <v>127713.65200000002</v>
      </c>
      <c r="O870" s="25">
        <f t="shared" ca="1" si="40"/>
        <v>0</v>
      </c>
      <c r="P870" s="25">
        <f t="shared" ca="1" si="41"/>
        <v>0</v>
      </c>
    </row>
    <row r="871" spans="12:16" s="23" customFormat="1" ht="13.8">
      <c r="L871" s="23">
        <v>868</v>
      </c>
      <c r="M871" s="23">
        <f ca="1"/>
        <v>175898.47910910434</v>
      </c>
      <c r="N871" s="25">
        <f t="shared" si="39"/>
        <v>127713.65200000002</v>
      </c>
      <c r="O871" s="25">
        <f t="shared" ca="1" si="40"/>
        <v>0</v>
      </c>
      <c r="P871" s="25">
        <f t="shared" ca="1" si="41"/>
        <v>0</v>
      </c>
    </row>
    <row r="872" spans="12:16" s="23" customFormat="1" ht="13.8">
      <c r="L872" s="33">
        <v>869</v>
      </c>
      <c r="M872" s="23">
        <f ca="1"/>
        <v>196808.01842609819</v>
      </c>
      <c r="N872" s="25">
        <f t="shared" si="39"/>
        <v>127713.65200000002</v>
      </c>
      <c r="O872" s="25">
        <f t="shared" ca="1" si="40"/>
        <v>0</v>
      </c>
      <c r="P872" s="25">
        <f t="shared" ca="1" si="41"/>
        <v>0</v>
      </c>
    </row>
    <row r="873" spans="12:16" s="23" customFormat="1" ht="13.8">
      <c r="L873" s="23">
        <v>870</v>
      </c>
      <c r="M873" s="23">
        <f ca="1"/>
        <v>194762.65228300617</v>
      </c>
      <c r="N873" s="25">
        <f t="shared" si="39"/>
        <v>127713.65200000002</v>
      </c>
      <c r="O873" s="25">
        <f t="shared" ca="1" si="40"/>
        <v>0</v>
      </c>
      <c r="P873" s="25">
        <f t="shared" ca="1" si="41"/>
        <v>0</v>
      </c>
    </row>
    <row r="874" spans="12:16" s="23" customFormat="1" ht="13.8">
      <c r="L874" s="33">
        <v>871</v>
      </c>
      <c r="M874" s="23">
        <f ca="1"/>
        <v>168821.09951646262</v>
      </c>
      <c r="N874" s="25">
        <f t="shared" si="39"/>
        <v>127713.65200000002</v>
      </c>
      <c r="O874" s="25">
        <f t="shared" ca="1" si="40"/>
        <v>0</v>
      </c>
      <c r="P874" s="25">
        <f t="shared" ca="1" si="41"/>
        <v>0</v>
      </c>
    </row>
    <row r="875" spans="12:16" s="23" customFormat="1" ht="13.8">
      <c r="L875" s="23">
        <v>872</v>
      </c>
      <c r="M875" s="23">
        <f ca="1"/>
        <v>122789.00001706932</v>
      </c>
      <c r="N875" s="25">
        <f t="shared" si="39"/>
        <v>127713.65200000002</v>
      </c>
      <c r="O875" s="25">
        <f t="shared" ca="1" si="40"/>
        <v>1</v>
      </c>
      <c r="P875" s="25">
        <f t="shared" ca="1" si="41"/>
        <v>3.8560106189201228E-2</v>
      </c>
    </row>
    <row r="876" spans="12:16" s="23" customFormat="1" ht="13.8">
      <c r="L876" s="33">
        <v>873</v>
      </c>
      <c r="M876" s="23">
        <f ca="1"/>
        <v>233824.42107502688</v>
      </c>
      <c r="N876" s="25">
        <f t="shared" si="39"/>
        <v>127713.65200000002</v>
      </c>
      <c r="O876" s="25">
        <f t="shared" ca="1" si="40"/>
        <v>0</v>
      </c>
      <c r="P876" s="25">
        <f t="shared" ca="1" si="41"/>
        <v>0</v>
      </c>
    </row>
    <row r="877" spans="12:16" s="23" customFormat="1" ht="13.8">
      <c r="L877" s="23">
        <v>874</v>
      </c>
      <c r="M877" s="23">
        <f ca="1"/>
        <v>215826.17430468719</v>
      </c>
      <c r="N877" s="25">
        <f t="shared" si="39"/>
        <v>127713.65200000002</v>
      </c>
      <c r="O877" s="25">
        <f t="shared" ca="1" si="40"/>
        <v>0</v>
      </c>
      <c r="P877" s="25">
        <f t="shared" ca="1" si="41"/>
        <v>0</v>
      </c>
    </row>
    <row r="878" spans="12:16" s="23" customFormat="1" ht="13.8">
      <c r="L878" s="33">
        <v>875</v>
      </c>
      <c r="M878" s="23">
        <f ca="1"/>
        <v>81759.927284032499</v>
      </c>
      <c r="N878" s="25">
        <f t="shared" si="39"/>
        <v>127713.65200000002</v>
      </c>
      <c r="O878" s="25">
        <f t="shared" ca="1" si="40"/>
        <v>1</v>
      </c>
      <c r="P878" s="25">
        <f t="shared" ca="1" si="41"/>
        <v>0.35981842188623275</v>
      </c>
    </row>
    <row r="879" spans="12:16" s="23" customFormat="1" ht="13.8">
      <c r="L879" s="23">
        <v>876</v>
      </c>
      <c r="M879" s="23">
        <f ca="1"/>
        <v>89957.973166055366</v>
      </c>
      <c r="N879" s="25">
        <f t="shared" si="39"/>
        <v>127713.65200000002</v>
      </c>
      <c r="O879" s="25">
        <f t="shared" ca="1" si="40"/>
        <v>1</v>
      </c>
      <c r="P879" s="25">
        <f t="shared" ca="1" si="41"/>
        <v>0.29562758751855789</v>
      </c>
    </row>
    <row r="880" spans="12:16" s="23" customFormat="1" ht="13.8">
      <c r="L880" s="33">
        <v>877</v>
      </c>
      <c r="M880" s="23">
        <f ca="1"/>
        <v>120972.50404896126</v>
      </c>
      <c r="N880" s="25">
        <f t="shared" si="39"/>
        <v>127713.65200000002</v>
      </c>
      <c r="O880" s="25">
        <f t="shared" ca="1" si="40"/>
        <v>1</v>
      </c>
      <c r="P880" s="25">
        <f t="shared" ca="1" si="41"/>
        <v>5.278329955703371E-2</v>
      </c>
    </row>
    <row r="881" spans="12:16" s="23" customFormat="1" ht="13.8">
      <c r="L881" s="23">
        <v>878</v>
      </c>
      <c r="M881" s="23">
        <f ca="1"/>
        <v>167480.67938586991</v>
      </c>
      <c r="N881" s="25">
        <f t="shared" si="39"/>
        <v>127713.65200000002</v>
      </c>
      <c r="O881" s="25">
        <f t="shared" ca="1" si="40"/>
        <v>0</v>
      </c>
      <c r="P881" s="25">
        <f t="shared" ca="1" si="41"/>
        <v>0</v>
      </c>
    </row>
    <row r="882" spans="12:16" s="23" customFormat="1" ht="13.8">
      <c r="L882" s="33">
        <v>879</v>
      </c>
      <c r="M882" s="23">
        <f ca="1"/>
        <v>249708.41656311665</v>
      </c>
      <c r="N882" s="25">
        <f t="shared" si="39"/>
        <v>127713.65200000002</v>
      </c>
      <c r="O882" s="25">
        <f t="shared" ca="1" si="40"/>
        <v>0</v>
      </c>
      <c r="P882" s="25">
        <f t="shared" ca="1" si="41"/>
        <v>0</v>
      </c>
    </row>
    <row r="883" spans="12:16" s="23" customFormat="1" ht="13.8">
      <c r="L883" s="23">
        <v>880</v>
      </c>
      <c r="M883" s="23">
        <f ca="1"/>
        <v>203290.93630987551</v>
      </c>
      <c r="N883" s="25">
        <f t="shared" si="39"/>
        <v>127713.65200000002</v>
      </c>
      <c r="O883" s="25">
        <f t="shared" ca="1" si="40"/>
        <v>0</v>
      </c>
      <c r="P883" s="25">
        <f t="shared" ca="1" si="41"/>
        <v>0</v>
      </c>
    </row>
    <row r="884" spans="12:16" s="23" customFormat="1" ht="13.8">
      <c r="L884" s="33">
        <v>881</v>
      </c>
      <c r="M884" s="23">
        <f ca="1"/>
        <v>101216.39470504543</v>
      </c>
      <c r="N884" s="25">
        <f t="shared" si="39"/>
        <v>127713.65200000002</v>
      </c>
      <c r="O884" s="25">
        <f t="shared" ca="1" si="40"/>
        <v>1</v>
      </c>
      <c r="P884" s="25">
        <f t="shared" ca="1" si="41"/>
        <v>0.20747396131898713</v>
      </c>
    </row>
    <row r="885" spans="12:16" s="23" customFormat="1" ht="13.8">
      <c r="L885" s="23">
        <v>882</v>
      </c>
      <c r="M885" s="23">
        <f ca="1"/>
        <v>332048.27017788752</v>
      </c>
      <c r="N885" s="25">
        <f t="shared" si="39"/>
        <v>127713.65200000002</v>
      </c>
      <c r="O885" s="25">
        <f t="shared" ca="1" si="40"/>
        <v>0</v>
      </c>
      <c r="P885" s="25">
        <f t="shared" ca="1" si="41"/>
        <v>0</v>
      </c>
    </row>
    <row r="886" spans="12:16" s="23" customFormat="1" ht="13.8">
      <c r="L886" s="33">
        <v>883</v>
      </c>
      <c r="M886" s="23">
        <f ca="1"/>
        <v>359303.69348886533</v>
      </c>
      <c r="N886" s="25">
        <f t="shared" si="39"/>
        <v>127713.65200000002</v>
      </c>
      <c r="O886" s="25">
        <f t="shared" ca="1" si="40"/>
        <v>0</v>
      </c>
      <c r="P886" s="25">
        <f t="shared" ca="1" si="41"/>
        <v>0</v>
      </c>
    </row>
    <row r="887" spans="12:16" s="23" customFormat="1" ht="13.8">
      <c r="L887" s="23">
        <v>884</v>
      </c>
      <c r="M887" s="23">
        <f ca="1"/>
        <v>95980.285772010509</v>
      </c>
      <c r="N887" s="25">
        <f t="shared" si="39"/>
        <v>127713.65200000002</v>
      </c>
      <c r="O887" s="25">
        <f t="shared" ca="1" si="40"/>
        <v>1</v>
      </c>
      <c r="P887" s="25">
        <f t="shared" ca="1" si="41"/>
        <v>0.24847278056060523</v>
      </c>
    </row>
    <row r="888" spans="12:16" s="23" customFormat="1" ht="13.8">
      <c r="L888" s="33">
        <v>885</v>
      </c>
      <c r="M888" s="23">
        <f ca="1"/>
        <v>134628.60571699971</v>
      </c>
      <c r="N888" s="25">
        <f t="shared" si="39"/>
        <v>127713.65200000002</v>
      </c>
      <c r="O888" s="25">
        <f t="shared" ca="1" si="40"/>
        <v>0</v>
      </c>
      <c r="P888" s="25">
        <f t="shared" ca="1" si="41"/>
        <v>0</v>
      </c>
    </row>
    <row r="889" spans="12:16" s="23" customFormat="1" ht="13.8">
      <c r="L889" s="23">
        <v>886</v>
      </c>
      <c r="M889" s="23">
        <f ca="1"/>
        <v>86894.276774902581</v>
      </c>
      <c r="N889" s="25">
        <f t="shared" si="39"/>
        <v>127713.65200000002</v>
      </c>
      <c r="O889" s="25">
        <f t="shared" ca="1" si="40"/>
        <v>1</v>
      </c>
      <c r="P889" s="25">
        <f t="shared" ca="1" si="41"/>
        <v>0.31961638075385573</v>
      </c>
    </row>
    <row r="890" spans="12:16" s="23" customFormat="1" ht="13.8">
      <c r="L890" s="33">
        <v>887</v>
      </c>
      <c r="M890" s="23">
        <f ca="1"/>
        <v>140555.89353748696</v>
      </c>
      <c r="N890" s="25">
        <f t="shared" si="39"/>
        <v>127713.65200000002</v>
      </c>
      <c r="O890" s="25">
        <f t="shared" ca="1" si="40"/>
        <v>0</v>
      </c>
      <c r="P890" s="25">
        <f t="shared" ca="1" si="41"/>
        <v>0</v>
      </c>
    </row>
    <row r="891" spans="12:16" s="23" customFormat="1" ht="13.8">
      <c r="L891" s="23">
        <v>888</v>
      </c>
      <c r="M891" s="23">
        <f ca="1"/>
        <v>174003.08532057036</v>
      </c>
      <c r="N891" s="25">
        <f t="shared" si="39"/>
        <v>127713.65200000002</v>
      </c>
      <c r="O891" s="25">
        <f t="shared" ca="1" si="40"/>
        <v>0</v>
      </c>
      <c r="P891" s="25">
        <f t="shared" ca="1" si="41"/>
        <v>0</v>
      </c>
    </row>
    <row r="892" spans="12:16" s="23" customFormat="1" ht="13.8">
      <c r="L892" s="33">
        <v>889</v>
      </c>
      <c r="M892" s="23">
        <f ca="1"/>
        <v>179682.09877409341</v>
      </c>
      <c r="N892" s="25">
        <f t="shared" si="39"/>
        <v>127713.65200000002</v>
      </c>
      <c r="O892" s="25">
        <f t="shared" ca="1" si="40"/>
        <v>0</v>
      </c>
      <c r="P892" s="25">
        <f t="shared" ca="1" si="41"/>
        <v>0</v>
      </c>
    </row>
    <row r="893" spans="12:16" s="23" customFormat="1" ht="13.8">
      <c r="L893" s="23">
        <v>890</v>
      </c>
      <c r="M893" s="23">
        <f ca="1"/>
        <v>237606.43469142957</v>
      </c>
      <c r="N893" s="25">
        <f t="shared" si="39"/>
        <v>127713.65200000002</v>
      </c>
      <c r="O893" s="25">
        <f t="shared" ca="1" si="40"/>
        <v>0</v>
      </c>
      <c r="P893" s="25">
        <f t="shared" ca="1" si="41"/>
        <v>0</v>
      </c>
    </row>
    <row r="894" spans="12:16" s="23" customFormat="1" ht="13.8">
      <c r="L894" s="33">
        <v>891</v>
      </c>
      <c r="M894" s="23">
        <f ca="1"/>
        <v>281283.8577011326</v>
      </c>
      <c r="N894" s="25">
        <f t="shared" si="39"/>
        <v>127713.65200000002</v>
      </c>
      <c r="O894" s="25">
        <f t="shared" ca="1" si="40"/>
        <v>0</v>
      </c>
      <c r="P894" s="25">
        <f t="shared" ca="1" si="41"/>
        <v>0</v>
      </c>
    </row>
    <row r="895" spans="12:16" s="23" customFormat="1" ht="13.8">
      <c r="L895" s="23">
        <v>892</v>
      </c>
      <c r="M895" s="23">
        <f ca="1"/>
        <v>236880.25170188051</v>
      </c>
      <c r="N895" s="25">
        <f t="shared" si="39"/>
        <v>127713.65200000002</v>
      </c>
      <c r="O895" s="25">
        <f t="shared" ca="1" si="40"/>
        <v>0</v>
      </c>
      <c r="P895" s="25">
        <f t="shared" ca="1" si="41"/>
        <v>0</v>
      </c>
    </row>
    <row r="896" spans="12:16" s="23" customFormat="1" ht="13.8">
      <c r="L896" s="33">
        <v>893</v>
      </c>
      <c r="M896" s="23">
        <f ca="1"/>
        <v>128840.17918028946</v>
      </c>
      <c r="N896" s="25">
        <f t="shared" si="39"/>
        <v>127713.65200000002</v>
      </c>
      <c r="O896" s="25">
        <f t="shared" ca="1" si="40"/>
        <v>0</v>
      </c>
      <c r="P896" s="25">
        <f t="shared" ca="1" si="41"/>
        <v>0</v>
      </c>
    </row>
    <row r="897" spans="12:16" s="23" customFormat="1" ht="13.8">
      <c r="L897" s="23">
        <v>894</v>
      </c>
      <c r="M897" s="23">
        <f ca="1"/>
        <v>135963.47982983009</v>
      </c>
      <c r="N897" s="25">
        <f t="shared" si="39"/>
        <v>127713.65200000002</v>
      </c>
      <c r="O897" s="25">
        <f t="shared" ca="1" si="40"/>
        <v>0</v>
      </c>
      <c r="P897" s="25">
        <f t="shared" ca="1" si="41"/>
        <v>0</v>
      </c>
    </row>
    <row r="898" spans="12:16" s="23" customFormat="1" ht="13.8">
      <c r="L898" s="33">
        <v>895</v>
      </c>
      <c r="M898" s="23">
        <f ca="1"/>
        <v>252996.97483545111</v>
      </c>
      <c r="N898" s="25">
        <f t="shared" si="39"/>
        <v>127713.65200000002</v>
      </c>
      <c r="O898" s="25">
        <f t="shared" ca="1" si="40"/>
        <v>0</v>
      </c>
      <c r="P898" s="25">
        <f t="shared" ca="1" si="41"/>
        <v>0</v>
      </c>
    </row>
    <row r="899" spans="12:16" s="23" customFormat="1" ht="13.8">
      <c r="L899" s="23">
        <v>896</v>
      </c>
      <c r="M899" s="23">
        <f ca="1"/>
        <v>192668.67441157391</v>
      </c>
      <c r="N899" s="25">
        <f t="shared" si="39"/>
        <v>127713.65200000002</v>
      </c>
      <c r="O899" s="25">
        <f t="shared" ca="1" si="40"/>
        <v>0</v>
      </c>
      <c r="P899" s="25">
        <f t="shared" ca="1" si="41"/>
        <v>0</v>
      </c>
    </row>
    <row r="900" spans="12:16" s="23" customFormat="1" ht="13.8">
      <c r="L900" s="33">
        <v>897</v>
      </c>
      <c r="M900" s="23">
        <f ca="1"/>
        <v>103505.72644064415</v>
      </c>
      <c r="N900" s="25">
        <f t="shared" ref="N900:N963" si="42">($C$24+$E$24)*1.1</f>
        <v>127713.65200000002</v>
      </c>
      <c r="O900" s="25">
        <f t="shared" ca="1" si="40"/>
        <v>1</v>
      </c>
      <c r="P900" s="25">
        <f t="shared" ca="1" si="41"/>
        <v>0.18954845609892873</v>
      </c>
    </row>
    <row r="901" spans="12:16" s="23" customFormat="1" ht="13.8">
      <c r="L901" s="23">
        <v>898</v>
      </c>
      <c r="M901" s="23">
        <f ca="1"/>
        <v>258083.12917248401</v>
      </c>
      <c r="N901" s="25">
        <f t="shared" si="42"/>
        <v>127713.65200000002</v>
      </c>
      <c r="O901" s="25">
        <f t="shared" ref="O901:O964" ca="1" si="43">IF(M901&lt;N901,1,0)</f>
        <v>0</v>
      </c>
      <c r="P901" s="25">
        <f t="shared" ref="P901:P964" ca="1" si="44">MAX((N901-M901)/N901,0)</f>
        <v>0</v>
      </c>
    </row>
    <row r="902" spans="12:16" s="23" customFormat="1" ht="13.8">
      <c r="L902" s="33">
        <v>899</v>
      </c>
      <c r="M902" s="23">
        <f ca="1"/>
        <v>164897.36983175867</v>
      </c>
      <c r="N902" s="25">
        <f t="shared" si="42"/>
        <v>127713.65200000002</v>
      </c>
      <c r="O902" s="25">
        <f t="shared" ca="1" si="43"/>
        <v>0</v>
      </c>
      <c r="P902" s="25">
        <f t="shared" ca="1" si="44"/>
        <v>0</v>
      </c>
    </row>
    <row r="903" spans="12:16" s="23" customFormat="1" ht="13.8">
      <c r="L903" s="23">
        <v>900</v>
      </c>
      <c r="M903" s="23">
        <f ca="1"/>
        <v>152842.95544171578</v>
      </c>
      <c r="N903" s="25">
        <f t="shared" si="42"/>
        <v>127713.65200000002</v>
      </c>
      <c r="O903" s="25">
        <f t="shared" ca="1" si="43"/>
        <v>0</v>
      </c>
      <c r="P903" s="25">
        <f t="shared" ca="1" si="44"/>
        <v>0</v>
      </c>
    </row>
    <row r="904" spans="12:16" s="23" customFormat="1" ht="13.8">
      <c r="L904" s="33">
        <v>901</v>
      </c>
      <c r="M904" s="23">
        <f ca="1"/>
        <v>296088.12272165739</v>
      </c>
      <c r="N904" s="25">
        <f t="shared" si="42"/>
        <v>127713.65200000002</v>
      </c>
      <c r="O904" s="25">
        <f t="shared" ca="1" si="43"/>
        <v>0</v>
      </c>
      <c r="P904" s="25">
        <f t="shared" ca="1" si="44"/>
        <v>0</v>
      </c>
    </row>
    <row r="905" spans="12:16" s="23" customFormat="1" ht="13.8">
      <c r="L905" s="23">
        <v>902</v>
      </c>
      <c r="M905" s="23">
        <f ca="1"/>
        <v>117648.85883958486</v>
      </c>
      <c r="N905" s="25">
        <f t="shared" si="42"/>
        <v>127713.65200000002</v>
      </c>
      <c r="O905" s="25">
        <f t="shared" ca="1" si="43"/>
        <v>1</v>
      </c>
      <c r="P905" s="25">
        <f t="shared" ca="1" si="44"/>
        <v>7.8807496323221191E-2</v>
      </c>
    </row>
    <row r="906" spans="12:16" s="23" customFormat="1" ht="13.8">
      <c r="L906" s="33">
        <v>903</v>
      </c>
      <c r="M906" s="23">
        <f ca="1"/>
        <v>127834.22917282325</v>
      </c>
      <c r="N906" s="25">
        <f t="shared" si="42"/>
        <v>127713.65200000002</v>
      </c>
      <c r="O906" s="25">
        <f t="shared" ca="1" si="43"/>
        <v>0</v>
      </c>
      <c r="P906" s="25">
        <f t="shared" ca="1" si="44"/>
        <v>0</v>
      </c>
    </row>
    <row r="907" spans="12:16" s="23" customFormat="1" ht="13.8">
      <c r="L907" s="23">
        <v>904</v>
      </c>
      <c r="M907" s="23">
        <f ca="1"/>
        <v>141286.01276979261</v>
      </c>
      <c r="N907" s="25">
        <f t="shared" si="42"/>
        <v>127713.65200000002</v>
      </c>
      <c r="O907" s="25">
        <f t="shared" ca="1" si="43"/>
        <v>0</v>
      </c>
      <c r="P907" s="25">
        <f t="shared" ca="1" si="44"/>
        <v>0</v>
      </c>
    </row>
    <row r="908" spans="12:16" s="23" customFormat="1" ht="13.8">
      <c r="L908" s="33">
        <v>905</v>
      </c>
      <c r="M908" s="23">
        <f ca="1"/>
        <v>262281.84104702808</v>
      </c>
      <c r="N908" s="25">
        <f t="shared" si="42"/>
        <v>127713.65200000002</v>
      </c>
      <c r="O908" s="25">
        <f t="shared" ca="1" si="43"/>
        <v>0</v>
      </c>
      <c r="P908" s="25">
        <f t="shared" ca="1" si="44"/>
        <v>0</v>
      </c>
    </row>
    <row r="909" spans="12:16" s="23" customFormat="1" ht="13.8">
      <c r="L909" s="23">
        <v>906</v>
      </c>
      <c r="M909" s="23">
        <f ca="1"/>
        <v>190534.42634012643</v>
      </c>
      <c r="N909" s="25">
        <f t="shared" si="42"/>
        <v>127713.65200000002</v>
      </c>
      <c r="O909" s="25">
        <f t="shared" ca="1" si="43"/>
        <v>0</v>
      </c>
      <c r="P909" s="25">
        <f t="shared" ca="1" si="44"/>
        <v>0</v>
      </c>
    </row>
    <row r="910" spans="12:16" s="23" customFormat="1" ht="13.8">
      <c r="L910" s="33">
        <v>907</v>
      </c>
      <c r="M910" s="23">
        <f ca="1"/>
        <v>233767.07077418547</v>
      </c>
      <c r="N910" s="25">
        <f t="shared" si="42"/>
        <v>127713.65200000002</v>
      </c>
      <c r="O910" s="25">
        <f t="shared" ca="1" si="43"/>
        <v>0</v>
      </c>
      <c r="P910" s="25">
        <f t="shared" ca="1" si="44"/>
        <v>0</v>
      </c>
    </row>
    <row r="911" spans="12:16" s="23" customFormat="1" ht="13.8">
      <c r="L911" s="23">
        <v>908</v>
      </c>
      <c r="M911" s="23">
        <f ca="1"/>
        <v>207364.00194820756</v>
      </c>
      <c r="N911" s="25">
        <f t="shared" si="42"/>
        <v>127713.65200000002</v>
      </c>
      <c r="O911" s="25">
        <f t="shared" ca="1" si="43"/>
        <v>0</v>
      </c>
      <c r="P911" s="25">
        <f t="shared" ca="1" si="44"/>
        <v>0</v>
      </c>
    </row>
    <row r="912" spans="12:16" s="23" customFormat="1" ht="13.8">
      <c r="L912" s="33">
        <v>909</v>
      </c>
      <c r="M912" s="23">
        <f ca="1"/>
        <v>186871.08659740651</v>
      </c>
      <c r="N912" s="25">
        <f t="shared" si="42"/>
        <v>127713.65200000002</v>
      </c>
      <c r="O912" s="25">
        <f t="shared" ca="1" si="43"/>
        <v>0</v>
      </c>
      <c r="P912" s="25">
        <f t="shared" ca="1" si="44"/>
        <v>0</v>
      </c>
    </row>
    <row r="913" spans="12:16" s="23" customFormat="1" ht="13.8">
      <c r="L913" s="23">
        <v>910</v>
      </c>
      <c r="M913" s="23">
        <f ca="1"/>
        <v>98501.803799194531</v>
      </c>
      <c r="N913" s="25">
        <f t="shared" si="42"/>
        <v>127713.65200000002</v>
      </c>
      <c r="O913" s="25">
        <f t="shared" ca="1" si="43"/>
        <v>1</v>
      </c>
      <c r="P913" s="25">
        <f t="shared" ca="1" si="44"/>
        <v>0.22872925285078749</v>
      </c>
    </row>
    <row r="914" spans="12:16" s="23" customFormat="1" ht="13.8">
      <c r="L914" s="33">
        <v>911</v>
      </c>
      <c r="M914" s="23">
        <f ca="1"/>
        <v>241257.34786794431</v>
      </c>
      <c r="N914" s="25">
        <f t="shared" si="42"/>
        <v>127713.65200000002</v>
      </c>
      <c r="O914" s="25">
        <f t="shared" ca="1" si="43"/>
        <v>0</v>
      </c>
      <c r="P914" s="25">
        <f t="shared" ca="1" si="44"/>
        <v>0</v>
      </c>
    </row>
    <row r="915" spans="12:16" s="23" customFormat="1" ht="13.8">
      <c r="L915" s="23">
        <v>912</v>
      </c>
      <c r="M915" s="23">
        <f ca="1"/>
        <v>197907.26606513702</v>
      </c>
      <c r="N915" s="25">
        <f t="shared" si="42"/>
        <v>127713.65200000002</v>
      </c>
      <c r="O915" s="25">
        <f t="shared" ca="1" si="43"/>
        <v>0</v>
      </c>
      <c r="P915" s="25">
        <f t="shared" ca="1" si="44"/>
        <v>0</v>
      </c>
    </row>
    <row r="916" spans="12:16" s="23" customFormat="1" ht="13.8">
      <c r="L916" s="33">
        <v>913</v>
      </c>
      <c r="M916" s="23">
        <f ca="1"/>
        <v>197289.62067937589</v>
      </c>
      <c r="N916" s="25">
        <f t="shared" si="42"/>
        <v>127713.65200000002</v>
      </c>
      <c r="O916" s="25">
        <f t="shared" ca="1" si="43"/>
        <v>0</v>
      </c>
      <c r="P916" s="25">
        <f t="shared" ca="1" si="44"/>
        <v>0</v>
      </c>
    </row>
    <row r="917" spans="12:16" s="23" customFormat="1" ht="13.8">
      <c r="L917" s="23">
        <v>914</v>
      </c>
      <c r="M917" s="23">
        <f ca="1"/>
        <v>105748.83019218004</v>
      </c>
      <c r="N917" s="25">
        <f t="shared" si="42"/>
        <v>127713.65200000002</v>
      </c>
      <c r="O917" s="25">
        <f t="shared" ca="1" si="43"/>
        <v>1</v>
      </c>
      <c r="P917" s="25">
        <f t="shared" ca="1" si="44"/>
        <v>0.17198491675596253</v>
      </c>
    </row>
    <row r="918" spans="12:16" s="23" customFormat="1" ht="13.8">
      <c r="L918" s="33">
        <v>915</v>
      </c>
      <c r="M918" s="23">
        <f ca="1"/>
        <v>157172.52466734807</v>
      </c>
      <c r="N918" s="25">
        <f t="shared" si="42"/>
        <v>127713.65200000002</v>
      </c>
      <c r="O918" s="25">
        <f t="shared" ca="1" si="43"/>
        <v>0</v>
      </c>
      <c r="P918" s="25">
        <f t="shared" ca="1" si="44"/>
        <v>0</v>
      </c>
    </row>
    <row r="919" spans="12:16" s="23" customFormat="1" ht="13.8">
      <c r="L919" s="23">
        <v>916</v>
      </c>
      <c r="M919" s="23">
        <f ca="1"/>
        <v>174737.32795788976</v>
      </c>
      <c r="N919" s="25">
        <f t="shared" si="42"/>
        <v>127713.65200000002</v>
      </c>
      <c r="O919" s="25">
        <f t="shared" ca="1" si="43"/>
        <v>0</v>
      </c>
      <c r="P919" s="25">
        <f t="shared" ca="1" si="44"/>
        <v>0</v>
      </c>
    </row>
    <row r="920" spans="12:16" s="23" customFormat="1" ht="13.8">
      <c r="L920" s="33">
        <v>917</v>
      </c>
      <c r="M920" s="23">
        <f ca="1"/>
        <v>179551.01925219552</v>
      </c>
      <c r="N920" s="25">
        <f t="shared" si="42"/>
        <v>127713.65200000002</v>
      </c>
      <c r="O920" s="25">
        <f t="shared" ca="1" si="43"/>
        <v>0</v>
      </c>
      <c r="P920" s="25">
        <f t="shared" ca="1" si="44"/>
        <v>0</v>
      </c>
    </row>
    <row r="921" spans="12:16" s="23" customFormat="1" ht="13.8">
      <c r="L921" s="23">
        <v>918</v>
      </c>
      <c r="M921" s="23">
        <f ca="1"/>
        <v>137648.37978306366</v>
      </c>
      <c r="N921" s="25">
        <f t="shared" si="42"/>
        <v>127713.65200000002</v>
      </c>
      <c r="O921" s="25">
        <f t="shared" ca="1" si="43"/>
        <v>0</v>
      </c>
      <c r="P921" s="25">
        <f t="shared" ca="1" si="44"/>
        <v>0</v>
      </c>
    </row>
    <row r="922" spans="12:16" s="23" customFormat="1" ht="13.8">
      <c r="L922" s="33">
        <v>919</v>
      </c>
      <c r="M922" s="23">
        <f ca="1"/>
        <v>230881.50463510683</v>
      </c>
      <c r="N922" s="25">
        <f t="shared" si="42"/>
        <v>127713.65200000002</v>
      </c>
      <c r="O922" s="25">
        <f t="shared" ca="1" si="43"/>
        <v>0</v>
      </c>
      <c r="P922" s="25">
        <f t="shared" ca="1" si="44"/>
        <v>0</v>
      </c>
    </row>
    <row r="923" spans="12:16" s="23" customFormat="1" ht="13.8">
      <c r="L923" s="23">
        <v>920</v>
      </c>
      <c r="M923" s="23">
        <f ca="1"/>
        <v>203171.29888497692</v>
      </c>
      <c r="N923" s="25">
        <f t="shared" si="42"/>
        <v>127713.65200000002</v>
      </c>
      <c r="O923" s="25">
        <f t="shared" ca="1" si="43"/>
        <v>0</v>
      </c>
      <c r="P923" s="25">
        <f t="shared" ca="1" si="44"/>
        <v>0</v>
      </c>
    </row>
    <row r="924" spans="12:16" s="23" customFormat="1" ht="13.8">
      <c r="L924" s="33">
        <v>921</v>
      </c>
      <c r="M924" s="23">
        <f ca="1"/>
        <v>138930.21962806434</v>
      </c>
      <c r="N924" s="25">
        <f t="shared" si="42"/>
        <v>127713.65200000002</v>
      </c>
      <c r="O924" s="25">
        <f t="shared" ca="1" si="43"/>
        <v>0</v>
      </c>
      <c r="P924" s="25">
        <f t="shared" ca="1" si="44"/>
        <v>0</v>
      </c>
    </row>
    <row r="925" spans="12:16" s="23" customFormat="1" ht="13.8">
      <c r="L925" s="23">
        <v>922</v>
      </c>
      <c r="M925" s="23">
        <f ca="1"/>
        <v>244049.97516224961</v>
      </c>
      <c r="N925" s="25">
        <f t="shared" si="42"/>
        <v>127713.65200000002</v>
      </c>
      <c r="O925" s="25">
        <f t="shared" ca="1" si="43"/>
        <v>0</v>
      </c>
      <c r="P925" s="25">
        <f t="shared" ca="1" si="44"/>
        <v>0</v>
      </c>
    </row>
    <row r="926" spans="12:16" s="23" customFormat="1" ht="13.8">
      <c r="L926" s="33">
        <v>923</v>
      </c>
      <c r="M926" s="23">
        <f ca="1"/>
        <v>57898.363144892901</v>
      </c>
      <c r="N926" s="25">
        <f t="shared" si="42"/>
        <v>127713.65200000002</v>
      </c>
      <c r="O926" s="25">
        <f t="shared" ca="1" si="43"/>
        <v>1</v>
      </c>
      <c r="P926" s="25">
        <f t="shared" ca="1" si="44"/>
        <v>0.54665486235650917</v>
      </c>
    </row>
    <row r="927" spans="12:16" s="23" customFormat="1" ht="13.8">
      <c r="L927" s="23">
        <v>924</v>
      </c>
      <c r="M927" s="23">
        <f ca="1"/>
        <v>146026.03176990317</v>
      </c>
      <c r="N927" s="25">
        <f t="shared" si="42"/>
        <v>127713.65200000002</v>
      </c>
      <c r="O927" s="25">
        <f t="shared" ca="1" si="43"/>
        <v>0</v>
      </c>
      <c r="P927" s="25">
        <f t="shared" ca="1" si="44"/>
        <v>0</v>
      </c>
    </row>
    <row r="928" spans="12:16" s="23" customFormat="1" ht="13.8">
      <c r="L928" s="33">
        <v>925</v>
      </c>
      <c r="M928" s="23">
        <f ca="1"/>
        <v>199946.86638743081</v>
      </c>
      <c r="N928" s="25">
        <f t="shared" si="42"/>
        <v>127713.65200000002</v>
      </c>
      <c r="O928" s="25">
        <f t="shared" ca="1" si="43"/>
        <v>0</v>
      </c>
      <c r="P928" s="25">
        <f t="shared" ca="1" si="44"/>
        <v>0</v>
      </c>
    </row>
    <row r="929" spans="12:16" s="23" customFormat="1" ht="13.8">
      <c r="L929" s="23">
        <v>926</v>
      </c>
      <c r="M929" s="23">
        <f ca="1"/>
        <v>71742.116480323311</v>
      </c>
      <c r="N929" s="25">
        <f t="shared" si="42"/>
        <v>127713.65200000002</v>
      </c>
      <c r="O929" s="25">
        <f t="shared" ca="1" si="43"/>
        <v>1</v>
      </c>
      <c r="P929" s="25">
        <f t="shared" ca="1" si="44"/>
        <v>0.43825804558213322</v>
      </c>
    </row>
    <row r="930" spans="12:16" s="23" customFormat="1" ht="13.8">
      <c r="L930" s="33">
        <v>927</v>
      </c>
      <c r="M930" s="23">
        <f ca="1"/>
        <v>86903.794791567212</v>
      </c>
      <c r="N930" s="25">
        <f t="shared" si="42"/>
        <v>127713.65200000002</v>
      </c>
      <c r="O930" s="25">
        <f t="shared" ca="1" si="43"/>
        <v>1</v>
      </c>
      <c r="P930" s="25">
        <f t="shared" ca="1" si="44"/>
        <v>0.31954185452650591</v>
      </c>
    </row>
    <row r="931" spans="12:16" s="23" customFormat="1" ht="13.8">
      <c r="L931" s="23">
        <v>928</v>
      </c>
      <c r="M931" s="23">
        <f ca="1"/>
        <v>205023.03552072751</v>
      </c>
      <c r="N931" s="25">
        <f t="shared" si="42"/>
        <v>127713.65200000002</v>
      </c>
      <c r="O931" s="25">
        <f t="shared" ca="1" si="43"/>
        <v>0</v>
      </c>
      <c r="P931" s="25">
        <f t="shared" ca="1" si="44"/>
        <v>0</v>
      </c>
    </row>
    <row r="932" spans="12:16" s="23" customFormat="1" ht="13.8">
      <c r="L932" s="33">
        <v>929</v>
      </c>
      <c r="M932" s="23">
        <f ca="1"/>
        <v>175701.17126749814</v>
      </c>
      <c r="N932" s="25">
        <f t="shared" si="42"/>
        <v>127713.65200000002</v>
      </c>
      <c r="O932" s="25">
        <f t="shared" ca="1" si="43"/>
        <v>0</v>
      </c>
      <c r="P932" s="25">
        <f t="shared" ca="1" si="44"/>
        <v>0</v>
      </c>
    </row>
    <row r="933" spans="12:16" s="23" customFormat="1" ht="13.8">
      <c r="L933" s="23">
        <v>930</v>
      </c>
      <c r="M933" s="23">
        <f ca="1"/>
        <v>162672.44194931255</v>
      </c>
      <c r="N933" s="25">
        <f t="shared" si="42"/>
        <v>127713.65200000002</v>
      </c>
      <c r="O933" s="25">
        <f t="shared" ca="1" si="43"/>
        <v>0</v>
      </c>
      <c r="P933" s="25">
        <f t="shared" ca="1" si="44"/>
        <v>0</v>
      </c>
    </row>
    <row r="934" spans="12:16" s="23" customFormat="1" ht="13.8">
      <c r="L934" s="33">
        <v>931</v>
      </c>
      <c r="M934" s="23">
        <f ca="1"/>
        <v>258872.22944285162</v>
      </c>
      <c r="N934" s="25">
        <f t="shared" si="42"/>
        <v>127713.65200000002</v>
      </c>
      <c r="O934" s="25">
        <f t="shared" ca="1" si="43"/>
        <v>0</v>
      </c>
      <c r="P934" s="25">
        <f t="shared" ca="1" si="44"/>
        <v>0</v>
      </c>
    </row>
    <row r="935" spans="12:16" s="23" customFormat="1" ht="13.8">
      <c r="L935" s="23">
        <v>932</v>
      </c>
      <c r="M935" s="23">
        <f ca="1"/>
        <v>272078.70343155588</v>
      </c>
      <c r="N935" s="25">
        <f t="shared" si="42"/>
        <v>127713.65200000002</v>
      </c>
      <c r="O935" s="25">
        <f t="shared" ca="1" si="43"/>
        <v>0</v>
      </c>
      <c r="P935" s="25">
        <f t="shared" ca="1" si="44"/>
        <v>0</v>
      </c>
    </row>
    <row r="936" spans="12:16" s="23" customFormat="1" ht="13.8">
      <c r="L936" s="33">
        <v>933</v>
      </c>
      <c r="M936" s="23">
        <f ca="1"/>
        <v>89530.728860336501</v>
      </c>
      <c r="N936" s="25">
        <f t="shared" si="42"/>
        <v>127713.65200000002</v>
      </c>
      <c r="O936" s="25">
        <f t="shared" ca="1" si="43"/>
        <v>1</v>
      </c>
      <c r="P936" s="25">
        <f t="shared" ca="1" si="44"/>
        <v>0.2989729174737209</v>
      </c>
    </row>
    <row r="937" spans="12:16" s="23" customFormat="1" ht="13.8">
      <c r="L937" s="23">
        <v>934</v>
      </c>
      <c r="M937" s="23">
        <f ca="1"/>
        <v>94496.09954996634</v>
      </c>
      <c r="N937" s="25">
        <f t="shared" si="42"/>
        <v>127713.65200000002</v>
      </c>
      <c r="O937" s="25">
        <f t="shared" ca="1" si="43"/>
        <v>1</v>
      </c>
      <c r="P937" s="25">
        <f t="shared" ca="1" si="44"/>
        <v>0.26009398313998311</v>
      </c>
    </row>
    <row r="938" spans="12:16" s="23" customFormat="1" ht="13.8">
      <c r="L938" s="33">
        <v>935</v>
      </c>
      <c r="M938" s="23">
        <f ca="1"/>
        <v>235229.93768604455</v>
      </c>
      <c r="N938" s="25">
        <f t="shared" si="42"/>
        <v>127713.65200000002</v>
      </c>
      <c r="O938" s="25">
        <f t="shared" ca="1" si="43"/>
        <v>0</v>
      </c>
      <c r="P938" s="25">
        <f t="shared" ca="1" si="44"/>
        <v>0</v>
      </c>
    </row>
    <row r="939" spans="12:16" s="23" customFormat="1" ht="13.8">
      <c r="L939" s="23">
        <v>936</v>
      </c>
      <c r="M939" s="23">
        <f ca="1"/>
        <v>246574.12862297639</v>
      </c>
      <c r="N939" s="25">
        <f t="shared" si="42"/>
        <v>127713.65200000002</v>
      </c>
      <c r="O939" s="25">
        <f t="shared" ca="1" si="43"/>
        <v>0</v>
      </c>
      <c r="P939" s="25">
        <f t="shared" ca="1" si="44"/>
        <v>0</v>
      </c>
    </row>
    <row r="940" spans="12:16" s="23" customFormat="1" ht="13.8">
      <c r="L940" s="33">
        <v>937</v>
      </c>
      <c r="M940" s="23">
        <f ca="1"/>
        <v>160531.1734911518</v>
      </c>
      <c r="N940" s="25">
        <f t="shared" si="42"/>
        <v>127713.65200000002</v>
      </c>
      <c r="O940" s="25">
        <f t="shared" ca="1" si="43"/>
        <v>0</v>
      </c>
      <c r="P940" s="25">
        <f t="shared" ca="1" si="44"/>
        <v>0</v>
      </c>
    </row>
    <row r="941" spans="12:16" s="23" customFormat="1" ht="13.8">
      <c r="L941" s="23">
        <v>938</v>
      </c>
      <c r="M941" s="23">
        <f ca="1"/>
        <v>223983.20058344593</v>
      </c>
      <c r="N941" s="25">
        <f t="shared" si="42"/>
        <v>127713.65200000002</v>
      </c>
      <c r="O941" s="25">
        <f t="shared" ca="1" si="43"/>
        <v>0</v>
      </c>
      <c r="P941" s="25">
        <f t="shared" ca="1" si="44"/>
        <v>0</v>
      </c>
    </row>
    <row r="942" spans="12:16" s="23" customFormat="1" ht="13.8">
      <c r="L942" s="33">
        <v>939</v>
      </c>
      <c r="M942" s="23">
        <f ca="1"/>
        <v>282470.83815762482</v>
      </c>
      <c r="N942" s="25">
        <f t="shared" si="42"/>
        <v>127713.65200000002</v>
      </c>
      <c r="O942" s="25">
        <f t="shared" ca="1" si="43"/>
        <v>0</v>
      </c>
      <c r="P942" s="25">
        <f t="shared" ca="1" si="44"/>
        <v>0</v>
      </c>
    </row>
    <row r="943" spans="12:16" s="23" customFormat="1" ht="13.8">
      <c r="L943" s="23">
        <v>940</v>
      </c>
      <c r="M943" s="23">
        <f ca="1"/>
        <v>267146.72969069518</v>
      </c>
      <c r="N943" s="25">
        <f t="shared" si="42"/>
        <v>127713.65200000002</v>
      </c>
      <c r="O943" s="25">
        <f t="shared" ca="1" si="43"/>
        <v>0</v>
      </c>
      <c r="P943" s="25">
        <f t="shared" ca="1" si="44"/>
        <v>0</v>
      </c>
    </row>
    <row r="944" spans="12:16" s="23" customFormat="1" ht="13.8">
      <c r="L944" s="33">
        <v>941</v>
      </c>
      <c r="M944" s="23">
        <f ca="1"/>
        <v>192411.52798742882</v>
      </c>
      <c r="N944" s="25">
        <f t="shared" si="42"/>
        <v>127713.65200000002</v>
      </c>
      <c r="O944" s="25">
        <f t="shared" ca="1" si="43"/>
        <v>0</v>
      </c>
      <c r="P944" s="25">
        <f t="shared" ca="1" si="44"/>
        <v>0</v>
      </c>
    </row>
    <row r="945" spans="12:16" s="23" customFormat="1" ht="13.8">
      <c r="L945" s="23">
        <v>942</v>
      </c>
      <c r="M945" s="23">
        <f ca="1"/>
        <v>193829.23068040935</v>
      </c>
      <c r="N945" s="25">
        <f t="shared" si="42"/>
        <v>127713.65200000002</v>
      </c>
      <c r="O945" s="25">
        <f t="shared" ca="1" si="43"/>
        <v>0</v>
      </c>
      <c r="P945" s="25">
        <f t="shared" ca="1" si="44"/>
        <v>0</v>
      </c>
    </row>
    <row r="946" spans="12:16" s="23" customFormat="1" ht="13.8">
      <c r="L946" s="33">
        <v>943</v>
      </c>
      <c r="M946" s="23">
        <f ca="1"/>
        <v>181688.70345708774</v>
      </c>
      <c r="N946" s="25">
        <f t="shared" si="42"/>
        <v>127713.65200000002</v>
      </c>
      <c r="O946" s="25">
        <f t="shared" ca="1" si="43"/>
        <v>0</v>
      </c>
      <c r="P946" s="25">
        <f t="shared" ca="1" si="44"/>
        <v>0</v>
      </c>
    </row>
    <row r="947" spans="12:16" s="23" customFormat="1" ht="13.8">
      <c r="L947" s="23">
        <v>944</v>
      </c>
      <c r="M947" s="23">
        <f ca="1"/>
        <v>211522.15681298391</v>
      </c>
      <c r="N947" s="25">
        <f t="shared" si="42"/>
        <v>127713.65200000002</v>
      </c>
      <c r="O947" s="25">
        <f t="shared" ca="1" si="43"/>
        <v>0</v>
      </c>
      <c r="P947" s="25">
        <f t="shared" ca="1" si="44"/>
        <v>0</v>
      </c>
    </row>
    <row r="948" spans="12:16" s="23" customFormat="1" ht="13.8">
      <c r="L948" s="33">
        <v>945</v>
      </c>
      <c r="M948" s="23">
        <f ca="1"/>
        <v>143459.16847387119</v>
      </c>
      <c r="N948" s="25">
        <f t="shared" si="42"/>
        <v>127713.65200000002</v>
      </c>
      <c r="O948" s="25">
        <f t="shared" ca="1" si="43"/>
        <v>0</v>
      </c>
      <c r="P948" s="25">
        <f t="shared" ca="1" si="44"/>
        <v>0</v>
      </c>
    </row>
    <row r="949" spans="12:16" s="23" customFormat="1" ht="13.8">
      <c r="L949" s="23">
        <v>946</v>
      </c>
      <c r="M949" s="23">
        <f ca="1"/>
        <v>164205.98895405448</v>
      </c>
      <c r="N949" s="25">
        <f t="shared" si="42"/>
        <v>127713.65200000002</v>
      </c>
      <c r="O949" s="25">
        <f t="shared" ca="1" si="43"/>
        <v>0</v>
      </c>
      <c r="P949" s="25">
        <f t="shared" ca="1" si="44"/>
        <v>0</v>
      </c>
    </row>
    <row r="950" spans="12:16" s="23" customFormat="1" ht="13.8">
      <c r="L950" s="33">
        <v>947</v>
      </c>
      <c r="M950" s="23">
        <f ca="1"/>
        <v>279598.98931709735</v>
      </c>
      <c r="N950" s="25">
        <f t="shared" si="42"/>
        <v>127713.65200000002</v>
      </c>
      <c r="O950" s="25">
        <f t="shared" ca="1" si="43"/>
        <v>0</v>
      </c>
      <c r="P950" s="25">
        <f t="shared" ca="1" si="44"/>
        <v>0</v>
      </c>
    </row>
    <row r="951" spans="12:16" s="23" customFormat="1" ht="13.8">
      <c r="L951" s="23">
        <v>948</v>
      </c>
      <c r="M951" s="23">
        <f ca="1"/>
        <v>23901.963193470216</v>
      </c>
      <c r="N951" s="25">
        <f t="shared" si="42"/>
        <v>127713.65200000002</v>
      </c>
      <c r="O951" s="25">
        <f t="shared" ca="1" si="43"/>
        <v>1</v>
      </c>
      <c r="P951" s="25">
        <f t="shared" ca="1" si="44"/>
        <v>0.81284723426850081</v>
      </c>
    </row>
    <row r="952" spans="12:16" s="23" customFormat="1" ht="13.8">
      <c r="L952" s="33">
        <v>949</v>
      </c>
      <c r="M952" s="23">
        <f ca="1"/>
        <v>247381.26610583533</v>
      </c>
      <c r="N952" s="25">
        <f t="shared" si="42"/>
        <v>127713.65200000002</v>
      </c>
      <c r="O952" s="25">
        <f t="shared" ca="1" si="43"/>
        <v>0</v>
      </c>
      <c r="P952" s="25">
        <f t="shared" ca="1" si="44"/>
        <v>0</v>
      </c>
    </row>
    <row r="953" spans="12:16" s="23" customFormat="1" ht="13.8">
      <c r="L953" s="23">
        <v>950</v>
      </c>
      <c r="M953" s="23">
        <f ca="1"/>
        <v>270450.05624212883</v>
      </c>
      <c r="N953" s="25">
        <f t="shared" si="42"/>
        <v>127713.65200000002</v>
      </c>
      <c r="O953" s="25">
        <f t="shared" ca="1" si="43"/>
        <v>0</v>
      </c>
      <c r="P953" s="25">
        <f t="shared" ca="1" si="44"/>
        <v>0</v>
      </c>
    </row>
    <row r="954" spans="12:16" s="23" customFormat="1" ht="13.8">
      <c r="L954" s="33">
        <v>951</v>
      </c>
      <c r="M954" s="23">
        <f ca="1"/>
        <v>162565.10886411543</v>
      </c>
      <c r="N954" s="25">
        <f t="shared" si="42"/>
        <v>127713.65200000002</v>
      </c>
      <c r="O954" s="25">
        <f t="shared" ca="1" si="43"/>
        <v>0</v>
      </c>
      <c r="P954" s="25">
        <f t="shared" ca="1" si="44"/>
        <v>0</v>
      </c>
    </row>
    <row r="955" spans="12:16" s="23" customFormat="1" ht="13.8">
      <c r="L955" s="23">
        <v>952</v>
      </c>
      <c r="M955" s="23">
        <f ca="1"/>
        <v>78753.707861351228</v>
      </c>
      <c r="N955" s="25">
        <f t="shared" si="42"/>
        <v>127713.65200000002</v>
      </c>
      <c r="O955" s="25">
        <f t="shared" ca="1" si="43"/>
        <v>1</v>
      </c>
      <c r="P955" s="25">
        <f t="shared" ca="1" si="44"/>
        <v>0.38335716951112464</v>
      </c>
    </row>
    <row r="956" spans="12:16" s="23" customFormat="1" ht="13.8">
      <c r="L956" s="33">
        <v>953</v>
      </c>
      <c r="M956" s="23">
        <f ca="1"/>
        <v>217284.46005929288</v>
      </c>
      <c r="N956" s="25">
        <f t="shared" si="42"/>
        <v>127713.65200000002</v>
      </c>
      <c r="O956" s="25">
        <f t="shared" ca="1" si="43"/>
        <v>0</v>
      </c>
      <c r="P956" s="25">
        <f t="shared" ca="1" si="44"/>
        <v>0</v>
      </c>
    </row>
    <row r="957" spans="12:16" s="23" customFormat="1" ht="13.8">
      <c r="L957" s="23">
        <v>954</v>
      </c>
      <c r="M957" s="23">
        <f ca="1"/>
        <v>174392.04890354589</v>
      </c>
      <c r="N957" s="25">
        <f t="shared" si="42"/>
        <v>127713.65200000002</v>
      </c>
      <c r="O957" s="25">
        <f t="shared" ca="1" si="43"/>
        <v>0</v>
      </c>
      <c r="P957" s="25">
        <f t="shared" ca="1" si="44"/>
        <v>0</v>
      </c>
    </row>
    <row r="958" spans="12:16" s="23" customFormat="1" ht="13.8">
      <c r="L958" s="33">
        <v>955</v>
      </c>
      <c r="M958" s="23">
        <f ca="1"/>
        <v>124996.67852798957</v>
      </c>
      <c r="N958" s="25">
        <f t="shared" si="42"/>
        <v>127713.65200000002</v>
      </c>
      <c r="O958" s="25">
        <f t="shared" ca="1" si="43"/>
        <v>1</v>
      </c>
      <c r="P958" s="25">
        <f t="shared" ca="1" si="44"/>
        <v>2.1273947064096528E-2</v>
      </c>
    </row>
    <row r="959" spans="12:16" s="23" customFormat="1" ht="13.8">
      <c r="L959" s="23">
        <v>956</v>
      </c>
      <c r="M959" s="23">
        <f ca="1"/>
        <v>160517.03964982374</v>
      </c>
      <c r="N959" s="25">
        <f t="shared" si="42"/>
        <v>127713.65200000002</v>
      </c>
      <c r="O959" s="25">
        <f t="shared" ca="1" si="43"/>
        <v>0</v>
      </c>
      <c r="P959" s="25">
        <f t="shared" ca="1" si="44"/>
        <v>0</v>
      </c>
    </row>
    <row r="960" spans="12:16" s="23" customFormat="1" ht="13.8">
      <c r="L960" s="33">
        <v>957</v>
      </c>
      <c r="M960" s="23">
        <f ca="1"/>
        <v>59960.715892480308</v>
      </c>
      <c r="N960" s="25">
        <f t="shared" si="42"/>
        <v>127713.65200000002</v>
      </c>
      <c r="O960" s="25">
        <f t="shared" ca="1" si="43"/>
        <v>1</v>
      </c>
      <c r="P960" s="25">
        <f t="shared" ca="1" si="44"/>
        <v>0.53050660635340452</v>
      </c>
    </row>
    <row r="961" spans="12:16" s="23" customFormat="1" ht="13.8">
      <c r="L961" s="23">
        <v>958</v>
      </c>
      <c r="M961" s="23">
        <f ca="1"/>
        <v>166863.38970114625</v>
      </c>
      <c r="N961" s="25">
        <f t="shared" si="42"/>
        <v>127713.65200000002</v>
      </c>
      <c r="O961" s="25">
        <f t="shared" ca="1" si="43"/>
        <v>0</v>
      </c>
      <c r="P961" s="25">
        <f t="shared" ca="1" si="44"/>
        <v>0</v>
      </c>
    </row>
    <row r="962" spans="12:16" s="23" customFormat="1" ht="13.8">
      <c r="L962" s="33">
        <v>959</v>
      </c>
      <c r="M962" s="23">
        <f ca="1"/>
        <v>188122.41892732817</v>
      </c>
      <c r="N962" s="25">
        <f t="shared" si="42"/>
        <v>127713.65200000002</v>
      </c>
      <c r="O962" s="25">
        <f t="shared" ca="1" si="43"/>
        <v>0</v>
      </c>
      <c r="P962" s="25">
        <f t="shared" ca="1" si="44"/>
        <v>0</v>
      </c>
    </row>
    <row r="963" spans="12:16" s="23" customFormat="1" ht="13.8">
      <c r="L963" s="23">
        <v>960</v>
      </c>
      <c r="M963" s="23">
        <f ca="1"/>
        <v>194775.30849700666</v>
      </c>
      <c r="N963" s="25">
        <f t="shared" si="42"/>
        <v>127713.65200000002</v>
      </c>
      <c r="O963" s="25">
        <f t="shared" ca="1" si="43"/>
        <v>0</v>
      </c>
      <c r="P963" s="25">
        <f t="shared" ca="1" si="44"/>
        <v>0</v>
      </c>
    </row>
    <row r="964" spans="12:16" s="23" customFormat="1" ht="13.8">
      <c r="L964" s="33">
        <v>961</v>
      </c>
      <c r="M964" s="23">
        <f ca="1"/>
        <v>380435.13381173345</v>
      </c>
      <c r="N964" s="25">
        <f t="shared" ref="N964:N1003" si="45">($C$24+$E$24)*1.1</f>
        <v>127713.65200000002</v>
      </c>
      <c r="O964" s="25">
        <f t="shared" ca="1" si="43"/>
        <v>0</v>
      </c>
      <c r="P964" s="25">
        <f t="shared" ca="1" si="44"/>
        <v>0</v>
      </c>
    </row>
    <row r="965" spans="12:16" s="23" customFormat="1" ht="13.8">
      <c r="L965" s="23">
        <v>962</v>
      </c>
      <c r="M965" s="23">
        <f ca="1"/>
        <v>80663.118170119327</v>
      </c>
      <c r="N965" s="25">
        <f t="shared" si="45"/>
        <v>127713.65200000002</v>
      </c>
      <c r="O965" s="25">
        <f t="shared" ref="O965:O1003" ca="1" si="46">IF(M965&lt;N965,1,0)</f>
        <v>1</v>
      </c>
      <c r="P965" s="25">
        <f t="shared" ref="P965:P1003" ca="1" si="47">MAX((N965-M965)/N965,0)</f>
        <v>0.36840645532460919</v>
      </c>
    </row>
    <row r="966" spans="12:16" s="23" customFormat="1" ht="13.8">
      <c r="L966" s="33">
        <v>963</v>
      </c>
      <c r="M966" s="23">
        <f ca="1"/>
        <v>147750.07263758022</v>
      </c>
      <c r="N966" s="25">
        <f t="shared" si="45"/>
        <v>127713.65200000002</v>
      </c>
      <c r="O966" s="25">
        <f t="shared" ca="1" si="46"/>
        <v>0</v>
      </c>
      <c r="P966" s="25">
        <f t="shared" ca="1" si="47"/>
        <v>0</v>
      </c>
    </row>
    <row r="967" spans="12:16" s="23" customFormat="1" ht="13.8">
      <c r="L967" s="23">
        <v>964</v>
      </c>
      <c r="M967" s="23">
        <f ca="1"/>
        <v>153198.08497867946</v>
      </c>
      <c r="N967" s="25">
        <f t="shared" si="45"/>
        <v>127713.65200000002</v>
      </c>
      <c r="O967" s="25">
        <f t="shared" ca="1" si="46"/>
        <v>0</v>
      </c>
      <c r="P967" s="25">
        <f t="shared" ca="1" si="47"/>
        <v>0</v>
      </c>
    </row>
    <row r="968" spans="12:16" s="23" customFormat="1" ht="13.8">
      <c r="L968" s="33">
        <v>965</v>
      </c>
      <c r="M968" s="23">
        <f ca="1"/>
        <v>270124.56770272343</v>
      </c>
      <c r="N968" s="25">
        <f t="shared" si="45"/>
        <v>127713.65200000002</v>
      </c>
      <c r="O968" s="25">
        <f t="shared" ca="1" si="46"/>
        <v>0</v>
      </c>
      <c r="P968" s="25">
        <f t="shared" ca="1" si="47"/>
        <v>0</v>
      </c>
    </row>
    <row r="969" spans="12:16" s="23" customFormat="1" ht="13.8">
      <c r="L969" s="23">
        <v>966</v>
      </c>
      <c r="M969" s="23">
        <f ca="1"/>
        <v>259860.87686386192</v>
      </c>
      <c r="N969" s="25">
        <f t="shared" si="45"/>
        <v>127713.65200000002</v>
      </c>
      <c r="O969" s="25">
        <f t="shared" ca="1" si="46"/>
        <v>0</v>
      </c>
      <c r="P969" s="25">
        <f t="shared" ca="1" si="47"/>
        <v>0</v>
      </c>
    </row>
    <row r="970" spans="12:16" s="23" customFormat="1" ht="13.8">
      <c r="L970" s="33">
        <v>967</v>
      </c>
      <c r="M970" s="23">
        <f ca="1"/>
        <v>169455.7090185321</v>
      </c>
      <c r="N970" s="25">
        <f t="shared" si="45"/>
        <v>127713.65200000002</v>
      </c>
      <c r="O970" s="25">
        <f t="shared" ca="1" si="46"/>
        <v>0</v>
      </c>
      <c r="P970" s="25">
        <f t="shared" ca="1" si="47"/>
        <v>0</v>
      </c>
    </row>
    <row r="971" spans="12:16" s="23" customFormat="1" ht="13.8">
      <c r="L971" s="23">
        <v>968</v>
      </c>
      <c r="M971" s="23">
        <f ca="1"/>
        <v>137802.99466128316</v>
      </c>
      <c r="N971" s="25">
        <f t="shared" si="45"/>
        <v>127713.65200000002</v>
      </c>
      <c r="O971" s="25">
        <f t="shared" ca="1" si="46"/>
        <v>0</v>
      </c>
      <c r="P971" s="25">
        <f t="shared" ca="1" si="47"/>
        <v>0</v>
      </c>
    </row>
    <row r="972" spans="12:16" s="23" customFormat="1" ht="13.8">
      <c r="L972" s="33">
        <v>969</v>
      </c>
      <c r="M972" s="23">
        <f ca="1"/>
        <v>242040.08434678346</v>
      </c>
      <c r="N972" s="25">
        <f t="shared" si="45"/>
        <v>127713.65200000002</v>
      </c>
      <c r="O972" s="25">
        <f t="shared" ca="1" si="46"/>
        <v>0</v>
      </c>
      <c r="P972" s="25">
        <f t="shared" ca="1" si="47"/>
        <v>0</v>
      </c>
    </row>
    <row r="973" spans="12:16" s="23" customFormat="1" ht="13.8">
      <c r="L973" s="23">
        <v>970</v>
      </c>
      <c r="M973" s="23">
        <f ca="1"/>
        <v>164140.41429103343</v>
      </c>
      <c r="N973" s="25">
        <f t="shared" si="45"/>
        <v>127713.65200000002</v>
      </c>
      <c r="O973" s="25">
        <f t="shared" ca="1" si="46"/>
        <v>0</v>
      </c>
      <c r="P973" s="25">
        <f t="shared" ca="1" si="47"/>
        <v>0</v>
      </c>
    </row>
    <row r="974" spans="12:16" s="23" customFormat="1" ht="13.8">
      <c r="L974" s="33">
        <v>971</v>
      </c>
      <c r="M974" s="23">
        <f ca="1"/>
        <v>89062.054395471801</v>
      </c>
      <c r="N974" s="25">
        <f t="shared" si="45"/>
        <v>127713.65200000002</v>
      </c>
      <c r="O974" s="25">
        <f t="shared" ca="1" si="46"/>
        <v>1</v>
      </c>
      <c r="P974" s="25">
        <f t="shared" ca="1" si="47"/>
        <v>0.30264264625780346</v>
      </c>
    </row>
    <row r="975" spans="12:16" s="23" customFormat="1" ht="13.8">
      <c r="L975" s="23">
        <v>972</v>
      </c>
      <c r="M975" s="23">
        <f ca="1"/>
        <v>149085.51255114609</v>
      </c>
      <c r="N975" s="25">
        <f t="shared" si="45"/>
        <v>127713.65200000002</v>
      </c>
      <c r="O975" s="25">
        <f t="shared" ca="1" si="46"/>
        <v>0</v>
      </c>
      <c r="P975" s="25">
        <f t="shared" ca="1" si="47"/>
        <v>0</v>
      </c>
    </row>
    <row r="976" spans="12:16" s="23" customFormat="1" ht="13.8">
      <c r="L976" s="33">
        <v>973</v>
      </c>
      <c r="M976" s="23">
        <f ca="1"/>
        <v>163565.3956174237</v>
      </c>
      <c r="N976" s="25">
        <f t="shared" si="45"/>
        <v>127713.65200000002</v>
      </c>
      <c r="O976" s="25">
        <f t="shared" ca="1" si="46"/>
        <v>0</v>
      </c>
      <c r="P976" s="25">
        <f t="shared" ca="1" si="47"/>
        <v>0</v>
      </c>
    </row>
    <row r="977" spans="12:16" s="23" customFormat="1" ht="13.8">
      <c r="L977" s="23">
        <v>974</v>
      </c>
      <c r="M977" s="23">
        <f ca="1"/>
        <v>230689.11598012282</v>
      </c>
      <c r="N977" s="25">
        <f t="shared" si="45"/>
        <v>127713.65200000002</v>
      </c>
      <c r="O977" s="25">
        <f t="shared" ca="1" si="46"/>
        <v>0</v>
      </c>
      <c r="P977" s="25">
        <f t="shared" ca="1" si="47"/>
        <v>0</v>
      </c>
    </row>
    <row r="978" spans="12:16" s="23" customFormat="1" ht="13.8">
      <c r="L978" s="33">
        <v>975</v>
      </c>
      <c r="M978" s="23">
        <f ca="1"/>
        <v>108442.37653855357</v>
      </c>
      <c r="N978" s="25">
        <f t="shared" si="45"/>
        <v>127713.65200000002</v>
      </c>
      <c r="O978" s="25">
        <f t="shared" ca="1" si="46"/>
        <v>1</v>
      </c>
      <c r="P978" s="25">
        <f t="shared" ca="1" si="47"/>
        <v>0.15089440447170399</v>
      </c>
    </row>
    <row r="979" spans="12:16" s="23" customFormat="1" ht="13.8">
      <c r="L979" s="23">
        <v>976</v>
      </c>
      <c r="M979" s="23">
        <f ca="1"/>
        <v>140066.45944760842</v>
      </c>
      <c r="N979" s="25">
        <f t="shared" si="45"/>
        <v>127713.65200000002</v>
      </c>
      <c r="O979" s="25">
        <f t="shared" ca="1" si="46"/>
        <v>0</v>
      </c>
      <c r="P979" s="25">
        <f t="shared" ca="1" si="47"/>
        <v>0</v>
      </c>
    </row>
    <row r="980" spans="12:16" s="23" customFormat="1" ht="13.8">
      <c r="L980" s="33">
        <v>977</v>
      </c>
      <c r="M980" s="23">
        <f ca="1"/>
        <v>336021.77770623489</v>
      </c>
      <c r="N980" s="25">
        <f t="shared" si="45"/>
        <v>127713.65200000002</v>
      </c>
      <c r="O980" s="25">
        <f t="shared" ca="1" si="46"/>
        <v>0</v>
      </c>
      <c r="P980" s="25">
        <f t="shared" ca="1" si="47"/>
        <v>0</v>
      </c>
    </row>
    <row r="981" spans="12:16" s="23" customFormat="1" ht="13.8">
      <c r="L981" s="23">
        <v>978</v>
      </c>
      <c r="M981" s="23">
        <f ca="1"/>
        <v>99176.988139500623</v>
      </c>
      <c r="N981" s="25">
        <f t="shared" si="45"/>
        <v>127713.65200000002</v>
      </c>
      <c r="O981" s="25">
        <f t="shared" ca="1" si="46"/>
        <v>1</v>
      </c>
      <c r="P981" s="25">
        <f t="shared" ca="1" si="47"/>
        <v>0.22344254833852367</v>
      </c>
    </row>
    <row r="982" spans="12:16" s="23" customFormat="1" ht="13.8">
      <c r="L982" s="33">
        <v>979</v>
      </c>
      <c r="M982" s="23">
        <f ca="1"/>
        <v>254781.74007301737</v>
      </c>
      <c r="N982" s="25">
        <f t="shared" si="45"/>
        <v>127713.65200000002</v>
      </c>
      <c r="O982" s="25">
        <f t="shared" ca="1" si="46"/>
        <v>0</v>
      </c>
      <c r="P982" s="25">
        <f t="shared" ca="1" si="47"/>
        <v>0</v>
      </c>
    </row>
    <row r="983" spans="12:16" s="23" customFormat="1" ht="13.8">
      <c r="L983" s="23">
        <v>980</v>
      </c>
      <c r="M983" s="23">
        <f ca="1"/>
        <v>186008.90585207671</v>
      </c>
      <c r="N983" s="25">
        <f t="shared" si="45"/>
        <v>127713.65200000002</v>
      </c>
      <c r="O983" s="25">
        <f t="shared" ca="1" si="46"/>
        <v>0</v>
      </c>
      <c r="P983" s="25">
        <f t="shared" ca="1" si="47"/>
        <v>0</v>
      </c>
    </row>
    <row r="984" spans="12:16" s="23" customFormat="1" ht="13.8">
      <c r="L984" s="33">
        <v>981</v>
      </c>
      <c r="M984" s="23">
        <f ca="1"/>
        <v>217015.38778578222</v>
      </c>
      <c r="N984" s="25">
        <f t="shared" si="45"/>
        <v>127713.65200000002</v>
      </c>
      <c r="O984" s="25">
        <f t="shared" ca="1" si="46"/>
        <v>0</v>
      </c>
      <c r="P984" s="25">
        <f t="shared" ca="1" si="47"/>
        <v>0</v>
      </c>
    </row>
    <row r="985" spans="12:16" s="23" customFormat="1" ht="13.8">
      <c r="L985" s="23">
        <v>982</v>
      </c>
      <c r="M985" s="23">
        <f ca="1"/>
        <v>187167.42902854233</v>
      </c>
      <c r="N985" s="25">
        <f t="shared" si="45"/>
        <v>127713.65200000002</v>
      </c>
      <c r="O985" s="25">
        <f t="shared" ca="1" si="46"/>
        <v>0</v>
      </c>
      <c r="P985" s="25">
        <f t="shared" ca="1" si="47"/>
        <v>0</v>
      </c>
    </row>
    <row r="986" spans="12:16" s="23" customFormat="1" ht="13.8">
      <c r="L986" s="33">
        <v>983</v>
      </c>
      <c r="M986" s="23">
        <f ca="1"/>
        <v>323306.773764465</v>
      </c>
      <c r="N986" s="25">
        <f t="shared" si="45"/>
        <v>127713.65200000002</v>
      </c>
      <c r="O986" s="25">
        <f t="shared" ca="1" si="46"/>
        <v>0</v>
      </c>
      <c r="P986" s="25">
        <f t="shared" ca="1" si="47"/>
        <v>0</v>
      </c>
    </row>
    <row r="987" spans="12:16" s="23" customFormat="1" ht="13.8">
      <c r="L987" s="23">
        <v>984</v>
      </c>
      <c r="M987" s="23">
        <f ca="1"/>
        <v>196310.47368285249</v>
      </c>
      <c r="N987" s="25">
        <f t="shared" si="45"/>
        <v>127713.65200000002</v>
      </c>
      <c r="O987" s="25">
        <f t="shared" ca="1" si="46"/>
        <v>0</v>
      </c>
      <c r="P987" s="25">
        <f t="shared" ca="1" si="47"/>
        <v>0</v>
      </c>
    </row>
    <row r="988" spans="12:16" s="23" customFormat="1" ht="13.8">
      <c r="L988" s="33">
        <v>985</v>
      </c>
      <c r="M988" s="23">
        <f ca="1"/>
        <v>163325.32483041202</v>
      </c>
      <c r="N988" s="25">
        <f t="shared" si="45"/>
        <v>127713.65200000002</v>
      </c>
      <c r="O988" s="25">
        <f t="shared" ca="1" si="46"/>
        <v>0</v>
      </c>
      <c r="P988" s="25">
        <f t="shared" ca="1" si="47"/>
        <v>0</v>
      </c>
    </row>
    <row r="989" spans="12:16" s="23" customFormat="1" ht="13.8">
      <c r="L989" s="23">
        <v>986</v>
      </c>
      <c r="M989" s="23">
        <f ca="1"/>
        <v>280839.48419396795</v>
      </c>
      <c r="N989" s="25">
        <f t="shared" si="45"/>
        <v>127713.65200000002</v>
      </c>
      <c r="O989" s="25">
        <f t="shared" ca="1" si="46"/>
        <v>0</v>
      </c>
      <c r="P989" s="25">
        <f t="shared" ca="1" si="47"/>
        <v>0</v>
      </c>
    </row>
    <row r="990" spans="12:16" s="23" customFormat="1" ht="13.8">
      <c r="L990" s="33">
        <v>987</v>
      </c>
      <c r="M990" s="23">
        <f ca="1"/>
        <v>207069.93444747999</v>
      </c>
      <c r="N990" s="25">
        <f t="shared" si="45"/>
        <v>127713.65200000002</v>
      </c>
      <c r="O990" s="25">
        <f t="shared" ca="1" si="46"/>
        <v>0</v>
      </c>
      <c r="P990" s="25">
        <f t="shared" ca="1" si="47"/>
        <v>0</v>
      </c>
    </row>
    <row r="991" spans="12:16" s="23" customFormat="1" ht="13.8">
      <c r="L991" s="23">
        <v>988</v>
      </c>
      <c r="M991" s="23">
        <f ca="1"/>
        <v>202520.29366046845</v>
      </c>
      <c r="N991" s="25">
        <f t="shared" si="45"/>
        <v>127713.65200000002</v>
      </c>
      <c r="O991" s="25">
        <f t="shared" ca="1" si="46"/>
        <v>0</v>
      </c>
      <c r="P991" s="25">
        <f t="shared" ca="1" si="47"/>
        <v>0</v>
      </c>
    </row>
    <row r="992" spans="12:16" s="23" customFormat="1" ht="13.8">
      <c r="L992" s="33">
        <v>989</v>
      </c>
      <c r="M992" s="23">
        <f ca="1"/>
        <v>131800.11635459852</v>
      </c>
      <c r="N992" s="25">
        <f t="shared" si="45"/>
        <v>127713.65200000002</v>
      </c>
      <c r="O992" s="25">
        <f t="shared" ca="1" si="46"/>
        <v>0</v>
      </c>
      <c r="P992" s="25">
        <f t="shared" ca="1" si="47"/>
        <v>0</v>
      </c>
    </row>
    <row r="993" spans="12:16" s="23" customFormat="1" ht="13.8">
      <c r="L993" s="23">
        <v>990</v>
      </c>
      <c r="M993" s="23">
        <f ca="1"/>
        <v>213862.32324244559</v>
      </c>
      <c r="N993" s="25">
        <f t="shared" si="45"/>
        <v>127713.65200000002</v>
      </c>
      <c r="O993" s="25">
        <f t="shared" ca="1" si="46"/>
        <v>0</v>
      </c>
      <c r="P993" s="25">
        <f t="shared" ca="1" si="47"/>
        <v>0</v>
      </c>
    </row>
    <row r="994" spans="12:16" s="23" customFormat="1" ht="13.8">
      <c r="L994" s="33">
        <v>991</v>
      </c>
      <c r="M994" s="23">
        <f ca="1"/>
        <v>102535.59803908395</v>
      </c>
      <c r="N994" s="25">
        <f t="shared" si="45"/>
        <v>127713.65200000002</v>
      </c>
      <c r="O994" s="25">
        <f t="shared" ca="1" si="46"/>
        <v>1</v>
      </c>
      <c r="P994" s="25">
        <f t="shared" ca="1" si="47"/>
        <v>0.1971445774717652</v>
      </c>
    </row>
    <row r="995" spans="12:16" s="23" customFormat="1" ht="13.8">
      <c r="L995" s="23">
        <v>992</v>
      </c>
      <c r="M995" s="23">
        <f ca="1"/>
        <v>181518.0237976913</v>
      </c>
      <c r="N995" s="25">
        <f t="shared" si="45"/>
        <v>127713.65200000002</v>
      </c>
      <c r="O995" s="25">
        <f t="shared" ca="1" si="46"/>
        <v>0</v>
      </c>
      <c r="P995" s="25">
        <f t="shared" ca="1" si="47"/>
        <v>0</v>
      </c>
    </row>
    <row r="996" spans="12:16" s="23" customFormat="1" ht="13.8">
      <c r="L996" s="33">
        <v>993</v>
      </c>
      <c r="M996" s="23">
        <f ca="1"/>
        <v>131754.44632194698</v>
      </c>
      <c r="N996" s="25">
        <f t="shared" si="45"/>
        <v>127713.65200000002</v>
      </c>
      <c r="O996" s="25">
        <f t="shared" ca="1" si="46"/>
        <v>0</v>
      </c>
      <c r="P996" s="25">
        <f t="shared" ca="1" si="47"/>
        <v>0</v>
      </c>
    </row>
    <row r="997" spans="12:16" s="23" customFormat="1" ht="13.8">
      <c r="L997" s="23">
        <v>994</v>
      </c>
      <c r="M997" s="23">
        <f ca="1"/>
        <v>189832.86077823839</v>
      </c>
      <c r="N997" s="25">
        <f t="shared" si="45"/>
        <v>127713.65200000002</v>
      </c>
      <c r="O997" s="25">
        <f t="shared" ca="1" si="46"/>
        <v>0</v>
      </c>
      <c r="P997" s="25">
        <f t="shared" ca="1" si="47"/>
        <v>0</v>
      </c>
    </row>
    <row r="998" spans="12:16" s="23" customFormat="1" ht="13.8">
      <c r="L998" s="33">
        <v>995</v>
      </c>
      <c r="M998" s="23">
        <f ca="1"/>
        <v>237153.67856972633</v>
      </c>
      <c r="N998" s="25">
        <f t="shared" si="45"/>
        <v>127713.65200000002</v>
      </c>
      <c r="O998" s="25">
        <f t="shared" ca="1" si="46"/>
        <v>0</v>
      </c>
      <c r="P998" s="25">
        <f t="shared" ca="1" si="47"/>
        <v>0</v>
      </c>
    </row>
    <row r="999" spans="12:16" s="23" customFormat="1" ht="13.8">
      <c r="L999" s="23">
        <v>996</v>
      </c>
      <c r="M999" s="23">
        <f ca="1"/>
        <v>141160.74208567076</v>
      </c>
      <c r="N999" s="25">
        <f t="shared" si="45"/>
        <v>127713.65200000002</v>
      </c>
      <c r="O999" s="25">
        <f t="shared" ca="1" si="46"/>
        <v>0</v>
      </c>
      <c r="P999" s="25">
        <f t="shared" ca="1" si="47"/>
        <v>0</v>
      </c>
    </row>
    <row r="1000" spans="12:16" s="23" customFormat="1" ht="13.8">
      <c r="L1000" s="33">
        <v>997</v>
      </c>
      <c r="M1000" s="23">
        <f ca="1"/>
        <v>103230.76473014211</v>
      </c>
      <c r="N1000" s="25">
        <f t="shared" si="45"/>
        <v>127713.65200000002</v>
      </c>
      <c r="O1000" s="25">
        <f t="shared" ca="1" si="46"/>
        <v>1</v>
      </c>
      <c r="P1000" s="25">
        <f t="shared" ca="1" si="47"/>
        <v>0.19170141082378495</v>
      </c>
    </row>
    <row r="1001" spans="12:16" s="23" customFormat="1" ht="13.8">
      <c r="L1001" s="23">
        <v>998</v>
      </c>
      <c r="M1001" s="23">
        <f ca="1"/>
        <v>167571.55121830845</v>
      </c>
      <c r="N1001" s="25">
        <f t="shared" si="45"/>
        <v>127713.65200000002</v>
      </c>
      <c r="O1001" s="25">
        <f t="shared" ca="1" si="46"/>
        <v>0</v>
      </c>
      <c r="P1001" s="25">
        <f t="shared" ca="1" si="47"/>
        <v>0</v>
      </c>
    </row>
    <row r="1002" spans="12:16" s="23" customFormat="1" ht="13.8">
      <c r="L1002" s="33">
        <v>999</v>
      </c>
      <c r="M1002" s="23">
        <f ca="1"/>
        <v>79687.859410546371</v>
      </c>
      <c r="N1002" s="25">
        <f t="shared" si="45"/>
        <v>127713.65200000002</v>
      </c>
      <c r="O1002" s="25">
        <f t="shared" ca="1" si="46"/>
        <v>1</v>
      </c>
      <c r="P1002" s="25">
        <f t="shared" ca="1" si="47"/>
        <v>0.37604274748523864</v>
      </c>
    </row>
    <row r="1003" spans="12:16" s="23" customFormat="1" ht="13.8">
      <c r="L1003" s="23">
        <v>1000</v>
      </c>
      <c r="M1003" s="23">
        <f ca="1"/>
        <v>115383.87227298235</v>
      </c>
      <c r="N1003" s="25">
        <f t="shared" si="45"/>
        <v>127713.65200000002</v>
      </c>
      <c r="O1003" s="25">
        <f t="shared" ca="1" si="46"/>
        <v>1</v>
      </c>
      <c r="P1003" s="25">
        <f t="shared" ca="1" si="47"/>
        <v>9.6542378468808213E-2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83FD-0784-4E33-AAE8-1E7F2251A7BA}">
  <sheetPr codeName="Sheet6"/>
  <dimension ref="B1:V1003"/>
  <sheetViews>
    <sheetView zoomScale="80" zoomScaleNormal="80" workbookViewId="0">
      <selection activeCell="J4" sqref="J4"/>
    </sheetView>
  </sheetViews>
  <sheetFormatPr defaultColWidth="8.88671875" defaultRowHeight="14.4"/>
  <cols>
    <col min="1" max="2" width="8.88671875" style="23"/>
    <col min="3" max="4" width="11.109375" style="23" bestFit="1" customWidth="1"/>
    <col min="5" max="5" width="20.5546875" style="23" customWidth="1"/>
    <col min="6" max="6" width="11.109375" style="23" customWidth="1"/>
    <col min="7" max="13" width="8.88671875" style="23"/>
    <col min="14" max="14" width="9.6640625" style="25" bestFit="1" customWidth="1"/>
    <col min="15" max="15" width="11.88671875" style="25" customWidth="1"/>
    <col min="16" max="16" width="10.6640625" style="23" bestFit="1" customWidth="1"/>
    <col min="17" max="20" width="8.88671875" style="23"/>
    <col min="21" max="22" width="8.88671875" style="1"/>
    <col min="23" max="16384" width="8.88671875" style="23"/>
  </cols>
  <sheetData>
    <row r="1" spans="2:20" s="23" customFormat="1" ht="13.8">
      <c r="E1" s="24">
        <v>1</v>
      </c>
      <c r="N1" s="25"/>
    </row>
    <row r="2" spans="2:20" s="23" customFormat="1" ht="13.8">
      <c r="C2" s="26" t="s">
        <v>17</v>
      </c>
      <c r="D2" s="26" t="s">
        <v>1</v>
      </c>
      <c r="E2" s="26" t="s">
        <v>0</v>
      </c>
      <c r="G2" s="26" t="s">
        <v>70</v>
      </c>
      <c r="L2" s="27" t="s">
        <v>66</v>
      </c>
      <c r="M2" s="27" t="s">
        <v>5</v>
      </c>
      <c r="N2" s="27" t="s">
        <v>19</v>
      </c>
      <c r="O2" s="28" t="s">
        <v>64</v>
      </c>
      <c r="P2" s="28" t="s">
        <v>67</v>
      </c>
    </row>
    <row r="3" spans="2:20" s="23" customFormat="1" ht="15.6">
      <c r="B3" s="23" t="s">
        <v>27</v>
      </c>
      <c r="C3" s="29">
        <v>4.3600000000000003</v>
      </c>
      <c r="D3" s="29">
        <v>39.299999999999997</v>
      </c>
      <c r="E3" s="29">
        <v>0.53</v>
      </c>
      <c r="F3" s="30"/>
      <c r="I3" s="31" t="s">
        <v>18</v>
      </c>
      <c r="J3" s="24">
        <f>AVERAGE(_xlfn.ANCHORARRAY(G4))</f>
        <v>0.26143125797347144</v>
      </c>
      <c r="K3" s="24"/>
      <c r="L3" s="23">
        <v>0</v>
      </c>
      <c r="M3" s="25">
        <f>D21</f>
        <v>1216.74</v>
      </c>
      <c r="N3" s="25">
        <f>($C$21+$E$21)*1.1</f>
        <v>1106.9630000000002</v>
      </c>
      <c r="O3" s="25"/>
      <c r="R3" s="31" t="s">
        <v>65</v>
      </c>
      <c r="S3" s="31" t="s">
        <v>2</v>
      </c>
      <c r="T3" s="31" t="s">
        <v>67</v>
      </c>
    </row>
    <row r="4" spans="2:20" s="23" customFormat="1" ht="13.8">
      <c r="B4" s="23" t="s">
        <v>26</v>
      </c>
      <c r="C4" s="29">
        <v>25.21</v>
      </c>
      <c r="D4" s="29">
        <v>82.57</v>
      </c>
      <c r="E4" s="29">
        <v>0.33</v>
      </c>
      <c r="F4" s="30"/>
      <c r="G4" s="32" cm="1">
        <f t="array" ref="G4:G21">_xlfn.LET(_xlpm.a,_xlfn.CHOOSECOLS(C3:E21,2),_xlfn.DROP(_xlpm.a,1)/_xlfn.DROP(_xlpm.a,-1)-1)</f>
        <v>1.1010178117048346</v>
      </c>
      <c r="I4" s="31" t="s">
        <v>4</v>
      </c>
      <c r="J4" s="32">
        <f>_xlfn.STDEV.S(_xlfn.ANCHORARRAY(G4))</f>
        <v>0.39215599700286841</v>
      </c>
      <c r="K4" s="32"/>
      <c r="L4" s="33">
        <v>1</v>
      </c>
      <c r="M4" s="23" cm="1">
        <f t="array" aca="1" ref="M4:M1003" ca="1">M3*(1+(_xlfn.NORM.INV(_xlfn.RANDARRAY(1000),$J$3,$J$4)))</f>
        <v>1813.8205211549657</v>
      </c>
      <c r="N4" s="25">
        <f t="shared" ref="N4:N67" si="0">($C$21+$E$21)*1.1</f>
        <v>1106.9630000000002</v>
      </c>
      <c r="O4" s="25">
        <f ca="1">IF(M4&lt;N4,1,0)</f>
        <v>0</v>
      </c>
      <c r="P4" s="25">
        <f ca="1">MAX((N4-M4)/N4,0)</f>
        <v>0</v>
      </c>
      <c r="R4" s="25">
        <f ca="1">SUM(O4:O1003)</f>
        <v>188</v>
      </c>
      <c r="S4" s="46">
        <f ca="1">R4/1000</f>
        <v>0.188</v>
      </c>
      <c r="T4" s="46">
        <f ca="1">AVERAGEIF(P4:P1003,"&gt;"&amp;0,P4:P1003)</f>
        <v>0.22563679975134124</v>
      </c>
    </row>
    <row r="5" spans="2:20" s="23" customFormat="1" ht="13.8">
      <c r="B5" s="23" t="s">
        <v>25</v>
      </c>
      <c r="C5" s="29">
        <v>96.99</v>
      </c>
      <c r="D5" s="29">
        <v>157.97999999999999</v>
      </c>
      <c r="E5" s="29">
        <v>1.34</v>
      </c>
      <c r="F5" s="30"/>
      <c r="G5" s="32">
        <v>0.913285696984377</v>
      </c>
      <c r="L5" s="23">
        <v>2</v>
      </c>
      <c r="M5" s="23">
        <f ca="1"/>
        <v>1559.7960996926995</v>
      </c>
      <c r="N5" s="25">
        <f t="shared" si="0"/>
        <v>1106.9630000000002</v>
      </c>
      <c r="O5" s="25">
        <f t="shared" ref="O5:O68" ca="1" si="1">IF(M5&lt;N5,1,0)</f>
        <v>0</v>
      </c>
      <c r="P5" s="25">
        <f t="shared" ref="P5:P68" ca="1" si="2">MAX((N5-M5)/N5,0)</f>
        <v>0</v>
      </c>
    </row>
    <row r="6" spans="2:20" s="23" customFormat="1" ht="13.8">
      <c r="B6" s="23" t="s">
        <v>24</v>
      </c>
      <c r="C6" s="29">
        <v>175.12</v>
      </c>
      <c r="D6" s="29">
        <v>290</v>
      </c>
      <c r="E6" s="29">
        <v>20.43</v>
      </c>
      <c r="F6" s="30"/>
      <c r="G6" s="32">
        <v>0.83567540194961398</v>
      </c>
      <c r="L6" s="33">
        <v>3</v>
      </c>
      <c r="M6" s="23">
        <f ca="1"/>
        <v>1325.1105532445777</v>
      </c>
      <c r="N6" s="25">
        <f t="shared" si="0"/>
        <v>1106.9630000000002</v>
      </c>
      <c r="O6" s="25">
        <f t="shared" ca="1" si="1"/>
        <v>0</v>
      </c>
      <c r="P6" s="25">
        <f t="shared" ca="1" si="2"/>
        <v>0</v>
      </c>
    </row>
    <row r="7" spans="2:20" s="23" customFormat="1" ht="13.8">
      <c r="B7" s="23" t="s">
        <v>23</v>
      </c>
      <c r="C7" s="29">
        <v>190.04</v>
      </c>
      <c r="D7" s="29">
        <v>313.85000000000002</v>
      </c>
      <c r="E7" s="29">
        <v>30.89</v>
      </c>
      <c r="F7" s="30"/>
      <c r="G7" s="32">
        <v>8.224137931034492E-2</v>
      </c>
      <c r="J7" s="34"/>
      <c r="K7" s="34"/>
      <c r="L7" s="23">
        <v>4</v>
      </c>
      <c r="M7" s="23">
        <f ca="1"/>
        <v>1536.2445421488958</v>
      </c>
      <c r="N7" s="25">
        <f t="shared" si="0"/>
        <v>1106.9630000000002</v>
      </c>
      <c r="O7" s="25">
        <f t="shared" ca="1" si="1"/>
        <v>0</v>
      </c>
      <c r="P7" s="25">
        <f t="shared" ca="1" si="2"/>
        <v>0</v>
      </c>
    </row>
    <row r="8" spans="2:20" s="23" customFormat="1" ht="13.8">
      <c r="B8" s="23" t="s">
        <v>22</v>
      </c>
      <c r="C8" s="29">
        <v>204.41</v>
      </c>
      <c r="D8" s="29">
        <v>332.41</v>
      </c>
      <c r="E8" s="29">
        <v>165.82</v>
      </c>
      <c r="F8" s="30"/>
      <c r="G8" s="32">
        <v>5.9136530189580983E-2</v>
      </c>
      <c r="L8" s="33">
        <v>5</v>
      </c>
      <c r="M8" s="23">
        <f ca="1"/>
        <v>846.69733052992717</v>
      </c>
      <c r="N8" s="25">
        <f t="shared" si="0"/>
        <v>1106.9630000000002</v>
      </c>
      <c r="O8" s="25">
        <f t="shared" ca="1" si="1"/>
        <v>1</v>
      </c>
      <c r="P8" s="25">
        <f t="shared" ca="1" si="2"/>
        <v>0.23511686431260392</v>
      </c>
    </row>
    <row r="9" spans="2:20" s="23" customFormat="1" ht="13.8">
      <c r="B9" s="23" t="s">
        <v>21</v>
      </c>
      <c r="C9" s="29">
        <v>289.8</v>
      </c>
      <c r="D9" s="29">
        <v>389.37</v>
      </c>
      <c r="E9" s="29">
        <v>85.23</v>
      </c>
      <c r="F9" s="30"/>
      <c r="G9" s="32">
        <v>0.17135465238711212</v>
      </c>
      <c r="L9" s="23">
        <v>6</v>
      </c>
      <c r="M9" s="23">
        <f ca="1"/>
        <v>1693.3804531708463</v>
      </c>
      <c r="N9" s="25">
        <f t="shared" si="0"/>
        <v>1106.9630000000002</v>
      </c>
      <c r="O9" s="25">
        <f t="shared" ca="1" si="1"/>
        <v>0</v>
      </c>
      <c r="P9" s="25">
        <f t="shared" ca="1" si="2"/>
        <v>0</v>
      </c>
    </row>
    <row r="10" spans="2:20" s="23" customFormat="1" ht="13.8">
      <c r="B10" s="23" t="s">
        <v>20</v>
      </c>
      <c r="C10" s="29">
        <v>377.69</v>
      </c>
      <c r="D10" s="29">
        <v>439</v>
      </c>
      <c r="E10" s="29">
        <v>51.34</v>
      </c>
      <c r="F10" s="30"/>
      <c r="G10" s="32">
        <v>0.12746231091249971</v>
      </c>
      <c r="L10" s="33">
        <v>7</v>
      </c>
      <c r="M10" s="23">
        <f ca="1"/>
        <v>1375.3423509986712</v>
      </c>
      <c r="N10" s="25">
        <f t="shared" si="0"/>
        <v>1106.9630000000002</v>
      </c>
      <c r="O10" s="25">
        <f t="shared" ca="1" si="1"/>
        <v>0</v>
      </c>
      <c r="P10" s="25">
        <f t="shared" ca="1" si="2"/>
        <v>0</v>
      </c>
    </row>
    <row r="11" spans="2:20" s="23" customFormat="1" ht="13.8">
      <c r="B11" s="23" t="s">
        <v>16</v>
      </c>
      <c r="C11" s="29">
        <v>454.62</v>
      </c>
      <c r="D11" s="29">
        <v>692.85</v>
      </c>
      <c r="E11" s="29">
        <v>87.48</v>
      </c>
      <c r="F11" s="30"/>
      <c r="G11" s="32">
        <v>0.57824601366742612</v>
      </c>
      <c r="L11" s="23">
        <v>8</v>
      </c>
      <c r="M11" s="23">
        <f ca="1"/>
        <v>1607.9100320295897</v>
      </c>
      <c r="N11" s="25">
        <f t="shared" si="0"/>
        <v>1106.9630000000002</v>
      </c>
      <c r="O11" s="25">
        <f t="shared" ca="1" si="1"/>
        <v>0</v>
      </c>
      <c r="P11" s="25">
        <f t="shared" ca="1" si="2"/>
        <v>0</v>
      </c>
    </row>
    <row r="12" spans="2:20" s="23" customFormat="1" ht="13.8">
      <c r="B12" s="23" t="s">
        <v>15</v>
      </c>
      <c r="C12" s="29">
        <v>267.36</v>
      </c>
      <c r="D12" s="29">
        <v>1215.3</v>
      </c>
      <c r="E12" s="29">
        <v>11.08</v>
      </c>
      <c r="F12" s="30"/>
      <c r="G12" s="32">
        <v>0.75405932019917721</v>
      </c>
      <c r="L12" s="33">
        <v>9</v>
      </c>
      <c r="M12" s="23">
        <f ca="1"/>
        <v>1365.8604454303766</v>
      </c>
      <c r="N12" s="25">
        <f t="shared" si="0"/>
        <v>1106.9630000000002</v>
      </c>
      <c r="O12" s="25">
        <f t="shared" ca="1" si="1"/>
        <v>0</v>
      </c>
      <c r="P12" s="25">
        <f t="shared" ca="1" si="2"/>
        <v>0</v>
      </c>
    </row>
    <row r="13" spans="2:20" s="23" customFormat="1" ht="13.8">
      <c r="B13" s="23" t="s">
        <v>14</v>
      </c>
      <c r="C13" s="29">
        <v>359.84</v>
      </c>
      <c r="D13" s="29">
        <v>1353.86</v>
      </c>
      <c r="E13" s="29">
        <v>6.76</v>
      </c>
      <c r="F13" s="30"/>
      <c r="G13" s="32">
        <v>0.11401300090512634</v>
      </c>
      <c r="L13" s="23">
        <v>10</v>
      </c>
      <c r="M13" s="23">
        <f ca="1"/>
        <v>1639.2631491136424</v>
      </c>
      <c r="N13" s="25">
        <f t="shared" si="0"/>
        <v>1106.9630000000002</v>
      </c>
      <c r="O13" s="25">
        <f t="shared" ca="1" si="1"/>
        <v>0</v>
      </c>
      <c r="P13" s="25">
        <f t="shared" ca="1" si="2"/>
        <v>0</v>
      </c>
    </row>
    <row r="14" spans="2:20" s="23" customFormat="1" ht="13.8">
      <c r="B14" s="23" t="s">
        <v>13</v>
      </c>
      <c r="C14" s="29">
        <v>255.96</v>
      </c>
      <c r="D14" s="29">
        <v>940.52</v>
      </c>
      <c r="E14" s="29">
        <v>0.35</v>
      </c>
      <c r="F14" s="30"/>
      <c r="G14" s="32">
        <v>-0.30530483210967152</v>
      </c>
      <c r="L14" s="33">
        <v>11</v>
      </c>
      <c r="M14" s="23">
        <f ca="1"/>
        <v>674.22361392617847</v>
      </c>
      <c r="N14" s="25">
        <f t="shared" si="0"/>
        <v>1106.9630000000002</v>
      </c>
      <c r="O14" s="25">
        <f t="shared" ca="1" si="1"/>
        <v>1</v>
      </c>
      <c r="P14" s="25">
        <f t="shared" ca="1" si="2"/>
        <v>0.39092488734837716</v>
      </c>
    </row>
    <row r="15" spans="2:20" s="23" customFormat="1" ht="13.8">
      <c r="B15" s="23" t="s">
        <v>12</v>
      </c>
      <c r="C15" s="29">
        <v>266.69</v>
      </c>
      <c r="D15" s="29">
        <v>1013.63</v>
      </c>
      <c r="E15" s="29">
        <v>9.5399999999999991</v>
      </c>
      <c r="F15" s="30"/>
      <c r="G15" s="32">
        <v>7.7733594181941923E-2</v>
      </c>
      <c r="L15" s="23">
        <v>12</v>
      </c>
      <c r="M15" s="23">
        <f ca="1"/>
        <v>1770.3393513963993</v>
      </c>
      <c r="N15" s="25">
        <f t="shared" si="0"/>
        <v>1106.9630000000002</v>
      </c>
      <c r="O15" s="25">
        <f t="shared" ca="1" si="1"/>
        <v>0</v>
      </c>
      <c r="P15" s="25">
        <f t="shared" ca="1" si="2"/>
        <v>0</v>
      </c>
    </row>
    <row r="16" spans="2:20" s="23" customFormat="1" ht="13.8">
      <c r="B16" s="23" t="s">
        <v>11</v>
      </c>
      <c r="C16" s="29">
        <v>284.42</v>
      </c>
      <c r="D16" s="29">
        <v>1071.9100000000001</v>
      </c>
      <c r="E16" s="29">
        <v>2.59</v>
      </c>
      <c r="F16" s="30"/>
      <c r="G16" s="32">
        <v>5.7496325089036571E-2</v>
      </c>
      <c r="L16" s="33">
        <v>13</v>
      </c>
      <c r="M16" s="23">
        <f ca="1"/>
        <v>978.91860357682413</v>
      </c>
      <c r="N16" s="25">
        <f t="shared" si="0"/>
        <v>1106.9630000000002</v>
      </c>
      <c r="O16" s="25">
        <f t="shared" ca="1" si="1"/>
        <v>1</v>
      </c>
      <c r="P16" s="25">
        <f t="shared" ca="1" si="2"/>
        <v>0.1156717942904831</v>
      </c>
    </row>
    <row r="17" spans="2:16" s="23" customFormat="1" ht="13.8">
      <c r="B17" s="23" t="s">
        <v>10</v>
      </c>
      <c r="C17" s="29">
        <v>196.61</v>
      </c>
      <c r="D17" s="29">
        <v>972.94</v>
      </c>
      <c r="E17" s="29">
        <v>6.26</v>
      </c>
      <c r="F17" s="30"/>
      <c r="G17" s="32">
        <v>-9.2330512822904942E-2</v>
      </c>
      <c r="L17" s="23">
        <v>14</v>
      </c>
      <c r="M17" s="23">
        <f ca="1"/>
        <v>912.41151372529293</v>
      </c>
      <c r="N17" s="25">
        <f t="shared" si="0"/>
        <v>1106.9630000000002</v>
      </c>
      <c r="O17" s="25">
        <f t="shared" ca="1" si="1"/>
        <v>1</v>
      </c>
      <c r="P17" s="25">
        <f t="shared" ca="1" si="2"/>
        <v>0.17575247435976382</v>
      </c>
    </row>
    <row r="18" spans="2:16" s="23" customFormat="1" ht="13.8">
      <c r="B18" s="23" t="s">
        <v>9</v>
      </c>
      <c r="C18" s="29">
        <v>314.89</v>
      </c>
      <c r="D18" s="29">
        <v>1055.3</v>
      </c>
      <c r="E18" s="29">
        <v>223.52</v>
      </c>
      <c r="F18" s="30"/>
      <c r="G18" s="32">
        <v>8.465064649413101E-2</v>
      </c>
      <c r="L18" s="33">
        <v>15</v>
      </c>
      <c r="M18" s="23">
        <f ca="1"/>
        <v>1680.277636957064</v>
      </c>
      <c r="N18" s="25">
        <f t="shared" si="0"/>
        <v>1106.9630000000002</v>
      </c>
      <c r="O18" s="25">
        <f t="shared" ca="1" si="1"/>
        <v>0</v>
      </c>
      <c r="P18" s="25">
        <f t="shared" ca="1" si="2"/>
        <v>0</v>
      </c>
    </row>
    <row r="19" spans="2:16" s="23" customFormat="1" ht="13.8">
      <c r="B19" s="23" t="s">
        <v>8</v>
      </c>
      <c r="C19" s="29">
        <v>397.9</v>
      </c>
      <c r="D19" s="29">
        <v>1147.0999999999999</v>
      </c>
      <c r="E19" s="29">
        <v>184.31</v>
      </c>
      <c r="F19" s="30"/>
      <c r="G19" s="32">
        <v>8.6989481663981794E-2</v>
      </c>
      <c r="L19" s="23">
        <v>16</v>
      </c>
      <c r="M19" s="23">
        <f ca="1"/>
        <v>1332.183999719246</v>
      </c>
      <c r="N19" s="25">
        <f t="shared" si="0"/>
        <v>1106.9630000000002</v>
      </c>
      <c r="O19" s="25">
        <f t="shared" ca="1" si="1"/>
        <v>0</v>
      </c>
      <c r="P19" s="25">
        <f t="shared" ca="1" si="2"/>
        <v>0</v>
      </c>
    </row>
    <row r="20" spans="2:16" s="23" customFormat="1" ht="13.8">
      <c r="B20" s="23" t="s">
        <v>7</v>
      </c>
      <c r="C20" s="29">
        <v>451.28</v>
      </c>
      <c r="D20" s="29">
        <v>1164.24</v>
      </c>
      <c r="E20" s="29">
        <v>588.21</v>
      </c>
      <c r="F20" s="30"/>
      <c r="G20" s="32">
        <v>1.4942027722081752E-2</v>
      </c>
      <c r="L20" s="33">
        <v>17</v>
      </c>
      <c r="M20" s="23">
        <f ca="1"/>
        <v>1615.0790015021671</v>
      </c>
      <c r="N20" s="25">
        <f t="shared" si="0"/>
        <v>1106.9630000000002</v>
      </c>
      <c r="O20" s="25">
        <f t="shared" ca="1" si="1"/>
        <v>0</v>
      </c>
      <c r="P20" s="25">
        <f t="shared" ca="1" si="2"/>
        <v>0</v>
      </c>
    </row>
    <row r="21" spans="2:16" s="23" customFormat="1" ht="13.8">
      <c r="B21" s="23" t="s">
        <v>6</v>
      </c>
      <c r="C21" s="29">
        <v>446.38</v>
      </c>
      <c r="D21" s="29">
        <v>1216.74</v>
      </c>
      <c r="E21" s="29">
        <v>559.95000000000005</v>
      </c>
      <c r="F21" s="30"/>
      <c r="G21" s="32">
        <v>4.5093795093795075E-2</v>
      </c>
      <c r="L21" s="23">
        <v>18</v>
      </c>
      <c r="M21" s="23">
        <f ca="1"/>
        <v>1031.3377038222677</v>
      </c>
      <c r="N21" s="25">
        <f t="shared" si="0"/>
        <v>1106.9630000000002</v>
      </c>
      <c r="O21" s="25">
        <f t="shared" ca="1" si="1"/>
        <v>1</v>
      </c>
      <c r="P21" s="25">
        <f t="shared" ca="1" si="2"/>
        <v>6.831781746791217E-2</v>
      </c>
    </row>
    <row r="22" spans="2:16" s="23" customFormat="1" ht="13.8">
      <c r="C22" s="29"/>
      <c r="D22" s="29"/>
      <c r="E22" s="29"/>
      <c r="F22" s="30"/>
      <c r="G22" s="32"/>
      <c r="L22" s="33">
        <v>19</v>
      </c>
      <c r="M22" s="23">
        <f ca="1"/>
        <v>1193.8603791928299</v>
      </c>
      <c r="N22" s="25">
        <f t="shared" si="0"/>
        <v>1106.9630000000002</v>
      </c>
      <c r="O22" s="25">
        <f t="shared" ca="1" si="1"/>
        <v>0</v>
      </c>
      <c r="P22" s="25">
        <f t="shared" ca="1" si="2"/>
        <v>0</v>
      </c>
    </row>
    <row r="23" spans="2:16" s="23" customFormat="1" ht="13.8">
      <c r="C23" s="29"/>
      <c r="D23" s="29"/>
      <c r="E23" s="29"/>
      <c r="F23" s="30"/>
      <c r="G23" s="32"/>
      <c r="L23" s="23">
        <v>20</v>
      </c>
      <c r="M23" s="23">
        <f ca="1"/>
        <v>1079.7359195511942</v>
      </c>
      <c r="N23" s="25">
        <f t="shared" si="0"/>
        <v>1106.9630000000002</v>
      </c>
      <c r="O23" s="25">
        <f t="shared" ca="1" si="1"/>
        <v>1</v>
      </c>
      <c r="P23" s="25">
        <f t="shared" ca="1" si="2"/>
        <v>2.4596197387632614E-2</v>
      </c>
    </row>
    <row r="24" spans="2:16" s="23" customFormat="1" ht="13.8">
      <c r="C24" s="30"/>
      <c r="D24" s="30"/>
      <c r="E24" s="30"/>
      <c r="F24" s="30"/>
      <c r="G24" s="32"/>
      <c r="L24" s="33">
        <v>21</v>
      </c>
      <c r="M24" s="23">
        <f ca="1"/>
        <v>1590.8736179548082</v>
      </c>
      <c r="N24" s="25">
        <f t="shared" si="0"/>
        <v>1106.9630000000002</v>
      </c>
      <c r="O24" s="25">
        <f t="shared" ca="1" si="1"/>
        <v>0</v>
      </c>
      <c r="P24" s="25">
        <f t="shared" ca="1" si="2"/>
        <v>0</v>
      </c>
    </row>
    <row r="25" spans="2:16" s="23" customFormat="1" ht="13.8">
      <c r="L25" s="23">
        <v>22</v>
      </c>
      <c r="M25" s="23">
        <f ca="1"/>
        <v>1975.4705145038643</v>
      </c>
      <c r="N25" s="25">
        <f t="shared" si="0"/>
        <v>1106.9630000000002</v>
      </c>
      <c r="O25" s="25">
        <f t="shared" ca="1" si="1"/>
        <v>0</v>
      </c>
      <c r="P25" s="25">
        <f t="shared" ca="1" si="2"/>
        <v>0</v>
      </c>
    </row>
    <row r="26" spans="2:16" s="23" customFormat="1" ht="13.8">
      <c r="L26" s="33">
        <v>23</v>
      </c>
      <c r="M26" s="23">
        <f ca="1"/>
        <v>957.95733108036404</v>
      </c>
      <c r="N26" s="25">
        <f t="shared" si="0"/>
        <v>1106.9630000000002</v>
      </c>
      <c r="O26" s="25">
        <f t="shared" ca="1" si="1"/>
        <v>1</v>
      </c>
      <c r="P26" s="25">
        <f t="shared" ca="1" si="2"/>
        <v>0.13460763270284204</v>
      </c>
    </row>
    <row r="27" spans="2:16" s="23" customFormat="1" ht="13.8">
      <c r="L27" s="23">
        <v>24</v>
      </c>
      <c r="M27" s="23">
        <f ca="1"/>
        <v>904.21788295608246</v>
      </c>
      <c r="N27" s="25">
        <f t="shared" si="0"/>
        <v>1106.9630000000002</v>
      </c>
      <c r="O27" s="25">
        <f t="shared" ca="1" si="1"/>
        <v>1</v>
      </c>
      <c r="P27" s="25">
        <f t="shared" ca="1" si="2"/>
        <v>0.18315437556984082</v>
      </c>
    </row>
    <row r="28" spans="2:16" s="23" customFormat="1" ht="13.8">
      <c r="L28" s="33">
        <v>25</v>
      </c>
      <c r="M28" s="23">
        <f ca="1"/>
        <v>1750.2953847234085</v>
      </c>
      <c r="N28" s="25">
        <f t="shared" si="0"/>
        <v>1106.9630000000002</v>
      </c>
      <c r="O28" s="25">
        <f t="shared" ca="1" si="1"/>
        <v>0</v>
      </c>
      <c r="P28" s="25">
        <f t="shared" ca="1" si="2"/>
        <v>0</v>
      </c>
    </row>
    <row r="29" spans="2:16" s="23" customFormat="1" ht="13.8">
      <c r="L29" s="23">
        <v>26</v>
      </c>
      <c r="M29" s="23">
        <f ca="1"/>
        <v>1939.9494015518117</v>
      </c>
      <c r="N29" s="25">
        <f t="shared" si="0"/>
        <v>1106.9630000000002</v>
      </c>
      <c r="O29" s="25">
        <f t="shared" ca="1" si="1"/>
        <v>0</v>
      </c>
      <c r="P29" s="25">
        <f t="shared" ca="1" si="2"/>
        <v>0</v>
      </c>
    </row>
    <row r="30" spans="2:16" s="23" customFormat="1" ht="13.8">
      <c r="L30" s="33">
        <v>27</v>
      </c>
      <c r="M30" s="23">
        <f ca="1"/>
        <v>2122.6546468140832</v>
      </c>
      <c r="N30" s="25">
        <f t="shared" si="0"/>
        <v>1106.9630000000002</v>
      </c>
      <c r="O30" s="25">
        <f t="shared" ca="1" si="1"/>
        <v>0</v>
      </c>
      <c r="P30" s="25">
        <f t="shared" ca="1" si="2"/>
        <v>0</v>
      </c>
    </row>
    <row r="31" spans="2:16" s="23" customFormat="1" ht="13.8">
      <c r="L31" s="23">
        <v>28</v>
      </c>
      <c r="M31" s="23">
        <f ca="1"/>
        <v>2108.1931535662206</v>
      </c>
      <c r="N31" s="25">
        <f t="shared" si="0"/>
        <v>1106.9630000000002</v>
      </c>
      <c r="O31" s="25">
        <f t="shared" ca="1" si="1"/>
        <v>0</v>
      </c>
      <c r="P31" s="25">
        <f t="shared" ca="1" si="2"/>
        <v>0</v>
      </c>
    </row>
    <row r="32" spans="2:16" s="23" customFormat="1" ht="13.8">
      <c r="L32" s="33">
        <v>29</v>
      </c>
      <c r="M32" s="23">
        <f ca="1"/>
        <v>1736.3742405359178</v>
      </c>
      <c r="N32" s="25">
        <f t="shared" si="0"/>
        <v>1106.9630000000002</v>
      </c>
      <c r="O32" s="25">
        <f t="shared" ca="1" si="1"/>
        <v>0</v>
      </c>
      <c r="P32" s="25">
        <f t="shared" ca="1" si="2"/>
        <v>0</v>
      </c>
    </row>
    <row r="33" spans="12:16" s="23" customFormat="1" ht="13.8">
      <c r="L33" s="23">
        <v>30</v>
      </c>
      <c r="M33" s="23">
        <f ca="1"/>
        <v>1516.6853631499432</v>
      </c>
      <c r="N33" s="25">
        <f t="shared" si="0"/>
        <v>1106.9630000000002</v>
      </c>
      <c r="O33" s="25">
        <f t="shared" ca="1" si="1"/>
        <v>0</v>
      </c>
      <c r="P33" s="25">
        <f t="shared" ca="1" si="2"/>
        <v>0</v>
      </c>
    </row>
    <row r="34" spans="12:16" s="23" customFormat="1" ht="13.8">
      <c r="L34" s="33">
        <v>31</v>
      </c>
      <c r="M34" s="23">
        <f ca="1"/>
        <v>1696.008440739929</v>
      </c>
      <c r="N34" s="25">
        <f t="shared" si="0"/>
        <v>1106.9630000000002</v>
      </c>
      <c r="O34" s="25">
        <f t="shared" ca="1" si="1"/>
        <v>0</v>
      </c>
      <c r="P34" s="25">
        <f t="shared" ca="1" si="2"/>
        <v>0</v>
      </c>
    </row>
    <row r="35" spans="12:16" s="23" customFormat="1" ht="13.8">
      <c r="L35" s="23">
        <v>32</v>
      </c>
      <c r="M35" s="23">
        <f ca="1"/>
        <v>729.32172863565017</v>
      </c>
      <c r="N35" s="25">
        <f t="shared" si="0"/>
        <v>1106.9630000000002</v>
      </c>
      <c r="O35" s="25">
        <f t="shared" ca="1" si="1"/>
        <v>1</v>
      </c>
      <c r="P35" s="25">
        <f t="shared" ca="1" si="2"/>
        <v>0.34115076236906738</v>
      </c>
    </row>
    <row r="36" spans="12:16" s="23" customFormat="1" ht="13.8">
      <c r="L36" s="33">
        <v>33</v>
      </c>
      <c r="M36" s="23">
        <f ca="1"/>
        <v>1396.2991158886616</v>
      </c>
      <c r="N36" s="25">
        <f t="shared" si="0"/>
        <v>1106.9630000000002</v>
      </c>
      <c r="O36" s="25">
        <f t="shared" ca="1" si="1"/>
        <v>0</v>
      </c>
      <c r="P36" s="25">
        <f t="shared" ca="1" si="2"/>
        <v>0</v>
      </c>
    </row>
    <row r="37" spans="12:16" s="23" customFormat="1" ht="13.8">
      <c r="L37" s="23">
        <v>34</v>
      </c>
      <c r="M37" s="23">
        <f ca="1"/>
        <v>1808.699986573698</v>
      </c>
      <c r="N37" s="25">
        <f t="shared" si="0"/>
        <v>1106.9630000000002</v>
      </c>
      <c r="O37" s="25">
        <f t="shared" ca="1" si="1"/>
        <v>0</v>
      </c>
      <c r="P37" s="25">
        <f t="shared" ca="1" si="2"/>
        <v>0</v>
      </c>
    </row>
    <row r="38" spans="12:16" s="23" customFormat="1" ht="13.8">
      <c r="L38" s="33">
        <v>35</v>
      </c>
      <c r="M38" s="23">
        <f ca="1"/>
        <v>1311.0348827722107</v>
      </c>
      <c r="N38" s="25">
        <f t="shared" si="0"/>
        <v>1106.9630000000002</v>
      </c>
      <c r="O38" s="25">
        <f t="shared" ca="1" si="1"/>
        <v>0</v>
      </c>
      <c r="P38" s="25">
        <f t="shared" ca="1" si="2"/>
        <v>0</v>
      </c>
    </row>
    <row r="39" spans="12:16" s="23" customFormat="1" ht="13.8">
      <c r="L39" s="23">
        <v>36</v>
      </c>
      <c r="M39" s="23">
        <f ca="1"/>
        <v>758.92775955586899</v>
      </c>
      <c r="N39" s="25">
        <f t="shared" si="0"/>
        <v>1106.9630000000002</v>
      </c>
      <c r="O39" s="25">
        <f t="shared" ca="1" si="1"/>
        <v>1</v>
      </c>
      <c r="P39" s="25">
        <f t="shared" ca="1" si="2"/>
        <v>0.31440548640210297</v>
      </c>
    </row>
    <row r="40" spans="12:16" s="23" customFormat="1" ht="13.8">
      <c r="L40" s="33">
        <v>37</v>
      </c>
      <c r="M40" s="23">
        <f ca="1"/>
        <v>2177.7073864942749</v>
      </c>
      <c r="N40" s="25">
        <f t="shared" si="0"/>
        <v>1106.9630000000002</v>
      </c>
      <c r="O40" s="25">
        <f t="shared" ca="1" si="1"/>
        <v>0</v>
      </c>
      <c r="P40" s="25">
        <f t="shared" ca="1" si="2"/>
        <v>0</v>
      </c>
    </row>
    <row r="41" spans="12:16" s="23" customFormat="1" ht="13.8">
      <c r="L41" s="23">
        <v>38</v>
      </c>
      <c r="M41" s="23">
        <f ca="1"/>
        <v>1342.9102213453932</v>
      </c>
      <c r="N41" s="25">
        <f t="shared" si="0"/>
        <v>1106.9630000000002</v>
      </c>
      <c r="O41" s="25">
        <f t="shared" ca="1" si="1"/>
        <v>0</v>
      </c>
      <c r="P41" s="25">
        <f t="shared" ca="1" si="2"/>
        <v>0</v>
      </c>
    </row>
    <row r="42" spans="12:16" s="23" customFormat="1" ht="13.8">
      <c r="L42" s="33">
        <v>39</v>
      </c>
      <c r="M42" s="23">
        <f ca="1"/>
        <v>1008.7069065067558</v>
      </c>
      <c r="N42" s="25">
        <f t="shared" si="0"/>
        <v>1106.9630000000002</v>
      </c>
      <c r="O42" s="25">
        <f t="shared" ca="1" si="1"/>
        <v>1</v>
      </c>
      <c r="P42" s="25">
        <f t="shared" ca="1" si="2"/>
        <v>8.8761858791345682E-2</v>
      </c>
    </row>
    <row r="43" spans="12:16" s="23" customFormat="1" ht="13.8">
      <c r="L43" s="23">
        <v>40</v>
      </c>
      <c r="M43" s="23">
        <f ca="1"/>
        <v>1419.561489862605</v>
      </c>
      <c r="N43" s="25">
        <f t="shared" si="0"/>
        <v>1106.9630000000002</v>
      </c>
      <c r="O43" s="25">
        <f t="shared" ca="1" si="1"/>
        <v>0</v>
      </c>
      <c r="P43" s="25">
        <f t="shared" ca="1" si="2"/>
        <v>0</v>
      </c>
    </row>
    <row r="44" spans="12:16" s="23" customFormat="1" ht="13.8">
      <c r="L44" s="33">
        <v>41</v>
      </c>
      <c r="M44" s="23">
        <f ca="1"/>
        <v>1618.5044268061799</v>
      </c>
      <c r="N44" s="25">
        <f t="shared" si="0"/>
        <v>1106.9630000000002</v>
      </c>
      <c r="O44" s="25">
        <f t="shared" ca="1" si="1"/>
        <v>0</v>
      </c>
      <c r="P44" s="25">
        <f t="shared" ca="1" si="2"/>
        <v>0</v>
      </c>
    </row>
    <row r="45" spans="12:16" s="23" customFormat="1" ht="13.8">
      <c r="L45" s="23">
        <v>42</v>
      </c>
      <c r="M45" s="23">
        <f ca="1"/>
        <v>1377.4765437879466</v>
      </c>
      <c r="N45" s="25">
        <f t="shared" si="0"/>
        <v>1106.9630000000002</v>
      </c>
      <c r="O45" s="25">
        <f t="shared" ca="1" si="1"/>
        <v>0</v>
      </c>
      <c r="P45" s="25">
        <f t="shared" ca="1" si="2"/>
        <v>0</v>
      </c>
    </row>
    <row r="46" spans="12:16" s="23" customFormat="1" ht="13.8">
      <c r="L46" s="33">
        <v>43</v>
      </c>
      <c r="M46" s="23">
        <f ca="1"/>
        <v>1252.829852788044</v>
      </c>
      <c r="N46" s="25">
        <f t="shared" si="0"/>
        <v>1106.9630000000002</v>
      </c>
      <c r="O46" s="25">
        <f t="shared" ca="1" si="1"/>
        <v>0</v>
      </c>
      <c r="P46" s="25">
        <f t="shared" ca="1" si="2"/>
        <v>0</v>
      </c>
    </row>
    <row r="47" spans="12:16" s="23" customFormat="1" ht="13.8">
      <c r="L47" s="23">
        <v>44</v>
      </c>
      <c r="M47" s="23">
        <f ca="1"/>
        <v>1866.2330157126721</v>
      </c>
      <c r="N47" s="25">
        <f t="shared" si="0"/>
        <v>1106.9630000000002</v>
      </c>
      <c r="O47" s="25">
        <f t="shared" ca="1" si="1"/>
        <v>0</v>
      </c>
      <c r="P47" s="25">
        <f t="shared" ca="1" si="2"/>
        <v>0</v>
      </c>
    </row>
    <row r="48" spans="12:16" s="23" customFormat="1" ht="13.8">
      <c r="L48" s="33">
        <v>45</v>
      </c>
      <c r="M48" s="23">
        <f ca="1"/>
        <v>1622.3057309609851</v>
      </c>
      <c r="N48" s="25">
        <f t="shared" si="0"/>
        <v>1106.9630000000002</v>
      </c>
      <c r="O48" s="25">
        <f t="shared" ca="1" si="1"/>
        <v>0</v>
      </c>
      <c r="P48" s="25">
        <f t="shared" ca="1" si="2"/>
        <v>0</v>
      </c>
    </row>
    <row r="49" spans="12:16" s="23" customFormat="1" ht="13.8">
      <c r="L49" s="23">
        <v>46</v>
      </c>
      <c r="M49" s="23">
        <f ca="1"/>
        <v>1823.1965349122838</v>
      </c>
      <c r="N49" s="25">
        <f t="shared" si="0"/>
        <v>1106.9630000000002</v>
      </c>
      <c r="O49" s="25">
        <f t="shared" ca="1" si="1"/>
        <v>0</v>
      </c>
      <c r="P49" s="25">
        <f t="shared" ca="1" si="2"/>
        <v>0</v>
      </c>
    </row>
    <row r="50" spans="12:16" s="23" customFormat="1" ht="13.8">
      <c r="L50" s="33">
        <v>47</v>
      </c>
      <c r="M50" s="23">
        <f ca="1"/>
        <v>1577.2229995774455</v>
      </c>
      <c r="N50" s="25">
        <f t="shared" si="0"/>
        <v>1106.9630000000002</v>
      </c>
      <c r="O50" s="25">
        <f t="shared" ca="1" si="1"/>
        <v>0</v>
      </c>
      <c r="P50" s="25">
        <f t="shared" ca="1" si="2"/>
        <v>0</v>
      </c>
    </row>
    <row r="51" spans="12:16" s="23" customFormat="1" ht="13.8">
      <c r="L51" s="23">
        <v>48</v>
      </c>
      <c r="M51" s="23">
        <f ca="1"/>
        <v>2140.2816988403838</v>
      </c>
      <c r="N51" s="25">
        <f t="shared" si="0"/>
        <v>1106.9630000000002</v>
      </c>
      <c r="O51" s="25">
        <f t="shared" ca="1" si="1"/>
        <v>0</v>
      </c>
      <c r="P51" s="25">
        <f t="shared" ca="1" si="2"/>
        <v>0</v>
      </c>
    </row>
    <row r="52" spans="12:16" s="23" customFormat="1" ht="13.8">
      <c r="L52" s="33">
        <v>49</v>
      </c>
      <c r="M52" s="23">
        <f ca="1"/>
        <v>1079.9479502558218</v>
      </c>
      <c r="N52" s="25">
        <f t="shared" si="0"/>
        <v>1106.9630000000002</v>
      </c>
      <c r="O52" s="25">
        <f t="shared" ca="1" si="1"/>
        <v>1</v>
      </c>
      <c r="P52" s="25">
        <f t="shared" ca="1" si="2"/>
        <v>2.4404654667029013E-2</v>
      </c>
    </row>
    <row r="53" spans="12:16" s="23" customFormat="1" ht="13.8">
      <c r="L53" s="23">
        <v>50</v>
      </c>
      <c r="M53" s="23">
        <f ca="1"/>
        <v>2675.724103077524</v>
      </c>
      <c r="N53" s="25">
        <f t="shared" si="0"/>
        <v>1106.9630000000002</v>
      </c>
      <c r="O53" s="25">
        <f t="shared" ca="1" si="1"/>
        <v>0</v>
      </c>
      <c r="P53" s="25">
        <f t="shared" ca="1" si="2"/>
        <v>0</v>
      </c>
    </row>
    <row r="54" spans="12:16" s="23" customFormat="1" ht="13.8">
      <c r="L54" s="33">
        <v>51</v>
      </c>
      <c r="M54" s="23">
        <f ca="1"/>
        <v>2138.5078688098156</v>
      </c>
      <c r="N54" s="25">
        <f t="shared" si="0"/>
        <v>1106.9630000000002</v>
      </c>
      <c r="O54" s="25">
        <f t="shared" ca="1" si="1"/>
        <v>0</v>
      </c>
      <c r="P54" s="25">
        <f t="shared" ca="1" si="2"/>
        <v>0</v>
      </c>
    </row>
    <row r="55" spans="12:16" s="23" customFormat="1" ht="13.8">
      <c r="L55" s="23">
        <v>52</v>
      </c>
      <c r="M55" s="23">
        <f ca="1"/>
        <v>590.73576219208462</v>
      </c>
      <c r="N55" s="25">
        <f t="shared" si="0"/>
        <v>1106.9630000000002</v>
      </c>
      <c r="O55" s="25">
        <f t="shared" ca="1" si="1"/>
        <v>1</v>
      </c>
      <c r="P55" s="25">
        <f t="shared" ca="1" si="2"/>
        <v>0.46634552176352367</v>
      </c>
    </row>
    <row r="56" spans="12:16" s="23" customFormat="1" ht="13.8">
      <c r="L56" s="33">
        <v>53</v>
      </c>
      <c r="M56" s="23">
        <f ca="1"/>
        <v>1521.0921949345573</v>
      </c>
      <c r="N56" s="25">
        <f t="shared" si="0"/>
        <v>1106.9630000000002</v>
      </c>
      <c r="O56" s="25">
        <f t="shared" ca="1" si="1"/>
        <v>0</v>
      </c>
      <c r="P56" s="25">
        <f t="shared" ca="1" si="2"/>
        <v>0</v>
      </c>
    </row>
    <row r="57" spans="12:16" s="23" customFormat="1" ht="13.8">
      <c r="L57" s="23">
        <v>54</v>
      </c>
      <c r="M57" s="23">
        <f ca="1"/>
        <v>1329.5333970179324</v>
      </c>
      <c r="N57" s="25">
        <f t="shared" si="0"/>
        <v>1106.9630000000002</v>
      </c>
      <c r="O57" s="25">
        <f t="shared" ca="1" si="1"/>
        <v>0</v>
      </c>
      <c r="P57" s="25">
        <f t="shared" ca="1" si="2"/>
        <v>0</v>
      </c>
    </row>
    <row r="58" spans="12:16" s="23" customFormat="1" ht="13.8">
      <c r="L58" s="33">
        <v>55</v>
      </c>
      <c r="M58" s="23">
        <f ca="1"/>
        <v>2074.4376075091227</v>
      </c>
      <c r="N58" s="25">
        <f t="shared" si="0"/>
        <v>1106.9630000000002</v>
      </c>
      <c r="O58" s="25">
        <f t="shared" ca="1" si="1"/>
        <v>0</v>
      </c>
      <c r="P58" s="25">
        <f t="shared" ca="1" si="2"/>
        <v>0</v>
      </c>
    </row>
    <row r="59" spans="12:16" s="23" customFormat="1" ht="13.8">
      <c r="L59" s="23">
        <v>56</v>
      </c>
      <c r="M59" s="23">
        <f ca="1"/>
        <v>1839.8114936753143</v>
      </c>
      <c r="N59" s="25">
        <f t="shared" si="0"/>
        <v>1106.9630000000002</v>
      </c>
      <c r="O59" s="25">
        <f t="shared" ca="1" si="1"/>
        <v>0</v>
      </c>
      <c r="P59" s="25">
        <f t="shared" ca="1" si="2"/>
        <v>0</v>
      </c>
    </row>
    <row r="60" spans="12:16" s="23" customFormat="1" ht="13.8">
      <c r="L60" s="33">
        <v>57</v>
      </c>
      <c r="M60" s="23">
        <f ca="1"/>
        <v>1769.1436207352344</v>
      </c>
      <c r="N60" s="25">
        <f t="shared" si="0"/>
        <v>1106.9630000000002</v>
      </c>
      <c r="O60" s="25">
        <f t="shared" ca="1" si="1"/>
        <v>0</v>
      </c>
      <c r="P60" s="25">
        <f t="shared" ca="1" si="2"/>
        <v>0</v>
      </c>
    </row>
    <row r="61" spans="12:16" s="23" customFormat="1" ht="13.8">
      <c r="L61" s="23">
        <v>58</v>
      </c>
      <c r="M61" s="23">
        <f ca="1"/>
        <v>2338.1248190306487</v>
      </c>
      <c r="N61" s="25">
        <f t="shared" si="0"/>
        <v>1106.9630000000002</v>
      </c>
      <c r="O61" s="25">
        <f t="shared" ca="1" si="1"/>
        <v>0</v>
      </c>
      <c r="P61" s="25">
        <f t="shared" ca="1" si="2"/>
        <v>0</v>
      </c>
    </row>
    <row r="62" spans="12:16" s="23" customFormat="1" ht="13.8">
      <c r="L62" s="33">
        <v>59</v>
      </c>
      <c r="M62" s="23">
        <f ca="1"/>
        <v>1744.4358184169137</v>
      </c>
      <c r="N62" s="25">
        <f t="shared" si="0"/>
        <v>1106.9630000000002</v>
      </c>
      <c r="O62" s="25">
        <f t="shared" ca="1" si="1"/>
        <v>0</v>
      </c>
      <c r="P62" s="25">
        <f t="shared" ca="1" si="2"/>
        <v>0</v>
      </c>
    </row>
    <row r="63" spans="12:16" s="23" customFormat="1" ht="13.8">
      <c r="L63" s="23">
        <v>60</v>
      </c>
      <c r="M63" s="23">
        <f ca="1"/>
        <v>2591.7102315155053</v>
      </c>
      <c r="N63" s="25">
        <f t="shared" si="0"/>
        <v>1106.9630000000002</v>
      </c>
      <c r="O63" s="25">
        <f t="shared" ca="1" si="1"/>
        <v>0</v>
      </c>
      <c r="P63" s="25">
        <f t="shared" ca="1" si="2"/>
        <v>0</v>
      </c>
    </row>
    <row r="64" spans="12:16" s="23" customFormat="1" ht="13.8">
      <c r="L64" s="33">
        <v>61</v>
      </c>
      <c r="M64" s="23">
        <f ca="1"/>
        <v>2127.0934923688005</v>
      </c>
      <c r="N64" s="25">
        <f t="shared" si="0"/>
        <v>1106.9630000000002</v>
      </c>
      <c r="O64" s="25">
        <f t="shared" ca="1" si="1"/>
        <v>0</v>
      </c>
      <c r="P64" s="25">
        <f t="shared" ca="1" si="2"/>
        <v>0</v>
      </c>
    </row>
    <row r="65" spans="12:16" s="23" customFormat="1" ht="13.8">
      <c r="L65" s="23">
        <v>62</v>
      </c>
      <c r="M65" s="23">
        <f ca="1"/>
        <v>2494.2532551908653</v>
      </c>
      <c r="N65" s="25">
        <f t="shared" si="0"/>
        <v>1106.9630000000002</v>
      </c>
      <c r="O65" s="25">
        <f t="shared" ca="1" si="1"/>
        <v>0</v>
      </c>
      <c r="P65" s="25">
        <f t="shared" ca="1" si="2"/>
        <v>0</v>
      </c>
    </row>
    <row r="66" spans="12:16" s="23" customFormat="1" ht="13.8">
      <c r="L66" s="33">
        <v>63</v>
      </c>
      <c r="M66" s="23">
        <f ca="1"/>
        <v>1231.7752893540548</v>
      </c>
      <c r="N66" s="25">
        <f t="shared" si="0"/>
        <v>1106.9630000000002</v>
      </c>
      <c r="O66" s="25">
        <f t="shared" ca="1" si="1"/>
        <v>0</v>
      </c>
      <c r="P66" s="25">
        <f t="shared" ca="1" si="2"/>
        <v>0</v>
      </c>
    </row>
    <row r="67" spans="12:16" s="23" customFormat="1" ht="13.8">
      <c r="L67" s="23">
        <v>64</v>
      </c>
      <c r="M67" s="23">
        <f ca="1"/>
        <v>1341.1969717784018</v>
      </c>
      <c r="N67" s="25">
        <f t="shared" si="0"/>
        <v>1106.9630000000002</v>
      </c>
      <c r="O67" s="25">
        <f t="shared" ca="1" si="1"/>
        <v>0</v>
      </c>
      <c r="P67" s="25">
        <f t="shared" ca="1" si="2"/>
        <v>0</v>
      </c>
    </row>
    <row r="68" spans="12:16" s="23" customFormat="1" ht="13.8">
      <c r="L68" s="33">
        <v>65</v>
      </c>
      <c r="M68" s="23">
        <f ca="1"/>
        <v>1662.0025191489622</v>
      </c>
      <c r="N68" s="25">
        <f t="shared" ref="N68:N131" si="3">($C$21+$E$21)*1.1</f>
        <v>1106.9630000000002</v>
      </c>
      <c r="O68" s="25">
        <f t="shared" ca="1" si="1"/>
        <v>0</v>
      </c>
      <c r="P68" s="25">
        <f t="shared" ca="1" si="2"/>
        <v>0</v>
      </c>
    </row>
    <row r="69" spans="12:16" s="23" customFormat="1" ht="13.8">
      <c r="L69" s="23">
        <v>66</v>
      </c>
      <c r="M69" s="23">
        <f ca="1"/>
        <v>948.47102168067431</v>
      </c>
      <c r="N69" s="25">
        <f t="shared" si="3"/>
        <v>1106.9630000000002</v>
      </c>
      <c r="O69" s="25">
        <f t="shared" ref="O69:O132" ca="1" si="4">IF(M69&lt;N69,1,0)</f>
        <v>1</v>
      </c>
      <c r="P69" s="25">
        <f t="shared" ref="P69:P132" ca="1" si="5">MAX((N69-M69)/N69,0)</f>
        <v>0.14317730431760217</v>
      </c>
    </row>
    <row r="70" spans="12:16" s="23" customFormat="1" ht="13.8">
      <c r="L70" s="33">
        <v>67</v>
      </c>
      <c r="M70" s="23">
        <f ca="1"/>
        <v>546.46660878024682</v>
      </c>
      <c r="N70" s="25">
        <f t="shared" si="3"/>
        <v>1106.9630000000002</v>
      </c>
      <c r="O70" s="25">
        <f t="shared" ca="1" si="4"/>
        <v>1</v>
      </c>
      <c r="P70" s="25">
        <f t="shared" ca="1" si="5"/>
        <v>0.50633706024478986</v>
      </c>
    </row>
    <row r="71" spans="12:16" s="23" customFormat="1" ht="13.8">
      <c r="L71" s="23">
        <v>68</v>
      </c>
      <c r="M71" s="23">
        <f ca="1"/>
        <v>3138.7098194853506</v>
      </c>
      <c r="N71" s="25">
        <f t="shared" si="3"/>
        <v>1106.9630000000002</v>
      </c>
      <c r="O71" s="25">
        <f t="shared" ca="1" si="4"/>
        <v>0</v>
      </c>
      <c r="P71" s="25">
        <f t="shared" ca="1" si="5"/>
        <v>0</v>
      </c>
    </row>
    <row r="72" spans="12:16" s="23" customFormat="1" ht="13.8">
      <c r="L72" s="33">
        <v>69</v>
      </c>
      <c r="M72" s="23">
        <f ca="1"/>
        <v>1924.7669039582411</v>
      </c>
      <c r="N72" s="25">
        <f t="shared" si="3"/>
        <v>1106.9630000000002</v>
      </c>
      <c r="O72" s="25">
        <f t="shared" ca="1" si="4"/>
        <v>0</v>
      </c>
      <c r="P72" s="25">
        <f t="shared" ca="1" si="5"/>
        <v>0</v>
      </c>
    </row>
    <row r="73" spans="12:16" s="23" customFormat="1" ht="13.8">
      <c r="L73" s="23">
        <v>70</v>
      </c>
      <c r="M73" s="23">
        <f ca="1"/>
        <v>876.14476039265833</v>
      </c>
      <c r="N73" s="25">
        <f t="shared" si="3"/>
        <v>1106.9630000000002</v>
      </c>
      <c r="O73" s="25">
        <f t="shared" ca="1" si="4"/>
        <v>1</v>
      </c>
      <c r="P73" s="25">
        <f t="shared" ca="1" si="5"/>
        <v>0.20851486418908474</v>
      </c>
    </row>
    <row r="74" spans="12:16" s="23" customFormat="1" ht="13.8">
      <c r="L74" s="33">
        <v>71</v>
      </c>
      <c r="M74" s="23">
        <f ca="1"/>
        <v>696.37529360557392</v>
      </c>
      <c r="N74" s="25">
        <f t="shared" si="3"/>
        <v>1106.9630000000002</v>
      </c>
      <c r="O74" s="25">
        <f t="shared" ca="1" si="4"/>
        <v>1</v>
      </c>
      <c r="P74" s="25">
        <f t="shared" ca="1" si="5"/>
        <v>0.37091366775079765</v>
      </c>
    </row>
    <row r="75" spans="12:16" s="23" customFormat="1" ht="13.8">
      <c r="L75" s="23">
        <v>72</v>
      </c>
      <c r="M75" s="23">
        <f ca="1"/>
        <v>1779.298753002661</v>
      </c>
      <c r="N75" s="25">
        <f t="shared" si="3"/>
        <v>1106.9630000000002</v>
      </c>
      <c r="O75" s="25">
        <f t="shared" ca="1" si="4"/>
        <v>0</v>
      </c>
      <c r="P75" s="25">
        <f t="shared" ca="1" si="5"/>
        <v>0</v>
      </c>
    </row>
    <row r="76" spans="12:16" s="23" customFormat="1" ht="13.8">
      <c r="L76" s="33">
        <v>73</v>
      </c>
      <c r="M76" s="23">
        <f ca="1"/>
        <v>1114.9553691381334</v>
      </c>
      <c r="N76" s="25">
        <f t="shared" si="3"/>
        <v>1106.9630000000002</v>
      </c>
      <c r="O76" s="25">
        <f t="shared" ca="1" si="4"/>
        <v>0</v>
      </c>
      <c r="P76" s="25">
        <f t="shared" ca="1" si="5"/>
        <v>0</v>
      </c>
    </row>
    <row r="77" spans="12:16" s="23" customFormat="1" ht="13.8">
      <c r="L77" s="23">
        <v>74</v>
      </c>
      <c r="M77" s="23">
        <f ca="1"/>
        <v>2617.3848112286155</v>
      </c>
      <c r="N77" s="25">
        <f t="shared" si="3"/>
        <v>1106.9630000000002</v>
      </c>
      <c r="O77" s="25">
        <f t="shared" ca="1" si="4"/>
        <v>0</v>
      </c>
      <c r="P77" s="25">
        <f t="shared" ca="1" si="5"/>
        <v>0</v>
      </c>
    </row>
    <row r="78" spans="12:16" s="23" customFormat="1" ht="13.8">
      <c r="L78" s="33">
        <v>75</v>
      </c>
      <c r="M78" s="23">
        <f ca="1"/>
        <v>1589.0277695927327</v>
      </c>
      <c r="N78" s="25">
        <f t="shared" si="3"/>
        <v>1106.9630000000002</v>
      </c>
      <c r="O78" s="25">
        <f t="shared" ca="1" si="4"/>
        <v>0</v>
      </c>
      <c r="P78" s="25">
        <f t="shared" ca="1" si="5"/>
        <v>0</v>
      </c>
    </row>
    <row r="79" spans="12:16" s="23" customFormat="1" ht="13.8">
      <c r="L79" s="23">
        <v>76</v>
      </c>
      <c r="M79" s="23">
        <f ca="1"/>
        <v>1780.4861489726929</v>
      </c>
      <c r="N79" s="25">
        <f t="shared" si="3"/>
        <v>1106.9630000000002</v>
      </c>
      <c r="O79" s="25">
        <f t="shared" ca="1" si="4"/>
        <v>0</v>
      </c>
      <c r="P79" s="25">
        <f t="shared" ca="1" si="5"/>
        <v>0</v>
      </c>
    </row>
    <row r="80" spans="12:16" s="23" customFormat="1" ht="13.8">
      <c r="L80" s="33">
        <v>77</v>
      </c>
      <c r="M80" s="23">
        <f ca="1"/>
        <v>1118.3144080528334</v>
      </c>
      <c r="N80" s="25">
        <f t="shared" si="3"/>
        <v>1106.9630000000002</v>
      </c>
      <c r="O80" s="25">
        <f t="shared" ca="1" si="4"/>
        <v>0</v>
      </c>
      <c r="P80" s="25">
        <f t="shared" ca="1" si="5"/>
        <v>0</v>
      </c>
    </row>
    <row r="81" spans="12:16" s="23" customFormat="1" ht="13.8">
      <c r="L81" s="23">
        <v>78</v>
      </c>
      <c r="M81" s="23">
        <f ca="1"/>
        <v>1723.5551212191649</v>
      </c>
      <c r="N81" s="25">
        <f t="shared" si="3"/>
        <v>1106.9630000000002</v>
      </c>
      <c r="O81" s="25">
        <f t="shared" ca="1" si="4"/>
        <v>0</v>
      </c>
      <c r="P81" s="25">
        <f t="shared" ca="1" si="5"/>
        <v>0</v>
      </c>
    </row>
    <row r="82" spans="12:16" s="23" customFormat="1" ht="13.8">
      <c r="L82" s="33">
        <v>79</v>
      </c>
      <c r="M82" s="23">
        <f ca="1"/>
        <v>1194.3815830402418</v>
      </c>
      <c r="N82" s="25">
        <f t="shared" si="3"/>
        <v>1106.9630000000002</v>
      </c>
      <c r="O82" s="25">
        <f t="shared" ca="1" si="4"/>
        <v>0</v>
      </c>
      <c r="P82" s="25">
        <f t="shared" ca="1" si="5"/>
        <v>0</v>
      </c>
    </row>
    <row r="83" spans="12:16" s="23" customFormat="1" ht="13.8">
      <c r="L83" s="23">
        <v>80</v>
      </c>
      <c r="M83" s="23">
        <f ca="1"/>
        <v>1591.2290435984837</v>
      </c>
      <c r="N83" s="25">
        <f t="shared" si="3"/>
        <v>1106.9630000000002</v>
      </c>
      <c r="O83" s="25">
        <f t="shared" ca="1" si="4"/>
        <v>0</v>
      </c>
      <c r="P83" s="25">
        <f t="shared" ca="1" si="5"/>
        <v>0</v>
      </c>
    </row>
    <row r="84" spans="12:16" s="23" customFormat="1" ht="13.8">
      <c r="L84" s="33">
        <v>81</v>
      </c>
      <c r="M84" s="23">
        <f ca="1"/>
        <v>1744.3070338996426</v>
      </c>
      <c r="N84" s="25">
        <f t="shared" si="3"/>
        <v>1106.9630000000002</v>
      </c>
      <c r="O84" s="25">
        <f t="shared" ca="1" si="4"/>
        <v>0</v>
      </c>
      <c r="P84" s="25">
        <f t="shared" ca="1" si="5"/>
        <v>0</v>
      </c>
    </row>
    <row r="85" spans="12:16" s="23" customFormat="1" ht="13.8">
      <c r="L85" s="23">
        <v>82</v>
      </c>
      <c r="M85" s="23">
        <f ca="1"/>
        <v>1722.0983756287653</v>
      </c>
      <c r="N85" s="25">
        <f t="shared" si="3"/>
        <v>1106.9630000000002</v>
      </c>
      <c r="O85" s="25">
        <f t="shared" ca="1" si="4"/>
        <v>0</v>
      </c>
      <c r="P85" s="25">
        <f t="shared" ca="1" si="5"/>
        <v>0</v>
      </c>
    </row>
    <row r="86" spans="12:16" s="23" customFormat="1" ht="13.8">
      <c r="L86" s="33">
        <v>83</v>
      </c>
      <c r="M86" s="23">
        <f ca="1"/>
        <v>2016.0768872112444</v>
      </c>
      <c r="N86" s="25">
        <f t="shared" si="3"/>
        <v>1106.9630000000002</v>
      </c>
      <c r="O86" s="25">
        <f t="shared" ca="1" si="4"/>
        <v>0</v>
      </c>
      <c r="P86" s="25">
        <f t="shared" ca="1" si="5"/>
        <v>0</v>
      </c>
    </row>
    <row r="87" spans="12:16" s="23" customFormat="1" ht="13.8">
      <c r="L87" s="23">
        <v>84</v>
      </c>
      <c r="M87" s="23">
        <f ca="1"/>
        <v>1303.1031164522949</v>
      </c>
      <c r="N87" s="25">
        <f t="shared" si="3"/>
        <v>1106.9630000000002</v>
      </c>
      <c r="O87" s="25">
        <f t="shared" ca="1" si="4"/>
        <v>0</v>
      </c>
      <c r="P87" s="25">
        <f t="shared" ca="1" si="5"/>
        <v>0</v>
      </c>
    </row>
    <row r="88" spans="12:16" s="23" customFormat="1" ht="13.8">
      <c r="L88" s="33">
        <v>85</v>
      </c>
      <c r="M88" s="23">
        <f ca="1"/>
        <v>719.99163919319028</v>
      </c>
      <c r="N88" s="25">
        <f t="shared" si="3"/>
        <v>1106.9630000000002</v>
      </c>
      <c r="O88" s="25">
        <f t="shared" ca="1" si="4"/>
        <v>1</v>
      </c>
      <c r="P88" s="25">
        <f t="shared" ca="1" si="5"/>
        <v>0.3495793091610197</v>
      </c>
    </row>
    <row r="89" spans="12:16" s="23" customFormat="1" ht="13.8">
      <c r="L89" s="23">
        <v>86</v>
      </c>
      <c r="M89" s="23">
        <f ca="1"/>
        <v>1745.9213905802089</v>
      </c>
      <c r="N89" s="25">
        <f t="shared" si="3"/>
        <v>1106.9630000000002</v>
      </c>
      <c r="O89" s="25">
        <f t="shared" ca="1" si="4"/>
        <v>0</v>
      </c>
      <c r="P89" s="25">
        <f t="shared" ca="1" si="5"/>
        <v>0</v>
      </c>
    </row>
    <row r="90" spans="12:16" s="23" customFormat="1" ht="13.8">
      <c r="L90" s="33">
        <v>87</v>
      </c>
      <c r="M90" s="23">
        <f ca="1"/>
        <v>2018.3022166615003</v>
      </c>
      <c r="N90" s="25">
        <f t="shared" si="3"/>
        <v>1106.9630000000002</v>
      </c>
      <c r="O90" s="25">
        <f t="shared" ca="1" si="4"/>
        <v>0</v>
      </c>
      <c r="P90" s="25">
        <f t="shared" ca="1" si="5"/>
        <v>0</v>
      </c>
    </row>
    <row r="91" spans="12:16" s="23" customFormat="1" ht="13.8">
      <c r="L91" s="23">
        <v>88</v>
      </c>
      <c r="M91" s="23">
        <f ca="1"/>
        <v>2041.9126521230176</v>
      </c>
      <c r="N91" s="25">
        <f t="shared" si="3"/>
        <v>1106.9630000000002</v>
      </c>
      <c r="O91" s="25">
        <f t="shared" ca="1" si="4"/>
        <v>0</v>
      </c>
      <c r="P91" s="25">
        <f t="shared" ca="1" si="5"/>
        <v>0</v>
      </c>
    </row>
    <row r="92" spans="12:16" s="23" customFormat="1" ht="13.8">
      <c r="L92" s="33">
        <v>89</v>
      </c>
      <c r="M92" s="23">
        <f ca="1"/>
        <v>1159.7058652962914</v>
      </c>
      <c r="N92" s="25">
        <f t="shared" si="3"/>
        <v>1106.9630000000002</v>
      </c>
      <c r="O92" s="25">
        <f t="shared" ca="1" si="4"/>
        <v>0</v>
      </c>
      <c r="P92" s="25">
        <f t="shared" ca="1" si="5"/>
        <v>0</v>
      </c>
    </row>
    <row r="93" spans="12:16" s="23" customFormat="1" ht="13.8">
      <c r="L93" s="23">
        <v>90</v>
      </c>
      <c r="M93" s="23">
        <f ca="1"/>
        <v>1729.8172843906495</v>
      </c>
      <c r="N93" s="25">
        <f t="shared" si="3"/>
        <v>1106.9630000000002</v>
      </c>
      <c r="O93" s="25">
        <f t="shared" ca="1" si="4"/>
        <v>0</v>
      </c>
      <c r="P93" s="25">
        <f t="shared" ca="1" si="5"/>
        <v>0</v>
      </c>
    </row>
    <row r="94" spans="12:16" s="23" customFormat="1" ht="13.8">
      <c r="L94" s="33">
        <v>91</v>
      </c>
      <c r="M94" s="23">
        <f ca="1"/>
        <v>2136.7435179007662</v>
      </c>
      <c r="N94" s="25">
        <f t="shared" si="3"/>
        <v>1106.9630000000002</v>
      </c>
      <c r="O94" s="25">
        <f t="shared" ca="1" si="4"/>
        <v>0</v>
      </c>
      <c r="P94" s="25">
        <f t="shared" ca="1" si="5"/>
        <v>0</v>
      </c>
    </row>
    <row r="95" spans="12:16" s="23" customFormat="1" ht="13.8">
      <c r="L95" s="23">
        <v>92</v>
      </c>
      <c r="M95" s="23">
        <f ca="1"/>
        <v>261.51295610254118</v>
      </c>
      <c r="N95" s="25">
        <f t="shared" si="3"/>
        <v>1106.9630000000002</v>
      </c>
      <c r="O95" s="25">
        <f t="shared" ca="1" si="4"/>
        <v>1</v>
      </c>
      <c r="P95" s="25">
        <f t="shared" ca="1" si="5"/>
        <v>0.76375637116819517</v>
      </c>
    </row>
    <row r="96" spans="12:16" s="23" customFormat="1" ht="13.8">
      <c r="L96" s="33">
        <v>93</v>
      </c>
      <c r="M96" s="23">
        <f ca="1"/>
        <v>1152.9826854411303</v>
      </c>
      <c r="N96" s="25">
        <f t="shared" si="3"/>
        <v>1106.9630000000002</v>
      </c>
      <c r="O96" s="25">
        <f t="shared" ca="1" si="4"/>
        <v>0</v>
      </c>
      <c r="P96" s="25">
        <f t="shared" ca="1" si="5"/>
        <v>0</v>
      </c>
    </row>
    <row r="97" spans="12:16" s="23" customFormat="1" ht="13.8">
      <c r="L97" s="23">
        <v>94</v>
      </c>
      <c r="M97" s="23">
        <f ca="1"/>
        <v>1310.6052413562709</v>
      </c>
      <c r="N97" s="25">
        <f t="shared" si="3"/>
        <v>1106.9630000000002</v>
      </c>
      <c r="O97" s="25">
        <f t="shared" ca="1" si="4"/>
        <v>0</v>
      </c>
      <c r="P97" s="25">
        <f t="shared" ca="1" si="5"/>
        <v>0</v>
      </c>
    </row>
    <row r="98" spans="12:16" s="23" customFormat="1" ht="13.8">
      <c r="L98" s="33">
        <v>95</v>
      </c>
      <c r="M98" s="23">
        <f ca="1"/>
        <v>2336.5020615017534</v>
      </c>
      <c r="N98" s="25">
        <f t="shared" si="3"/>
        <v>1106.9630000000002</v>
      </c>
      <c r="O98" s="25">
        <f t="shared" ca="1" si="4"/>
        <v>0</v>
      </c>
      <c r="P98" s="25">
        <f t="shared" ca="1" si="5"/>
        <v>0</v>
      </c>
    </row>
    <row r="99" spans="12:16" s="23" customFormat="1" ht="13.8">
      <c r="L99" s="23">
        <v>96</v>
      </c>
      <c r="M99" s="23">
        <f ca="1"/>
        <v>1811.1613622200714</v>
      </c>
      <c r="N99" s="25">
        <f t="shared" si="3"/>
        <v>1106.9630000000002</v>
      </c>
      <c r="O99" s="25">
        <f t="shared" ca="1" si="4"/>
        <v>0</v>
      </c>
      <c r="P99" s="25">
        <f t="shared" ca="1" si="5"/>
        <v>0</v>
      </c>
    </row>
    <row r="100" spans="12:16" s="23" customFormat="1" ht="13.8">
      <c r="L100" s="33">
        <v>97</v>
      </c>
      <c r="M100" s="23">
        <f ca="1"/>
        <v>1223.137780962378</v>
      </c>
      <c r="N100" s="25">
        <f t="shared" si="3"/>
        <v>1106.9630000000002</v>
      </c>
      <c r="O100" s="25">
        <f t="shared" ca="1" si="4"/>
        <v>0</v>
      </c>
      <c r="P100" s="25">
        <f t="shared" ca="1" si="5"/>
        <v>0</v>
      </c>
    </row>
    <row r="101" spans="12:16" s="23" customFormat="1" ht="13.8">
      <c r="L101" s="23">
        <v>98</v>
      </c>
      <c r="M101" s="23">
        <f ca="1"/>
        <v>1385.4530191524937</v>
      </c>
      <c r="N101" s="25">
        <f t="shared" si="3"/>
        <v>1106.9630000000002</v>
      </c>
      <c r="O101" s="25">
        <f t="shared" ca="1" si="4"/>
        <v>0</v>
      </c>
      <c r="P101" s="25">
        <f t="shared" ca="1" si="5"/>
        <v>0</v>
      </c>
    </row>
    <row r="102" spans="12:16" s="23" customFormat="1" ht="13.8">
      <c r="L102" s="33">
        <v>99</v>
      </c>
      <c r="M102" s="23">
        <f ca="1"/>
        <v>1657.1706325292555</v>
      </c>
      <c r="N102" s="25">
        <f t="shared" si="3"/>
        <v>1106.9630000000002</v>
      </c>
      <c r="O102" s="25">
        <f t="shared" ca="1" si="4"/>
        <v>0</v>
      </c>
      <c r="P102" s="25">
        <f t="shared" ca="1" si="5"/>
        <v>0</v>
      </c>
    </row>
    <row r="103" spans="12:16" s="23" customFormat="1" ht="13.8">
      <c r="L103" s="23">
        <v>100</v>
      </c>
      <c r="M103" s="23">
        <f ca="1"/>
        <v>1920.3970147476753</v>
      </c>
      <c r="N103" s="25">
        <f t="shared" si="3"/>
        <v>1106.9630000000002</v>
      </c>
      <c r="O103" s="25">
        <f t="shared" ca="1" si="4"/>
        <v>0</v>
      </c>
      <c r="P103" s="25">
        <f t="shared" ca="1" si="5"/>
        <v>0</v>
      </c>
    </row>
    <row r="104" spans="12:16" s="23" customFormat="1" ht="13.8">
      <c r="L104" s="33">
        <v>101</v>
      </c>
      <c r="M104" s="23">
        <f ca="1"/>
        <v>1589.9024921231915</v>
      </c>
      <c r="N104" s="25">
        <f t="shared" si="3"/>
        <v>1106.9630000000002</v>
      </c>
      <c r="O104" s="25">
        <f t="shared" ca="1" si="4"/>
        <v>0</v>
      </c>
      <c r="P104" s="25">
        <f t="shared" ca="1" si="5"/>
        <v>0</v>
      </c>
    </row>
    <row r="105" spans="12:16" s="23" customFormat="1" ht="13.8">
      <c r="L105" s="23">
        <v>102</v>
      </c>
      <c r="M105" s="23">
        <f ca="1"/>
        <v>2279.094746910358</v>
      </c>
      <c r="N105" s="25">
        <f t="shared" si="3"/>
        <v>1106.9630000000002</v>
      </c>
      <c r="O105" s="25">
        <f t="shared" ca="1" si="4"/>
        <v>0</v>
      </c>
      <c r="P105" s="25">
        <f t="shared" ca="1" si="5"/>
        <v>0</v>
      </c>
    </row>
    <row r="106" spans="12:16" s="23" customFormat="1" ht="13.8">
      <c r="L106" s="33">
        <v>103</v>
      </c>
      <c r="M106" s="23">
        <f ca="1"/>
        <v>1585.7500842142276</v>
      </c>
      <c r="N106" s="25">
        <f t="shared" si="3"/>
        <v>1106.9630000000002</v>
      </c>
      <c r="O106" s="25">
        <f t="shared" ca="1" si="4"/>
        <v>0</v>
      </c>
      <c r="P106" s="25">
        <f t="shared" ca="1" si="5"/>
        <v>0</v>
      </c>
    </row>
    <row r="107" spans="12:16" s="23" customFormat="1" ht="13.8">
      <c r="L107" s="23">
        <v>104</v>
      </c>
      <c r="M107" s="23">
        <f ca="1"/>
        <v>1851.9426850152749</v>
      </c>
      <c r="N107" s="25">
        <f t="shared" si="3"/>
        <v>1106.9630000000002</v>
      </c>
      <c r="O107" s="25">
        <f t="shared" ca="1" si="4"/>
        <v>0</v>
      </c>
      <c r="P107" s="25">
        <f t="shared" ca="1" si="5"/>
        <v>0</v>
      </c>
    </row>
    <row r="108" spans="12:16" s="23" customFormat="1" ht="13.8">
      <c r="L108" s="33">
        <v>105</v>
      </c>
      <c r="M108" s="23">
        <f ca="1"/>
        <v>2810.2102735632102</v>
      </c>
      <c r="N108" s="25">
        <f t="shared" si="3"/>
        <v>1106.9630000000002</v>
      </c>
      <c r="O108" s="25">
        <f t="shared" ca="1" si="4"/>
        <v>0</v>
      </c>
      <c r="P108" s="25">
        <f t="shared" ca="1" si="5"/>
        <v>0</v>
      </c>
    </row>
    <row r="109" spans="12:16" s="23" customFormat="1" ht="13.8">
      <c r="L109" s="23">
        <v>106</v>
      </c>
      <c r="M109" s="23">
        <f ca="1"/>
        <v>1042.9090451406225</v>
      </c>
      <c r="N109" s="25">
        <f t="shared" si="3"/>
        <v>1106.9630000000002</v>
      </c>
      <c r="O109" s="25">
        <f t="shared" ca="1" si="4"/>
        <v>1</v>
      </c>
      <c r="P109" s="25">
        <f t="shared" ca="1" si="5"/>
        <v>5.7864585229477086E-2</v>
      </c>
    </row>
    <row r="110" spans="12:16" s="23" customFormat="1" ht="13.8">
      <c r="L110" s="33">
        <v>107</v>
      </c>
      <c r="M110" s="23">
        <f ca="1"/>
        <v>1585.2776378073731</v>
      </c>
      <c r="N110" s="25">
        <f t="shared" si="3"/>
        <v>1106.9630000000002</v>
      </c>
      <c r="O110" s="25">
        <f t="shared" ca="1" si="4"/>
        <v>0</v>
      </c>
      <c r="P110" s="25">
        <f t="shared" ca="1" si="5"/>
        <v>0</v>
      </c>
    </row>
    <row r="111" spans="12:16" s="23" customFormat="1" ht="13.8">
      <c r="L111" s="23">
        <v>108</v>
      </c>
      <c r="M111" s="23">
        <f ca="1"/>
        <v>779.07690141906164</v>
      </c>
      <c r="N111" s="25">
        <f t="shared" si="3"/>
        <v>1106.9630000000002</v>
      </c>
      <c r="O111" s="25">
        <f t="shared" ca="1" si="4"/>
        <v>1</v>
      </c>
      <c r="P111" s="25">
        <f t="shared" ca="1" si="5"/>
        <v>0.29620330451960769</v>
      </c>
    </row>
    <row r="112" spans="12:16" s="23" customFormat="1" ht="13.8">
      <c r="L112" s="33">
        <v>109</v>
      </c>
      <c r="M112" s="23">
        <f ca="1"/>
        <v>667.63038394518105</v>
      </c>
      <c r="N112" s="25">
        <f t="shared" si="3"/>
        <v>1106.9630000000002</v>
      </c>
      <c r="O112" s="25">
        <f t="shared" ca="1" si="4"/>
        <v>1</v>
      </c>
      <c r="P112" s="25">
        <f t="shared" ca="1" si="5"/>
        <v>0.39688103040012995</v>
      </c>
    </row>
    <row r="113" spans="12:16" s="23" customFormat="1" ht="13.8">
      <c r="L113" s="23">
        <v>110</v>
      </c>
      <c r="M113" s="23">
        <f ca="1"/>
        <v>1469.8021419114843</v>
      </c>
      <c r="N113" s="25">
        <f t="shared" si="3"/>
        <v>1106.9630000000002</v>
      </c>
      <c r="O113" s="25">
        <f t="shared" ca="1" si="4"/>
        <v>0</v>
      </c>
      <c r="P113" s="25">
        <f t="shared" ca="1" si="5"/>
        <v>0</v>
      </c>
    </row>
    <row r="114" spans="12:16" s="23" customFormat="1" ht="13.8">
      <c r="L114" s="33">
        <v>111</v>
      </c>
      <c r="M114" s="23">
        <f ca="1"/>
        <v>1514.9011084223719</v>
      </c>
      <c r="N114" s="25">
        <f t="shared" si="3"/>
        <v>1106.9630000000002</v>
      </c>
      <c r="O114" s="25">
        <f t="shared" ca="1" si="4"/>
        <v>0</v>
      </c>
      <c r="P114" s="25">
        <f t="shared" ca="1" si="5"/>
        <v>0</v>
      </c>
    </row>
    <row r="115" spans="12:16" s="23" customFormat="1" ht="13.8">
      <c r="L115" s="23">
        <v>112</v>
      </c>
      <c r="M115" s="23">
        <f ca="1"/>
        <v>1310.5671020274535</v>
      </c>
      <c r="N115" s="25">
        <f t="shared" si="3"/>
        <v>1106.9630000000002</v>
      </c>
      <c r="O115" s="25">
        <f t="shared" ca="1" si="4"/>
        <v>0</v>
      </c>
      <c r="P115" s="25">
        <f t="shared" ca="1" si="5"/>
        <v>0</v>
      </c>
    </row>
    <row r="116" spans="12:16" s="23" customFormat="1" ht="13.8">
      <c r="L116" s="33">
        <v>113</v>
      </c>
      <c r="M116" s="23">
        <f ca="1"/>
        <v>2543.8421378369471</v>
      </c>
      <c r="N116" s="25">
        <f t="shared" si="3"/>
        <v>1106.9630000000002</v>
      </c>
      <c r="O116" s="25">
        <f t="shared" ca="1" si="4"/>
        <v>0</v>
      </c>
      <c r="P116" s="25">
        <f t="shared" ca="1" si="5"/>
        <v>0</v>
      </c>
    </row>
    <row r="117" spans="12:16" s="23" customFormat="1" ht="13.8">
      <c r="L117" s="23">
        <v>114</v>
      </c>
      <c r="M117" s="23">
        <f ca="1"/>
        <v>2071.9976414620096</v>
      </c>
      <c r="N117" s="25">
        <f t="shared" si="3"/>
        <v>1106.9630000000002</v>
      </c>
      <c r="O117" s="25">
        <f t="shared" ca="1" si="4"/>
        <v>0</v>
      </c>
      <c r="P117" s="25">
        <f t="shared" ca="1" si="5"/>
        <v>0</v>
      </c>
    </row>
    <row r="118" spans="12:16" s="23" customFormat="1" ht="13.8">
      <c r="L118" s="33">
        <v>115</v>
      </c>
      <c r="M118" s="23">
        <f ca="1"/>
        <v>1389.4996891056519</v>
      </c>
      <c r="N118" s="25">
        <f t="shared" si="3"/>
        <v>1106.9630000000002</v>
      </c>
      <c r="O118" s="25">
        <f t="shared" ca="1" si="4"/>
        <v>0</v>
      </c>
      <c r="P118" s="25">
        <f t="shared" ca="1" si="5"/>
        <v>0</v>
      </c>
    </row>
    <row r="119" spans="12:16" s="23" customFormat="1" ht="13.8">
      <c r="L119" s="23">
        <v>116</v>
      </c>
      <c r="M119" s="23">
        <f ca="1"/>
        <v>609.52908465446433</v>
      </c>
      <c r="N119" s="25">
        <f t="shared" si="3"/>
        <v>1106.9630000000002</v>
      </c>
      <c r="O119" s="25">
        <f t="shared" ca="1" si="4"/>
        <v>1</v>
      </c>
      <c r="P119" s="25">
        <f t="shared" ca="1" si="5"/>
        <v>0.44936814992509755</v>
      </c>
    </row>
    <row r="120" spans="12:16" s="23" customFormat="1" ht="13.8">
      <c r="L120" s="33">
        <v>117</v>
      </c>
      <c r="M120" s="23">
        <f ca="1"/>
        <v>1827.8453305716707</v>
      </c>
      <c r="N120" s="25">
        <f t="shared" si="3"/>
        <v>1106.9630000000002</v>
      </c>
      <c r="O120" s="25">
        <f t="shared" ca="1" si="4"/>
        <v>0</v>
      </c>
      <c r="P120" s="25">
        <f t="shared" ca="1" si="5"/>
        <v>0</v>
      </c>
    </row>
    <row r="121" spans="12:16" s="23" customFormat="1" ht="13.8">
      <c r="L121" s="23">
        <v>118</v>
      </c>
      <c r="M121" s="23">
        <f ca="1"/>
        <v>1919.0554585020022</v>
      </c>
      <c r="N121" s="25">
        <f t="shared" si="3"/>
        <v>1106.9630000000002</v>
      </c>
      <c r="O121" s="25">
        <f t="shared" ca="1" si="4"/>
        <v>0</v>
      </c>
      <c r="P121" s="25">
        <f t="shared" ca="1" si="5"/>
        <v>0</v>
      </c>
    </row>
    <row r="122" spans="12:16" s="23" customFormat="1" ht="13.8">
      <c r="L122" s="33">
        <v>119</v>
      </c>
      <c r="M122" s="23">
        <f ca="1"/>
        <v>1834.3962271551445</v>
      </c>
      <c r="N122" s="25">
        <f t="shared" si="3"/>
        <v>1106.9630000000002</v>
      </c>
      <c r="O122" s="25">
        <f t="shared" ca="1" si="4"/>
        <v>0</v>
      </c>
      <c r="P122" s="25">
        <f t="shared" ca="1" si="5"/>
        <v>0</v>
      </c>
    </row>
    <row r="123" spans="12:16" s="23" customFormat="1" ht="13.8">
      <c r="L123" s="23">
        <v>120</v>
      </c>
      <c r="M123" s="23">
        <f ca="1"/>
        <v>1470.6685498651541</v>
      </c>
      <c r="N123" s="25">
        <f t="shared" si="3"/>
        <v>1106.9630000000002</v>
      </c>
      <c r="O123" s="25">
        <f t="shared" ca="1" si="4"/>
        <v>0</v>
      </c>
      <c r="P123" s="25">
        <f t="shared" ca="1" si="5"/>
        <v>0</v>
      </c>
    </row>
    <row r="124" spans="12:16" s="23" customFormat="1" ht="13.8">
      <c r="L124" s="33">
        <v>121</v>
      </c>
      <c r="M124" s="23">
        <f ca="1"/>
        <v>2057.5371597585895</v>
      </c>
      <c r="N124" s="25">
        <f t="shared" si="3"/>
        <v>1106.9630000000002</v>
      </c>
      <c r="O124" s="25">
        <f t="shared" ca="1" si="4"/>
        <v>0</v>
      </c>
      <c r="P124" s="25">
        <f t="shared" ca="1" si="5"/>
        <v>0</v>
      </c>
    </row>
    <row r="125" spans="12:16" s="23" customFormat="1" ht="13.8">
      <c r="L125" s="23">
        <v>122</v>
      </c>
      <c r="M125" s="23">
        <f ca="1"/>
        <v>1083.3924153293856</v>
      </c>
      <c r="N125" s="25">
        <f t="shared" si="3"/>
        <v>1106.9630000000002</v>
      </c>
      <c r="O125" s="25">
        <f t="shared" ca="1" si="4"/>
        <v>1</v>
      </c>
      <c r="P125" s="25">
        <f t="shared" ca="1" si="5"/>
        <v>2.129301943300237E-2</v>
      </c>
    </row>
    <row r="126" spans="12:16" s="23" customFormat="1" ht="13.8">
      <c r="L126" s="33">
        <v>123</v>
      </c>
      <c r="M126" s="23">
        <f ca="1"/>
        <v>2052.1085258718176</v>
      </c>
      <c r="N126" s="25">
        <f t="shared" si="3"/>
        <v>1106.9630000000002</v>
      </c>
      <c r="O126" s="25">
        <f t="shared" ca="1" si="4"/>
        <v>0</v>
      </c>
      <c r="P126" s="25">
        <f t="shared" ca="1" si="5"/>
        <v>0</v>
      </c>
    </row>
    <row r="127" spans="12:16" s="23" customFormat="1" ht="13.8">
      <c r="L127" s="23">
        <v>124</v>
      </c>
      <c r="M127" s="23">
        <f ca="1"/>
        <v>1016.8016210078994</v>
      </c>
      <c r="N127" s="25">
        <f t="shared" si="3"/>
        <v>1106.9630000000002</v>
      </c>
      <c r="O127" s="25">
        <f t="shared" ca="1" si="4"/>
        <v>1</v>
      </c>
      <c r="P127" s="25">
        <f t="shared" ca="1" si="5"/>
        <v>8.144931582365518E-2</v>
      </c>
    </row>
    <row r="128" spans="12:16" s="23" customFormat="1" ht="13.8">
      <c r="L128" s="33">
        <v>125</v>
      </c>
      <c r="M128" s="23">
        <f ca="1"/>
        <v>1181.9692956297088</v>
      </c>
      <c r="N128" s="25">
        <f t="shared" si="3"/>
        <v>1106.9630000000002</v>
      </c>
      <c r="O128" s="25">
        <f t="shared" ca="1" si="4"/>
        <v>0</v>
      </c>
      <c r="P128" s="25">
        <f t="shared" ca="1" si="5"/>
        <v>0</v>
      </c>
    </row>
    <row r="129" spans="12:16" s="23" customFormat="1" ht="13.8">
      <c r="L129" s="23">
        <v>126</v>
      </c>
      <c r="M129" s="23">
        <f ca="1"/>
        <v>1096.0491945780477</v>
      </c>
      <c r="N129" s="25">
        <f t="shared" si="3"/>
        <v>1106.9630000000002</v>
      </c>
      <c r="O129" s="25">
        <f t="shared" ca="1" si="4"/>
        <v>1</v>
      </c>
      <c r="P129" s="25">
        <f t="shared" ca="1" si="5"/>
        <v>9.8592323518965613E-3</v>
      </c>
    </row>
    <row r="130" spans="12:16" s="23" customFormat="1" ht="13.8">
      <c r="L130" s="33">
        <v>127</v>
      </c>
      <c r="M130" s="23">
        <f ca="1"/>
        <v>1721.1281072696752</v>
      </c>
      <c r="N130" s="25">
        <f t="shared" si="3"/>
        <v>1106.9630000000002</v>
      </c>
      <c r="O130" s="25">
        <f t="shared" ca="1" si="4"/>
        <v>0</v>
      </c>
      <c r="P130" s="25">
        <f t="shared" ca="1" si="5"/>
        <v>0</v>
      </c>
    </row>
    <row r="131" spans="12:16" s="23" customFormat="1" ht="13.8">
      <c r="L131" s="23">
        <v>128</v>
      </c>
      <c r="M131" s="23">
        <f ca="1"/>
        <v>2006.1294962412867</v>
      </c>
      <c r="N131" s="25">
        <f t="shared" si="3"/>
        <v>1106.9630000000002</v>
      </c>
      <c r="O131" s="25">
        <f t="shared" ca="1" si="4"/>
        <v>0</v>
      </c>
      <c r="P131" s="25">
        <f t="shared" ca="1" si="5"/>
        <v>0</v>
      </c>
    </row>
    <row r="132" spans="12:16" s="23" customFormat="1" ht="13.8">
      <c r="L132" s="33">
        <v>129</v>
      </c>
      <c r="M132" s="23">
        <f ca="1"/>
        <v>1823.830195906959</v>
      </c>
      <c r="N132" s="25">
        <f t="shared" ref="N132:N195" si="6">($C$21+$E$21)*1.1</f>
        <v>1106.9630000000002</v>
      </c>
      <c r="O132" s="25">
        <f t="shared" ca="1" si="4"/>
        <v>0</v>
      </c>
      <c r="P132" s="25">
        <f t="shared" ca="1" si="5"/>
        <v>0</v>
      </c>
    </row>
    <row r="133" spans="12:16" s="23" customFormat="1" ht="13.8">
      <c r="L133" s="23">
        <v>130</v>
      </c>
      <c r="M133" s="23">
        <f ca="1"/>
        <v>1651.5042164415165</v>
      </c>
      <c r="N133" s="25">
        <f t="shared" si="6"/>
        <v>1106.9630000000002</v>
      </c>
      <c r="O133" s="25">
        <f t="shared" ref="O133:O196" ca="1" si="7">IF(M133&lt;N133,1,0)</f>
        <v>0</v>
      </c>
      <c r="P133" s="25">
        <f t="shared" ref="P133:P196" ca="1" si="8">MAX((N133-M133)/N133,0)</f>
        <v>0</v>
      </c>
    </row>
    <row r="134" spans="12:16" s="23" customFormat="1" ht="13.8">
      <c r="L134" s="33">
        <v>131</v>
      </c>
      <c r="M134" s="23">
        <f ca="1"/>
        <v>1261.8502473571402</v>
      </c>
      <c r="N134" s="25">
        <f t="shared" si="6"/>
        <v>1106.9630000000002</v>
      </c>
      <c r="O134" s="25">
        <f t="shared" ca="1" si="7"/>
        <v>0</v>
      </c>
      <c r="P134" s="25">
        <f t="shared" ca="1" si="8"/>
        <v>0</v>
      </c>
    </row>
    <row r="135" spans="12:16" s="23" customFormat="1" ht="13.8">
      <c r="L135" s="23">
        <v>132</v>
      </c>
      <c r="M135" s="23">
        <f ca="1"/>
        <v>1002.5733772891325</v>
      </c>
      <c r="N135" s="25">
        <f t="shared" si="6"/>
        <v>1106.9630000000002</v>
      </c>
      <c r="O135" s="25">
        <f t="shared" ca="1" si="7"/>
        <v>1</v>
      </c>
      <c r="P135" s="25">
        <f t="shared" ca="1" si="8"/>
        <v>9.430272078729611E-2</v>
      </c>
    </row>
    <row r="136" spans="12:16" s="23" customFormat="1" ht="13.8">
      <c r="L136" s="33">
        <v>133</v>
      </c>
      <c r="M136" s="23">
        <f ca="1"/>
        <v>1749.0116955926603</v>
      </c>
      <c r="N136" s="25">
        <f t="shared" si="6"/>
        <v>1106.9630000000002</v>
      </c>
      <c r="O136" s="25">
        <f t="shared" ca="1" si="7"/>
        <v>0</v>
      </c>
      <c r="P136" s="25">
        <f t="shared" ca="1" si="8"/>
        <v>0</v>
      </c>
    </row>
    <row r="137" spans="12:16" s="23" customFormat="1" ht="13.8">
      <c r="L137" s="23">
        <v>134</v>
      </c>
      <c r="M137" s="23">
        <f ca="1"/>
        <v>1453.6657490851387</v>
      </c>
      <c r="N137" s="25">
        <f t="shared" si="6"/>
        <v>1106.9630000000002</v>
      </c>
      <c r="O137" s="25">
        <f t="shared" ca="1" si="7"/>
        <v>0</v>
      </c>
      <c r="P137" s="25">
        <f t="shared" ca="1" si="8"/>
        <v>0</v>
      </c>
    </row>
    <row r="138" spans="12:16" s="23" customFormat="1" ht="13.8">
      <c r="L138" s="33">
        <v>135</v>
      </c>
      <c r="M138" s="23">
        <f ca="1"/>
        <v>1368.4434168657885</v>
      </c>
      <c r="N138" s="25">
        <f t="shared" si="6"/>
        <v>1106.9630000000002</v>
      </c>
      <c r="O138" s="25">
        <f t="shared" ca="1" si="7"/>
        <v>0</v>
      </c>
      <c r="P138" s="25">
        <f t="shared" ca="1" si="8"/>
        <v>0</v>
      </c>
    </row>
    <row r="139" spans="12:16" s="23" customFormat="1" ht="13.8">
      <c r="L139" s="23">
        <v>136</v>
      </c>
      <c r="M139" s="23">
        <f ca="1"/>
        <v>977.920334746305</v>
      </c>
      <c r="N139" s="25">
        <f t="shared" si="6"/>
        <v>1106.9630000000002</v>
      </c>
      <c r="O139" s="25">
        <f t="shared" ca="1" si="7"/>
        <v>1</v>
      </c>
      <c r="P139" s="25">
        <f t="shared" ca="1" si="8"/>
        <v>0.11657360296025718</v>
      </c>
    </row>
    <row r="140" spans="12:16" s="23" customFormat="1" ht="13.8">
      <c r="L140" s="33">
        <v>137</v>
      </c>
      <c r="M140" s="23">
        <f ca="1"/>
        <v>1404.242607288508</v>
      </c>
      <c r="N140" s="25">
        <f t="shared" si="6"/>
        <v>1106.9630000000002</v>
      </c>
      <c r="O140" s="25">
        <f t="shared" ca="1" si="7"/>
        <v>0</v>
      </c>
      <c r="P140" s="25">
        <f t="shared" ca="1" si="8"/>
        <v>0</v>
      </c>
    </row>
    <row r="141" spans="12:16" s="23" customFormat="1" ht="13.8">
      <c r="L141" s="23">
        <v>138</v>
      </c>
      <c r="M141" s="23">
        <f ca="1"/>
        <v>788.43568808831174</v>
      </c>
      <c r="N141" s="25">
        <f t="shared" si="6"/>
        <v>1106.9630000000002</v>
      </c>
      <c r="O141" s="25">
        <f t="shared" ca="1" si="7"/>
        <v>1</v>
      </c>
      <c r="P141" s="25">
        <f t="shared" ca="1" si="8"/>
        <v>0.28774883344040264</v>
      </c>
    </row>
    <row r="142" spans="12:16" s="23" customFormat="1" ht="13.8">
      <c r="L142" s="33">
        <v>139</v>
      </c>
      <c r="M142" s="23">
        <f ca="1"/>
        <v>1218.6414368018486</v>
      </c>
      <c r="N142" s="25">
        <f t="shared" si="6"/>
        <v>1106.9630000000002</v>
      </c>
      <c r="O142" s="25">
        <f t="shared" ca="1" si="7"/>
        <v>0</v>
      </c>
      <c r="P142" s="25">
        <f t="shared" ca="1" si="8"/>
        <v>0</v>
      </c>
    </row>
    <row r="143" spans="12:16" s="23" customFormat="1" ht="13.8">
      <c r="L143" s="23">
        <v>140</v>
      </c>
      <c r="M143" s="23">
        <f ca="1"/>
        <v>2045.9951969960698</v>
      </c>
      <c r="N143" s="25">
        <f t="shared" si="6"/>
        <v>1106.9630000000002</v>
      </c>
      <c r="O143" s="25">
        <f t="shared" ca="1" si="7"/>
        <v>0</v>
      </c>
      <c r="P143" s="25">
        <f t="shared" ca="1" si="8"/>
        <v>0</v>
      </c>
    </row>
    <row r="144" spans="12:16" s="23" customFormat="1" ht="13.8">
      <c r="L144" s="33">
        <v>141</v>
      </c>
      <c r="M144" s="23">
        <f ca="1"/>
        <v>1336.7127856988711</v>
      </c>
      <c r="N144" s="25">
        <f t="shared" si="6"/>
        <v>1106.9630000000002</v>
      </c>
      <c r="O144" s="25">
        <f t="shared" ca="1" si="7"/>
        <v>0</v>
      </c>
      <c r="P144" s="25">
        <f t="shared" ca="1" si="8"/>
        <v>0</v>
      </c>
    </row>
    <row r="145" spans="12:16" s="23" customFormat="1" ht="13.8">
      <c r="L145" s="23">
        <v>142</v>
      </c>
      <c r="M145" s="23">
        <f ca="1"/>
        <v>1543.8831219069486</v>
      </c>
      <c r="N145" s="25">
        <f t="shared" si="6"/>
        <v>1106.9630000000002</v>
      </c>
      <c r="O145" s="25">
        <f t="shared" ca="1" si="7"/>
        <v>0</v>
      </c>
      <c r="P145" s="25">
        <f t="shared" ca="1" si="8"/>
        <v>0</v>
      </c>
    </row>
    <row r="146" spans="12:16" s="23" customFormat="1" ht="13.8">
      <c r="L146" s="33">
        <v>143</v>
      </c>
      <c r="M146" s="23">
        <f ca="1"/>
        <v>2362.490195779365</v>
      </c>
      <c r="N146" s="25">
        <f t="shared" si="6"/>
        <v>1106.9630000000002</v>
      </c>
      <c r="O146" s="25">
        <f t="shared" ca="1" si="7"/>
        <v>0</v>
      </c>
      <c r="P146" s="25">
        <f t="shared" ca="1" si="8"/>
        <v>0</v>
      </c>
    </row>
    <row r="147" spans="12:16" s="23" customFormat="1" ht="13.8">
      <c r="L147" s="23">
        <v>144</v>
      </c>
      <c r="M147" s="23">
        <f ca="1"/>
        <v>2492.4978508906811</v>
      </c>
      <c r="N147" s="25">
        <f t="shared" si="6"/>
        <v>1106.9630000000002</v>
      </c>
      <c r="O147" s="25">
        <f t="shared" ca="1" si="7"/>
        <v>0</v>
      </c>
      <c r="P147" s="25">
        <f t="shared" ca="1" si="8"/>
        <v>0</v>
      </c>
    </row>
    <row r="148" spans="12:16" s="23" customFormat="1" ht="13.8">
      <c r="L148" s="33">
        <v>145</v>
      </c>
      <c r="M148" s="23">
        <f ca="1"/>
        <v>1395.9160112661664</v>
      </c>
      <c r="N148" s="25">
        <f t="shared" si="6"/>
        <v>1106.9630000000002</v>
      </c>
      <c r="O148" s="25">
        <f t="shared" ca="1" si="7"/>
        <v>0</v>
      </c>
      <c r="P148" s="25">
        <f t="shared" ca="1" si="8"/>
        <v>0</v>
      </c>
    </row>
    <row r="149" spans="12:16" s="23" customFormat="1" ht="13.8">
      <c r="L149" s="23">
        <v>146</v>
      </c>
      <c r="M149" s="23">
        <f ca="1"/>
        <v>885.23553327921854</v>
      </c>
      <c r="N149" s="25">
        <f t="shared" si="6"/>
        <v>1106.9630000000002</v>
      </c>
      <c r="O149" s="25">
        <f t="shared" ca="1" si="7"/>
        <v>1</v>
      </c>
      <c r="P149" s="25">
        <f t="shared" ca="1" si="8"/>
        <v>0.20030250940707287</v>
      </c>
    </row>
    <row r="150" spans="12:16" s="23" customFormat="1" ht="13.8">
      <c r="L150" s="33">
        <v>147</v>
      </c>
      <c r="M150" s="23">
        <f ca="1"/>
        <v>776.64025316119807</v>
      </c>
      <c r="N150" s="25">
        <f t="shared" si="6"/>
        <v>1106.9630000000002</v>
      </c>
      <c r="O150" s="25">
        <f t="shared" ca="1" si="7"/>
        <v>1</v>
      </c>
      <c r="P150" s="25">
        <f t="shared" ca="1" si="8"/>
        <v>0.29840450569603688</v>
      </c>
    </row>
    <row r="151" spans="12:16" s="23" customFormat="1" ht="13.8">
      <c r="L151" s="23">
        <v>148</v>
      </c>
      <c r="M151" s="23">
        <f ca="1"/>
        <v>1509.0587144826259</v>
      </c>
      <c r="N151" s="25">
        <f t="shared" si="6"/>
        <v>1106.9630000000002</v>
      </c>
      <c r="O151" s="25">
        <f t="shared" ca="1" si="7"/>
        <v>0</v>
      </c>
      <c r="P151" s="25">
        <f t="shared" ca="1" si="8"/>
        <v>0</v>
      </c>
    </row>
    <row r="152" spans="12:16" s="23" customFormat="1" ht="13.8">
      <c r="L152" s="33">
        <v>149</v>
      </c>
      <c r="M152" s="23">
        <f ca="1"/>
        <v>1836.6311858776639</v>
      </c>
      <c r="N152" s="25">
        <f t="shared" si="6"/>
        <v>1106.9630000000002</v>
      </c>
      <c r="O152" s="25">
        <f t="shared" ca="1" si="7"/>
        <v>0</v>
      </c>
      <c r="P152" s="25">
        <f t="shared" ca="1" si="8"/>
        <v>0</v>
      </c>
    </row>
    <row r="153" spans="12:16" s="23" customFormat="1" ht="13.8">
      <c r="L153" s="23">
        <v>150</v>
      </c>
      <c r="M153" s="23">
        <f ca="1"/>
        <v>1537.2834374801155</v>
      </c>
      <c r="N153" s="25">
        <f t="shared" si="6"/>
        <v>1106.9630000000002</v>
      </c>
      <c r="O153" s="25">
        <f t="shared" ca="1" si="7"/>
        <v>0</v>
      </c>
      <c r="P153" s="25">
        <f t="shared" ca="1" si="8"/>
        <v>0</v>
      </c>
    </row>
    <row r="154" spans="12:16" s="23" customFormat="1" ht="13.8">
      <c r="L154" s="33">
        <v>151</v>
      </c>
      <c r="M154" s="23">
        <f ca="1"/>
        <v>1581.5057107621624</v>
      </c>
      <c r="N154" s="25">
        <f t="shared" si="6"/>
        <v>1106.9630000000002</v>
      </c>
      <c r="O154" s="25">
        <f t="shared" ca="1" si="7"/>
        <v>0</v>
      </c>
      <c r="P154" s="25">
        <f t="shared" ca="1" si="8"/>
        <v>0</v>
      </c>
    </row>
    <row r="155" spans="12:16" s="23" customFormat="1" ht="13.8">
      <c r="L155" s="23">
        <v>152</v>
      </c>
      <c r="M155" s="23">
        <f ca="1"/>
        <v>1398.1604522179241</v>
      </c>
      <c r="N155" s="25">
        <f t="shared" si="6"/>
        <v>1106.9630000000002</v>
      </c>
      <c r="O155" s="25">
        <f t="shared" ca="1" si="7"/>
        <v>0</v>
      </c>
      <c r="P155" s="25">
        <f t="shared" ca="1" si="8"/>
        <v>0</v>
      </c>
    </row>
    <row r="156" spans="12:16" s="23" customFormat="1" ht="13.8">
      <c r="L156" s="33">
        <v>153</v>
      </c>
      <c r="M156" s="23">
        <f ca="1"/>
        <v>1694.7120356861249</v>
      </c>
      <c r="N156" s="25">
        <f t="shared" si="6"/>
        <v>1106.9630000000002</v>
      </c>
      <c r="O156" s="25">
        <f t="shared" ca="1" si="7"/>
        <v>0</v>
      </c>
      <c r="P156" s="25">
        <f t="shared" ca="1" si="8"/>
        <v>0</v>
      </c>
    </row>
    <row r="157" spans="12:16" s="23" customFormat="1" ht="13.8">
      <c r="L157" s="23">
        <v>154</v>
      </c>
      <c r="M157" s="23">
        <f ca="1"/>
        <v>1679.4834704625739</v>
      </c>
      <c r="N157" s="25">
        <f t="shared" si="6"/>
        <v>1106.9630000000002</v>
      </c>
      <c r="O157" s="25">
        <f t="shared" ca="1" si="7"/>
        <v>0</v>
      </c>
      <c r="P157" s="25">
        <f t="shared" ca="1" si="8"/>
        <v>0</v>
      </c>
    </row>
    <row r="158" spans="12:16" s="23" customFormat="1" ht="13.8">
      <c r="L158" s="33">
        <v>155</v>
      </c>
      <c r="M158" s="23">
        <f ca="1"/>
        <v>1093.22707802062</v>
      </c>
      <c r="N158" s="25">
        <f t="shared" si="6"/>
        <v>1106.9630000000002</v>
      </c>
      <c r="O158" s="25">
        <f t="shared" ca="1" si="7"/>
        <v>1</v>
      </c>
      <c r="P158" s="25">
        <f t="shared" ca="1" si="8"/>
        <v>1.2408655013203002E-2</v>
      </c>
    </row>
    <row r="159" spans="12:16" s="23" customFormat="1" ht="13.8">
      <c r="L159" s="23">
        <v>156</v>
      </c>
      <c r="M159" s="23">
        <f ca="1"/>
        <v>1398.150875963913</v>
      </c>
      <c r="N159" s="25">
        <f t="shared" si="6"/>
        <v>1106.9630000000002</v>
      </c>
      <c r="O159" s="25">
        <f t="shared" ca="1" si="7"/>
        <v>0</v>
      </c>
      <c r="P159" s="25">
        <f t="shared" ca="1" si="8"/>
        <v>0</v>
      </c>
    </row>
    <row r="160" spans="12:16" s="23" customFormat="1" ht="13.8">
      <c r="L160" s="33">
        <v>157</v>
      </c>
      <c r="M160" s="23">
        <f ca="1"/>
        <v>1514.489135903789</v>
      </c>
      <c r="N160" s="25">
        <f t="shared" si="6"/>
        <v>1106.9630000000002</v>
      </c>
      <c r="O160" s="25">
        <f t="shared" ca="1" si="7"/>
        <v>0</v>
      </c>
      <c r="P160" s="25">
        <f t="shared" ca="1" si="8"/>
        <v>0</v>
      </c>
    </row>
    <row r="161" spans="12:16" s="23" customFormat="1" ht="13.8">
      <c r="L161" s="23">
        <v>158</v>
      </c>
      <c r="M161" s="23">
        <f ca="1"/>
        <v>1925.3568976794415</v>
      </c>
      <c r="N161" s="25">
        <f t="shared" si="6"/>
        <v>1106.9630000000002</v>
      </c>
      <c r="O161" s="25">
        <f t="shared" ca="1" si="7"/>
        <v>0</v>
      </c>
      <c r="P161" s="25">
        <f t="shared" ca="1" si="8"/>
        <v>0</v>
      </c>
    </row>
    <row r="162" spans="12:16" s="23" customFormat="1" ht="13.8">
      <c r="L162" s="33">
        <v>159</v>
      </c>
      <c r="M162" s="23">
        <f ca="1"/>
        <v>1659.2688996350155</v>
      </c>
      <c r="N162" s="25">
        <f t="shared" si="6"/>
        <v>1106.9630000000002</v>
      </c>
      <c r="O162" s="25">
        <f t="shared" ca="1" si="7"/>
        <v>0</v>
      </c>
      <c r="P162" s="25">
        <f t="shared" ca="1" si="8"/>
        <v>0</v>
      </c>
    </row>
    <row r="163" spans="12:16" s="23" customFormat="1" ht="13.8">
      <c r="L163" s="23">
        <v>160</v>
      </c>
      <c r="M163" s="23">
        <f ca="1"/>
        <v>2058.0846011420936</v>
      </c>
      <c r="N163" s="25">
        <f t="shared" si="6"/>
        <v>1106.9630000000002</v>
      </c>
      <c r="O163" s="25">
        <f t="shared" ca="1" si="7"/>
        <v>0</v>
      </c>
      <c r="P163" s="25">
        <f t="shared" ca="1" si="8"/>
        <v>0</v>
      </c>
    </row>
    <row r="164" spans="12:16" s="23" customFormat="1" ht="13.8">
      <c r="L164" s="33">
        <v>161</v>
      </c>
      <c r="M164" s="23">
        <f ca="1"/>
        <v>1110.1191164219601</v>
      </c>
      <c r="N164" s="25">
        <f t="shared" si="6"/>
        <v>1106.9630000000002</v>
      </c>
      <c r="O164" s="25">
        <f t="shared" ca="1" si="7"/>
        <v>0</v>
      </c>
      <c r="P164" s="25">
        <f t="shared" ca="1" si="8"/>
        <v>0</v>
      </c>
    </row>
    <row r="165" spans="12:16" s="23" customFormat="1" ht="13.8">
      <c r="L165" s="23">
        <v>162</v>
      </c>
      <c r="M165" s="23">
        <f ca="1"/>
        <v>2240.5295066306471</v>
      </c>
      <c r="N165" s="25">
        <f t="shared" si="6"/>
        <v>1106.9630000000002</v>
      </c>
      <c r="O165" s="25">
        <f t="shared" ca="1" si="7"/>
        <v>0</v>
      </c>
      <c r="P165" s="25">
        <f t="shared" ca="1" si="8"/>
        <v>0</v>
      </c>
    </row>
    <row r="166" spans="12:16" s="23" customFormat="1" ht="13.8">
      <c r="L166" s="33">
        <v>163</v>
      </c>
      <c r="M166" s="23">
        <f ca="1"/>
        <v>1607.7562675982849</v>
      </c>
      <c r="N166" s="25">
        <f t="shared" si="6"/>
        <v>1106.9630000000002</v>
      </c>
      <c r="O166" s="25">
        <f t="shared" ca="1" si="7"/>
        <v>0</v>
      </c>
      <c r="P166" s="25">
        <f t="shared" ca="1" si="8"/>
        <v>0</v>
      </c>
    </row>
    <row r="167" spans="12:16" s="23" customFormat="1" ht="13.8">
      <c r="L167" s="23">
        <v>164</v>
      </c>
      <c r="M167" s="23">
        <f ca="1"/>
        <v>1857.5369128681627</v>
      </c>
      <c r="N167" s="25">
        <f t="shared" si="6"/>
        <v>1106.9630000000002</v>
      </c>
      <c r="O167" s="25">
        <f t="shared" ca="1" si="7"/>
        <v>0</v>
      </c>
      <c r="P167" s="25">
        <f t="shared" ca="1" si="8"/>
        <v>0</v>
      </c>
    </row>
    <row r="168" spans="12:16" s="23" customFormat="1" ht="13.8">
      <c r="L168" s="33">
        <v>165</v>
      </c>
      <c r="M168" s="23">
        <f ca="1"/>
        <v>1723.8662090385549</v>
      </c>
      <c r="N168" s="25">
        <f t="shared" si="6"/>
        <v>1106.9630000000002</v>
      </c>
      <c r="O168" s="25">
        <f t="shared" ca="1" si="7"/>
        <v>0</v>
      </c>
      <c r="P168" s="25">
        <f t="shared" ca="1" si="8"/>
        <v>0</v>
      </c>
    </row>
    <row r="169" spans="12:16" s="23" customFormat="1" ht="13.8">
      <c r="L169" s="23">
        <v>166</v>
      </c>
      <c r="M169" s="23">
        <f ca="1"/>
        <v>1924.0657533630786</v>
      </c>
      <c r="N169" s="25">
        <f t="shared" si="6"/>
        <v>1106.9630000000002</v>
      </c>
      <c r="O169" s="25">
        <f t="shared" ca="1" si="7"/>
        <v>0</v>
      </c>
      <c r="P169" s="25">
        <f t="shared" ca="1" si="8"/>
        <v>0</v>
      </c>
    </row>
    <row r="170" spans="12:16" s="23" customFormat="1" ht="13.8">
      <c r="L170" s="33">
        <v>167</v>
      </c>
      <c r="M170" s="23">
        <f ca="1"/>
        <v>1176.5746463530741</v>
      </c>
      <c r="N170" s="25">
        <f t="shared" si="6"/>
        <v>1106.9630000000002</v>
      </c>
      <c r="O170" s="25">
        <f t="shared" ca="1" si="7"/>
        <v>0</v>
      </c>
      <c r="P170" s="25">
        <f t="shared" ca="1" si="8"/>
        <v>0</v>
      </c>
    </row>
    <row r="171" spans="12:16" s="23" customFormat="1" ht="13.8">
      <c r="L171" s="23">
        <v>168</v>
      </c>
      <c r="M171" s="23">
        <f ca="1"/>
        <v>1583.0853033319106</v>
      </c>
      <c r="N171" s="25">
        <f t="shared" si="6"/>
        <v>1106.9630000000002</v>
      </c>
      <c r="O171" s="25">
        <f t="shared" ca="1" si="7"/>
        <v>0</v>
      </c>
      <c r="P171" s="25">
        <f t="shared" ca="1" si="8"/>
        <v>0</v>
      </c>
    </row>
    <row r="172" spans="12:16" s="23" customFormat="1" ht="13.8">
      <c r="L172" s="33">
        <v>169</v>
      </c>
      <c r="M172" s="23">
        <f ca="1"/>
        <v>1806.1906039409816</v>
      </c>
      <c r="N172" s="25">
        <f t="shared" si="6"/>
        <v>1106.9630000000002</v>
      </c>
      <c r="O172" s="25">
        <f t="shared" ca="1" si="7"/>
        <v>0</v>
      </c>
      <c r="P172" s="25">
        <f t="shared" ca="1" si="8"/>
        <v>0</v>
      </c>
    </row>
    <row r="173" spans="12:16" s="23" customFormat="1" ht="13.8">
      <c r="L173" s="23">
        <v>170</v>
      </c>
      <c r="M173" s="23">
        <f ca="1"/>
        <v>1721.214226196385</v>
      </c>
      <c r="N173" s="25">
        <f t="shared" si="6"/>
        <v>1106.9630000000002</v>
      </c>
      <c r="O173" s="25">
        <f t="shared" ca="1" si="7"/>
        <v>0</v>
      </c>
      <c r="P173" s="25">
        <f t="shared" ca="1" si="8"/>
        <v>0</v>
      </c>
    </row>
    <row r="174" spans="12:16" s="23" customFormat="1" ht="13.8">
      <c r="L174" s="33">
        <v>171</v>
      </c>
      <c r="M174" s="23">
        <f ca="1"/>
        <v>1779.4576110671305</v>
      </c>
      <c r="N174" s="25">
        <f t="shared" si="6"/>
        <v>1106.9630000000002</v>
      </c>
      <c r="O174" s="25">
        <f t="shared" ca="1" si="7"/>
        <v>0</v>
      </c>
      <c r="P174" s="25">
        <f t="shared" ca="1" si="8"/>
        <v>0</v>
      </c>
    </row>
    <row r="175" spans="12:16" s="23" customFormat="1" ht="13.8">
      <c r="L175" s="23">
        <v>172</v>
      </c>
      <c r="M175" s="23">
        <f ca="1"/>
        <v>1110.276919296454</v>
      </c>
      <c r="N175" s="25">
        <f t="shared" si="6"/>
        <v>1106.9630000000002</v>
      </c>
      <c r="O175" s="25">
        <f t="shared" ca="1" si="7"/>
        <v>0</v>
      </c>
      <c r="P175" s="25">
        <f t="shared" ca="1" si="8"/>
        <v>0</v>
      </c>
    </row>
    <row r="176" spans="12:16" s="23" customFormat="1" ht="13.8">
      <c r="L176" s="33">
        <v>173</v>
      </c>
      <c r="M176" s="23">
        <f ca="1"/>
        <v>914.87492593394097</v>
      </c>
      <c r="N176" s="25">
        <f t="shared" si="6"/>
        <v>1106.9630000000002</v>
      </c>
      <c r="O176" s="25">
        <f t="shared" ca="1" si="7"/>
        <v>1</v>
      </c>
      <c r="P176" s="25">
        <f t="shared" ca="1" si="8"/>
        <v>0.17352709536457786</v>
      </c>
    </row>
    <row r="177" spans="12:16" s="23" customFormat="1" ht="13.8">
      <c r="L177" s="23">
        <v>174</v>
      </c>
      <c r="M177" s="23">
        <f ca="1"/>
        <v>1883.6866985784059</v>
      </c>
      <c r="N177" s="25">
        <f t="shared" si="6"/>
        <v>1106.9630000000002</v>
      </c>
      <c r="O177" s="25">
        <f t="shared" ca="1" si="7"/>
        <v>0</v>
      </c>
      <c r="P177" s="25">
        <f t="shared" ca="1" si="8"/>
        <v>0</v>
      </c>
    </row>
    <row r="178" spans="12:16" s="23" customFormat="1" ht="13.8">
      <c r="L178" s="33">
        <v>175</v>
      </c>
      <c r="M178" s="23">
        <f ca="1"/>
        <v>1311.7372684375823</v>
      </c>
      <c r="N178" s="25">
        <f t="shared" si="6"/>
        <v>1106.9630000000002</v>
      </c>
      <c r="O178" s="25">
        <f t="shared" ca="1" si="7"/>
        <v>0</v>
      </c>
      <c r="P178" s="25">
        <f t="shared" ca="1" si="8"/>
        <v>0</v>
      </c>
    </row>
    <row r="179" spans="12:16" s="23" customFormat="1" ht="13.8">
      <c r="L179" s="23">
        <v>176</v>
      </c>
      <c r="M179" s="23">
        <f ca="1"/>
        <v>215.46017793363146</v>
      </c>
      <c r="N179" s="25">
        <f t="shared" si="6"/>
        <v>1106.9630000000002</v>
      </c>
      <c r="O179" s="25">
        <f t="shared" ca="1" si="7"/>
        <v>1</v>
      </c>
      <c r="P179" s="25">
        <f t="shared" ca="1" si="8"/>
        <v>0.80535918731373002</v>
      </c>
    </row>
    <row r="180" spans="12:16" s="23" customFormat="1" ht="13.8">
      <c r="L180" s="33">
        <v>177</v>
      </c>
      <c r="M180" s="23">
        <f ca="1"/>
        <v>2006.0575026698903</v>
      </c>
      <c r="N180" s="25">
        <f t="shared" si="6"/>
        <v>1106.9630000000002</v>
      </c>
      <c r="O180" s="25">
        <f t="shared" ca="1" si="7"/>
        <v>0</v>
      </c>
      <c r="P180" s="25">
        <f t="shared" ca="1" si="8"/>
        <v>0</v>
      </c>
    </row>
    <row r="181" spans="12:16" s="23" customFormat="1" ht="13.8">
      <c r="L181" s="23">
        <v>178</v>
      </c>
      <c r="M181" s="23">
        <f ca="1"/>
        <v>1119.5572968195816</v>
      </c>
      <c r="N181" s="25">
        <f t="shared" si="6"/>
        <v>1106.9630000000002</v>
      </c>
      <c r="O181" s="25">
        <f t="shared" ca="1" si="7"/>
        <v>0</v>
      </c>
      <c r="P181" s="25">
        <f t="shared" ca="1" si="8"/>
        <v>0</v>
      </c>
    </row>
    <row r="182" spans="12:16" s="23" customFormat="1" ht="13.8">
      <c r="L182" s="33">
        <v>179</v>
      </c>
      <c r="M182" s="23">
        <f ca="1"/>
        <v>1346.0793729279872</v>
      </c>
      <c r="N182" s="25">
        <f t="shared" si="6"/>
        <v>1106.9630000000002</v>
      </c>
      <c r="O182" s="25">
        <f t="shared" ca="1" si="7"/>
        <v>0</v>
      </c>
      <c r="P182" s="25">
        <f t="shared" ca="1" si="8"/>
        <v>0</v>
      </c>
    </row>
    <row r="183" spans="12:16" s="23" customFormat="1" ht="13.8">
      <c r="L183" s="23">
        <v>180</v>
      </c>
      <c r="M183" s="23">
        <f ca="1"/>
        <v>1983.5956392579467</v>
      </c>
      <c r="N183" s="25">
        <f t="shared" si="6"/>
        <v>1106.9630000000002</v>
      </c>
      <c r="O183" s="25">
        <f t="shared" ca="1" si="7"/>
        <v>0</v>
      </c>
      <c r="P183" s="25">
        <f t="shared" ca="1" si="8"/>
        <v>0</v>
      </c>
    </row>
    <row r="184" spans="12:16" s="23" customFormat="1" ht="13.8">
      <c r="L184" s="33">
        <v>181</v>
      </c>
      <c r="M184" s="23">
        <f ca="1"/>
        <v>1490.273534552924</v>
      </c>
      <c r="N184" s="25">
        <f t="shared" si="6"/>
        <v>1106.9630000000002</v>
      </c>
      <c r="O184" s="25">
        <f t="shared" ca="1" si="7"/>
        <v>0</v>
      </c>
      <c r="P184" s="25">
        <f t="shared" ca="1" si="8"/>
        <v>0</v>
      </c>
    </row>
    <row r="185" spans="12:16" s="23" customFormat="1" ht="13.8">
      <c r="L185" s="23">
        <v>182</v>
      </c>
      <c r="M185" s="23">
        <f ca="1"/>
        <v>1515.9845370098096</v>
      </c>
      <c r="N185" s="25">
        <f t="shared" si="6"/>
        <v>1106.9630000000002</v>
      </c>
      <c r="O185" s="25">
        <f t="shared" ca="1" si="7"/>
        <v>0</v>
      </c>
      <c r="P185" s="25">
        <f t="shared" ca="1" si="8"/>
        <v>0</v>
      </c>
    </row>
    <row r="186" spans="12:16" s="23" customFormat="1" ht="13.8">
      <c r="L186" s="33">
        <v>183</v>
      </c>
      <c r="M186" s="23">
        <f ca="1"/>
        <v>784.00083422881187</v>
      </c>
      <c r="N186" s="25">
        <f t="shared" si="6"/>
        <v>1106.9630000000002</v>
      </c>
      <c r="O186" s="25">
        <f t="shared" ca="1" si="7"/>
        <v>1</v>
      </c>
      <c r="P186" s="25">
        <f t="shared" ca="1" si="8"/>
        <v>0.29175515872814922</v>
      </c>
    </row>
    <row r="187" spans="12:16" s="23" customFormat="1" ht="13.8">
      <c r="L187" s="23">
        <v>184</v>
      </c>
      <c r="M187" s="23">
        <f ca="1"/>
        <v>1937.5692456292077</v>
      </c>
      <c r="N187" s="25">
        <f t="shared" si="6"/>
        <v>1106.9630000000002</v>
      </c>
      <c r="O187" s="25">
        <f t="shared" ca="1" si="7"/>
        <v>0</v>
      </c>
      <c r="P187" s="25">
        <f t="shared" ca="1" si="8"/>
        <v>0</v>
      </c>
    </row>
    <row r="188" spans="12:16" s="23" customFormat="1" ht="13.8">
      <c r="L188" s="33">
        <v>185</v>
      </c>
      <c r="M188" s="23">
        <f ca="1"/>
        <v>1998.7948620584402</v>
      </c>
      <c r="N188" s="25">
        <f t="shared" si="6"/>
        <v>1106.9630000000002</v>
      </c>
      <c r="O188" s="25">
        <f t="shared" ca="1" si="7"/>
        <v>0</v>
      </c>
      <c r="P188" s="25">
        <f t="shared" ca="1" si="8"/>
        <v>0</v>
      </c>
    </row>
    <row r="189" spans="12:16" s="23" customFormat="1" ht="13.8">
      <c r="L189" s="23">
        <v>186</v>
      </c>
      <c r="M189" s="23">
        <f ca="1"/>
        <v>1089.5115085262692</v>
      </c>
      <c r="N189" s="25">
        <f t="shared" si="6"/>
        <v>1106.9630000000002</v>
      </c>
      <c r="O189" s="25">
        <f t="shared" ca="1" si="7"/>
        <v>1</v>
      </c>
      <c r="P189" s="25">
        <f t="shared" ca="1" si="8"/>
        <v>1.5765198542075063E-2</v>
      </c>
    </row>
    <row r="190" spans="12:16" s="23" customFormat="1" ht="13.8">
      <c r="L190" s="33">
        <v>187</v>
      </c>
      <c r="M190" s="23">
        <f ca="1"/>
        <v>1207.5937821956027</v>
      </c>
      <c r="N190" s="25">
        <f t="shared" si="6"/>
        <v>1106.9630000000002</v>
      </c>
      <c r="O190" s="25">
        <f t="shared" ca="1" si="7"/>
        <v>0</v>
      </c>
      <c r="P190" s="25">
        <f t="shared" ca="1" si="8"/>
        <v>0</v>
      </c>
    </row>
    <row r="191" spans="12:16" s="23" customFormat="1" ht="13.8">
      <c r="L191" s="23">
        <v>188</v>
      </c>
      <c r="M191" s="23">
        <f ca="1"/>
        <v>1234.2563036115996</v>
      </c>
      <c r="N191" s="25">
        <f t="shared" si="6"/>
        <v>1106.9630000000002</v>
      </c>
      <c r="O191" s="25">
        <f t="shared" ca="1" si="7"/>
        <v>0</v>
      </c>
      <c r="P191" s="25">
        <f t="shared" ca="1" si="8"/>
        <v>0</v>
      </c>
    </row>
    <row r="192" spans="12:16" s="23" customFormat="1" ht="13.8">
      <c r="L192" s="33">
        <v>189</v>
      </c>
      <c r="M192" s="23">
        <f ca="1"/>
        <v>2124.8467439844489</v>
      </c>
      <c r="N192" s="25">
        <f t="shared" si="6"/>
        <v>1106.9630000000002</v>
      </c>
      <c r="O192" s="25">
        <f t="shared" ca="1" si="7"/>
        <v>0</v>
      </c>
      <c r="P192" s="25">
        <f t="shared" ca="1" si="8"/>
        <v>0</v>
      </c>
    </row>
    <row r="193" spans="12:16" s="23" customFormat="1" ht="13.8">
      <c r="L193" s="23">
        <v>190</v>
      </c>
      <c r="M193" s="23">
        <f ca="1"/>
        <v>1576.2361674698097</v>
      </c>
      <c r="N193" s="25">
        <f t="shared" si="6"/>
        <v>1106.9630000000002</v>
      </c>
      <c r="O193" s="25">
        <f t="shared" ca="1" si="7"/>
        <v>0</v>
      </c>
      <c r="P193" s="25">
        <f t="shared" ca="1" si="8"/>
        <v>0</v>
      </c>
    </row>
    <row r="194" spans="12:16" s="23" customFormat="1" ht="13.8">
      <c r="L194" s="33">
        <v>191</v>
      </c>
      <c r="M194" s="23">
        <f ca="1"/>
        <v>1996.5807407948184</v>
      </c>
      <c r="N194" s="25">
        <f t="shared" si="6"/>
        <v>1106.9630000000002</v>
      </c>
      <c r="O194" s="25">
        <f t="shared" ca="1" si="7"/>
        <v>0</v>
      </c>
      <c r="P194" s="25">
        <f t="shared" ca="1" si="8"/>
        <v>0</v>
      </c>
    </row>
    <row r="195" spans="12:16" s="23" customFormat="1" ht="13.8">
      <c r="L195" s="23">
        <v>192</v>
      </c>
      <c r="M195" s="23">
        <f ca="1"/>
        <v>367.24218325980081</v>
      </c>
      <c r="N195" s="25">
        <f t="shared" si="6"/>
        <v>1106.9630000000002</v>
      </c>
      <c r="O195" s="25">
        <f t="shared" ca="1" si="7"/>
        <v>1</v>
      </c>
      <c r="P195" s="25">
        <f t="shared" ca="1" si="8"/>
        <v>0.6682434884817281</v>
      </c>
    </row>
    <row r="196" spans="12:16" s="23" customFormat="1" ht="13.8">
      <c r="L196" s="33">
        <v>193</v>
      </c>
      <c r="M196" s="23">
        <f ca="1"/>
        <v>1829.6706126624688</v>
      </c>
      <c r="N196" s="25">
        <f t="shared" ref="N196:N259" si="9">($C$21+$E$21)*1.1</f>
        <v>1106.9630000000002</v>
      </c>
      <c r="O196" s="25">
        <f t="shared" ca="1" si="7"/>
        <v>0</v>
      </c>
      <c r="P196" s="25">
        <f t="shared" ca="1" si="8"/>
        <v>0</v>
      </c>
    </row>
    <row r="197" spans="12:16" s="23" customFormat="1" ht="13.8">
      <c r="L197" s="23">
        <v>194</v>
      </c>
      <c r="M197" s="23">
        <f ca="1"/>
        <v>1573.6961442464403</v>
      </c>
      <c r="N197" s="25">
        <f t="shared" si="9"/>
        <v>1106.9630000000002</v>
      </c>
      <c r="O197" s="25">
        <f t="shared" ref="O197:O260" ca="1" si="10">IF(M197&lt;N197,1,0)</f>
        <v>0</v>
      </c>
      <c r="P197" s="25">
        <f t="shared" ref="P197:P260" ca="1" si="11">MAX((N197-M197)/N197,0)</f>
        <v>0</v>
      </c>
    </row>
    <row r="198" spans="12:16" s="23" customFormat="1" ht="13.8">
      <c r="L198" s="33">
        <v>195</v>
      </c>
      <c r="M198" s="23">
        <f ca="1"/>
        <v>1790.5875998734141</v>
      </c>
      <c r="N198" s="25">
        <f t="shared" si="9"/>
        <v>1106.9630000000002</v>
      </c>
      <c r="O198" s="25">
        <f t="shared" ca="1" si="10"/>
        <v>0</v>
      </c>
      <c r="P198" s="25">
        <f t="shared" ca="1" si="11"/>
        <v>0</v>
      </c>
    </row>
    <row r="199" spans="12:16" s="23" customFormat="1" ht="13.8">
      <c r="L199" s="23">
        <v>196</v>
      </c>
      <c r="M199" s="23">
        <f ca="1"/>
        <v>889.29479971969033</v>
      </c>
      <c r="N199" s="25">
        <f t="shared" si="9"/>
        <v>1106.9630000000002</v>
      </c>
      <c r="O199" s="25">
        <f t="shared" ca="1" si="10"/>
        <v>1</v>
      </c>
      <c r="P199" s="25">
        <f t="shared" ca="1" si="11"/>
        <v>0.19663547948785084</v>
      </c>
    </row>
    <row r="200" spans="12:16" s="23" customFormat="1" ht="13.8">
      <c r="L200" s="33">
        <v>197</v>
      </c>
      <c r="M200" s="23">
        <f ca="1"/>
        <v>1401.7539957752269</v>
      </c>
      <c r="N200" s="25">
        <f t="shared" si="9"/>
        <v>1106.9630000000002</v>
      </c>
      <c r="O200" s="25">
        <f t="shared" ca="1" si="10"/>
        <v>0</v>
      </c>
      <c r="P200" s="25">
        <f t="shared" ca="1" si="11"/>
        <v>0</v>
      </c>
    </row>
    <row r="201" spans="12:16" s="23" customFormat="1" ht="13.8">
      <c r="L201" s="23">
        <v>198</v>
      </c>
      <c r="M201" s="23">
        <f ca="1"/>
        <v>1872.8201233282125</v>
      </c>
      <c r="N201" s="25">
        <f t="shared" si="9"/>
        <v>1106.9630000000002</v>
      </c>
      <c r="O201" s="25">
        <f t="shared" ca="1" si="10"/>
        <v>0</v>
      </c>
      <c r="P201" s="25">
        <f t="shared" ca="1" si="11"/>
        <v>0</v>
      </c>
    </row>
    <row r="202" spans="12:16" s="23" customFormat="1" ht="13.8">
      <c r="L202" s="33">
        <v>199</v>
      </c>
      <c r="M202" s="23">
        <f ca="1"/>
        <v>1176.0104980914718</v>
      </c>
      <c r="N202" s="25">
        <f t="shared" si="9"/>
        <v>1106.9630000000002</v>
      </c>
      <c r="O202" s="25">
        <f t="shared" ca="1" si="10"/>
        <v>0</v>
      </c>
      <c r="P202" s="25">
        <f t="shared" ca="1" si="11"/>
        <v>0</v>
      </c>
    </row>
    <row r="203" spans="12:16" s="23" customFormat="1" ht="13.8">
      <c r="L203" s="23">
        <v>200</v>
      </c>
      <c r="M203" s="23">
        <f ca="1"/>
        <v>1293.5313595995556</v>
      </c>
      <c r="N203" s="25">
        <f t="shared" si="9"/>
        <v>1106.9630000000002</v>
      </c>
      <c r="O203" s="25">
        <f t="shared" ca="1" si="10"/>
        <v>0</v>
      </c>
      <c r="P203" s="25">
        <f t="shared" ca="1" si="11"/>
        <v>0</v>
      </c>
    </row>
    <row r="204" spans="12:16" s="23" customFormat="1" ht="13.8">
      <c r="L204" s="33">
        <v>201</v>
      </c>
      <c r="M204" s="23">
        <f ca="1"/>
        <v>2065.5692742520837</v>
      </c>
      <c r="N204" s="25">
        <f t="shared" si="9"/>
        <v>1106.9630000000002</v>
      </c>
      <c r="O204" s="25">
        <f t="shared" ca="1" si="10"/>
        <v>0</v>
      </c>
      <c r="P204" s="25">
        <f t="shared" ca="1" si="11"/>
        <v>0</v>
      </c>
    </row>
    <row r="205" spans="12:16" s="23" customFormat="1" ht="13.8">
      <c r="L205" s="23">
        <v>202</v>
      </c>
      <c r="M205" s="23">
        <f ca="1"/>
        <v>1575.5220572177307</v>
      </c>
      <c r="N205" s="25">
        <f t="shared" si="9"/>
        <v>1106.9630000000002</v>
      </c>
      <c r="O205" s="25">
        <f t="shared" ca="1" si="10"/>
        <v>0</v>
      </c>
      <c r="P205" s="25">
        <f t="shared" ca="1" si="11"/>
        <v>0</v>
      </c>
    </row>
    <row r="206" spans="12:16" s="23" customFormat="1" ht="13.8">
      <c r="L206" s="33">
        <v>203</v>
      </c>
      <c r="M206" s="23">
        <f ca="1"/>
        <v>1513.5392805473482</v>
      </c>
      <c r="N206" s="25">
        <f t="shared" si="9"/>
        <v>1106.9630000000002</v>
      </c>
      <c r="O206" s="25">
        <f t="shared" ca="1" si="10"/>
        <v>0</v>
      </c>
      <c r="P206" s="25">
        <f t="shared" ca="1" si="11"/>
        <v>0</v>
      </c>
    </row>
    <row r="207" spans="12:16" s="23" customFormat="1" ht="13.8">
      <c r="L207" s="23">
        <v>204</v>
      </c>
      <c r="M207" s="23">
        <f ca="1"/>
        <v>2399.5652913156382</v>
      </c>
      <c r="N207" s="25">
        <f t="shared" si="9"/>
        <v>1106.9630000000002</v>
      </c>
      <c r="O207" s="25">
        <f t="shared" ca="1" si="10"/>
        <v>0</v>
      </c>
      <c r="P207" s="25">
        <f t="shared" ca="1" si="11"/>
        <v>0</v>
      </c>
    </row>
    <row r="208" spans="12:16" s="23" customFormat="1" ht="13.8">
      <c r="L208" s="33">
        <v>205</v>
      </c>
      <c r="M208" s="23">
        <f ca="1"/>
        <v>1796.9908002614359</v>
      </c>
      <c r="N208" s="25">
        <f t="shared" si="9"/>
        <v>1106.9630000000002</v>
      </c>
      <c r="O208" s="25">
        <f t="shared" ca="1" si="10"/>
        <v>0</v>
      </c>
      <c r="P208" s="25">
        <f t="shared" ca="1" si="11"/>
        <v>0</v>
      </c>
    </row>
    <row r="209" spans="12:16" s="23" customFormat="1" ht="13.8">
      <c r="L209" s="23">
        <v>206</v>
      </c>
      <c r="M209" s="23">
        <f ca="1"/>
        <v>996.53922027900569</v>
      </c>
      <c r="N209" s="25">
        <f t="shared" si="9"/>
        <v>1106.9630000000002</v>
      </c>
      <c r="O209" s="25">
        <f t="shared" ca="1" si="10"/>
        <v>1</v>
      </c>
      <c r="P209" s="25">
        <f t="shared" ca="1" si="11"/>
        <v>9.9753812657689983E-2</v>
      </c>
    </row>
    <row r="210" spans="12:16" s="23" customFormat="1" ht="13.8">
      <c r="L210" s="33">
        <v>207</v>
      </c>
      <c r="M210" s="23">
        <f ca="1"/>
        <v>1630.4187774289451</v>
      </c>
      <c r="N210" s="25">
        <f t="shared" si="9"/>
        <v>1106.9630000000002</v>
      </c>
      <c r="O210" s="25">
        <f t="shared" ca="1" si="10"/>
        <v>0</v>
      </c>
      <c r="P210" s="25">
        <f t="shared" ca="1" si="11"/>
        <v>0</v>
      </c>
    </row>
    <row r="211" spans="12:16" s="23" customFormat="1" ht="13.8">
      <c r="L211" s="23">
        <v>208</v>
      </c>
      <c r="M211" s="23">
        <f ca="1"/>
        <v>933.02898310251578</v>
      </c>
      <c r="N211" s="25">
        <f t="shared" si="9"/>
        <v>1106.9630000000002</v>
      </c>
      <c r="O211" s="25">
        <f t="shared" ca="1" si="10"/>
        <v>1</v>
      </c>
      <c r="P211" s="25">
        <f t="shared" ca="1" si="11"/>
        <v>0.15712721825163478</v>
      </c>
    </row>
    <row r="212" spans="12:16" s="23" customFormat="1" ht="13.8">
      <c r="L212" s="33">
        <v>209</v>
      </c>
      <c r="M212" s="23">
        <f ca="1"/>
        <v>1381.4058996668321</v>
      </c>
      <c r="N212" s="25">
        <f t="shared" si="9"/>
        <v>1106.9630000000002</v>
      </c>
      <c r="O212" s="25">
        <f t="shared" ca="1" si="10"/>
        <v>0</v>
      </c>
      <c r="P212" s="25">
        <f t="shared" ca="1" si="11"/>
        <v>0</v>
      </c>
    </row>
    <row r="213" spans="12:16" s="23" customFormat="1" ht="13.8">
      <c r="L213" s="23">
        <v>210</v>
      </c>
      <c r="M213" s="23">
        <f ca="1"/>
        <v>928.74943355744529</v>
      </c>
      <c r="N213" s="25">
        <f t="shared" si="9"/>
        <v>1106.9630000000002</v>
      </c>
      <c r="O213" s="25">
        <f t="shared" ca="1" si="10"/>
        <v>1</v>
      </c>
      <c r="P213" s="25">
        <f t="shared" ca="1" si="11"/>
        <v>0.16099324588315497</v>
      </c>
    </row>
    <row r="214" spans="12:16" s="23" customFormat="1" ht="13.8">
      <c r="L214" s="33">
        <v>211</v>
      </c>
      <c r="M214" s="23">
        <f ca="1"/>
        <v>1209.1079768381437</v>
      </c>
      <c r="N214" s="25">
        <f t="shared" si="9"/>
        <v>1106.9630000000002</v>
      </c>
      <c r="O214" s="25">
        <f t="shared" ca="1" si="10"/>
        <v>0</v>
      </c>
      <c r="P214" s="25">
        <f t="shared" ca="1" si="11"/>
        <v>0</v>
      </c>
    </row>
    <row r="215" spans="12:16" s="23" customFormat="1" ht="13.8">
      <c r="L215" s="23">
        <v>212</v>
      </c>
      <c r="M215" s="23">
        <f ca="1"/>
        <v>1347.8036767640051</v>
      </c>
      <c r="N215" s="25">
        <f t="shared" si="9"/>
        <v>1106.9630000000002</v>
      </c>
      <c r="O215" s="25">
        <f t="shared" ca="1" si="10"/>
        <v>0</v>
      </c>
      <c r="P215" s="25">
        <f t="shared" ca="1" si="11"/>
        <v>0</v>
      </c>
    </row>
    <row r="216" spans="12:16" s="23" customFormat="1" ht="13.8">
      <c r="L216" s="33">
        <v>213</v>
      </c>
      <c r="M216" s="23">
        <f ca="1"/>
        <v>1625.2069212277534</v>
      </c>
      <c r="N216" s="25">
        <f t="shared" si="9"/>
        <v>1106.9630000000002</v>
      </c>
      <c r="O216" s="25">
        <f t="shared" ca="1" si="10"/>
        <v>0</v>
      </c>
      <c r="P216" s="25">
        <f t="shared" ca="1" si="11"/>
        <v>0</v>
      </c>
    </row>
    <row r="217" spans="12:16" s="23" customFormat="1" ht="13.8">
      <c r="L217" s="23">
        <v>214</v>
      </c>
      <c r="M217" s="23">
        <f ca="1"/>
        <v>1622.4635880301448</v>
      </c>
      <c r="N217" s="25">
        <f t="shared" si="9"/>
        <v>1106.9630000000002</v>
      </c>
      <c r="O217" s="25">
        <f t="shared" ca="1" si="10"/>
        <v>0</v>
      </c>
      <c r="P217" s="25">
        <f t="shared" ca="1" si="11"/>
        <v>0</v>
      </c>
    </row>
    <row r="218" spans="12:16" s="23" customFormat="1" ht="13.8">
      <c r="L218" s="33">
        <v>215</v>
      </c>
      <c r="M218" s="23">
        <f ca="1"/>
        <v>1411.0512086637177</v>
      </c>
      <c r="N218" s="25">
        <f t="shared" si="9"/>
        <v>1106.9630000000002</v>
      </c>
      <c r="O218" s="25">
        <f t="shared" ca="1" si="10"/>
        <v>0</v>
      </c>
      <c r="P218" s="25">
        <f t="shared" ca="1" si="11"/>
        <v>0</v>
      </c>
    </row>
    <row r="219" spans="12:16" s="23" customFormat="1" ht="13.8">
      <c r="L219" s="23">
        <v>216</v>
      </c>
      <c r="M219" s="23">
        <f ca="1"/>
        <v>1508.1255188272798</v>
      </c>
      <c r="N219" s="25">
        <f t="shared" si="9"/>
        <v>1106.9630000000002</v>
      </c>
      <c r="O219" s="25">
        <f t="shared" ca="1" si="10"/>
        <v>0</v>
      </c>
      <c r="P219" s="25">
        <f t="shared" ca="1" si="11"/>
        <v>0</v>
      </c>
    </row>
    <row r="220" spans="12:16" s="23" customFormat="1" ht="13.8">
      <c r="L220" s="33">
        <v>217</v>
      </c>
      <c r="M220" s="23">
        <f ca="1"/>
        <v>1152.720903479287</v>
      </c>
      <c r="N220" s="25">
        <f t="shared" si="9"/>
        <v>1106.9630000000002</v>
      </c>
      <c r="O220" s="25">
        <f t="shared" ca="1" si="10"/>
        <v>0</v>
      </c>
      <c r="P220" s="25">
        <f t="shared" ca="1" si="11"/>
        <v>0</v>
      </c>
    </row>
    <row r="221" spans="12:16" s="23" customFormat="1" ht="13.8">
      <c r="L221" s="23">
        <v>218</v>
      </c>
      <c r="M221" s="23">
        <f ca="1"/>
        <v>1506.2157583766161</v>
      </c>
      <c r="N221" s="25">
        <f t="shared" si="9"/>
        <v>1106.9630000000002</v>
      </c>
      <c r="O221" s="25">
        <f t="shared" ca="1" si="10"/>
        <v>0</v>
      </c>
      <c r="P221" s="25">
        <f t="shared" ca="1" si="11"/>
        <v>0</v>
      </c>
    </row>
    <row r="222" spans="12:16" s="23" customFormat="1" ht="13.8">
      <c r="L222" s="33">
        <v>219</v>
      </c>
      <c r="M222" s="23">
        <f ca="1"/>
        <v>922.71477020428313</v>
      </c>
      <c r="N222" s="25">
        <f t="shared" si="9"/>
        <v>1106.9630000000002</v>
      </c>
      <c r="O222" s="25">
        <f t="shared" ca="1" si="10"/>
        <v>1</v>
      </c>
      <c r="P222" s="25">
        <f t="shared" ca="1" si="11"/>
        <v>0.16644479516995331</v>
      </c>
    </row>
    <row r="223" spans="12:16" s="23" customFormat="1" ht="13.8">
      <c r="L223" s="23">
        <v>220</v>
      </c>
      <c r="M223" s="23">
        <f ca="1"/>
        <v>1846.8182993625669</v>
      </c>
      <c r="N223" s="25">
        <f t="shared" si="9"/>
        <v>1106.9630000000002</v>
      </c>
      <c r="O223" s="25">
        <f t="shared" ca="1" si="10"/>
        <v>0</v>
      </c>
      <c r="P223" s="25">
        <f t="shared" ca="1" si="11"/>
        <v>0</v>
      </c>
    </row>
    <row r="224" spans="12:16" s="23" customFormat="1" ht="13.8">
      <c r="L224" s="33">
        <v>221</v>
      </c>
      <c r="M224" s="23">
        <f ca="1"/>
        <v>1868.8866931827713</v>
      </c>
      <c r="N224" s="25">
        <f t="shared" si="9"/>
        <v>1106.9630000000002</v>
      </c>
      <c r="O224" s="25">
        <f t="shared" ca="1" si="10"/>
        <v>0</v>
      </c>
      <c r="P224" s="25">
        <f t="shared" ca="1" si="11"/>
        <v>0</v>
      </c>
    </row>
    <row r="225" spans="12:16" s="23" customFormat="1" ht="13.8">
      <c r="L225" s="23">
        <v>222</v>
      </c>
      <c r="M225" s="23">
        <f ca="1"/>
        <v>1899.4771840776618</v>
      </c>
      <c r="N225" s="25">
        <f t="shared" si="9"/>
        <v>1106.9630000000002</v>
      </c>
      <c r="O225" s="25">
        <f t="shared" ca="1" si="10"/>
        <v>0</v>
      </c>
      <c r="P225" s="25">
        <f t="shared" ca="1" si="11"/>
        <v>0</v>
      </c>
    </row>
    <row r="226" spans="12:16" s="23" customFormat="1" ht="13.8">
      <c r="L226" s="33">
        <v>223</v>
      </c>
      <c r="M226" s="23">
        <f ca="1"/>
        <v>1545.5887275760565</v>
      </c>
      <c r="N226" s="25">
        <f t="shared" si="9"/>
        <v>1106.9630000000002</v>
      </c>
      <c r="O226" s="25">
        <f t="shared" ca="1" si="10"/>
        <v>0</v>
      </c>
      <c r="P226" s="25">
        <f t="shared" ca="1" si="11"/>
        <v>0</v>
      </c>
    </row>
    <row r="227" spans="12:16" s="23" customFormat="1" ht="13.8">
      <c r="L227" s="23">
        <v>224</v>
      </c>
      <c r="M227" s="23">
        <f ca="1"/>
        <v>999.81599768546459</v>
      </c>
      <c r="N227" s="25">
        <f t="shared" si="9"/>
        <v>1106.9630000000002</v>
      </c>
      <c r="O227" s="25">
        <f t="shared" ca="1" si="10"/>
        <v>1</v>
      </c>
      <c r="P227" s="25">
        <f t="shared" ca="1" si="11"/>
        <v>9.6793661860907348E-2</v>
      </c>
    </row>
    <row r="228" spans="12:16" s="23" customFormat="1" ht="13.8">
      <c r="L228" s="33">
        <v>225</v>
      </c>
      <c r="M228" s="23">
        <f ca="1"/>
        <v>1695.7139380046594</v>
      </c>
      <c r="N228" s="25">
        <f t="shared" si="9"/>
        <v>1106.9630000000002</v>
      </c>
      <c r="O228" s="25">
        <f t="shared" ca="1" si="10"/>
        <v>0</v>
      </c>
      <c r="P228" s="25">
        <f t="shared" ca="1" si="11"/>
        <v>0</v>
      </c>
    </row>
    <row r="229" spans="12:16" s="23" customFormat="1" ht="13.8">
      <c r="L229" s="23">
        <v>226</v>
      </c>
      <c r="M229" s="23">
        <f ca="1"/>
        <v>1224.9836032285752</v>
      </c>
      <c r="N229" s="25">
        <f t="shared" si="9"/>
        <v>1106.9630000000002</v>
      </c>
      <c r="O229" s="25">
        <f t="shared" ca="1" si="10"/>
        <v>0</v>
      </c>
      <c r="P229" s="25">
        <f t="shared" ca="1" si="11"/>
        <v>0</v>
      </c>
    </row>
    <row r="230" spans="12:16" s="23" customFormat="1" ht="13.8">
      <c r="L230" s="33">
        <v>227</v>
      </c>
      <c r="M230" s="23">
        <f ca="1"/>
        <v>1574.1951760974284</v>
      </c>
      <c r="N230" s="25">
        <f t="shared" si="9"/>
        <v>1106.9630000000002</v>
      </c>
      <c r="O230" s="25">
        <f t="shared" ca="1" si="10"/>
        <v>0</v>
      </c>
      <c r="P230" s="25">
        <f t="shared" ca="1" si="11"/>
        <v>0</v>
      </c>
    </row>
    <row r="231" spans="12:16" s="23" customFormat="1" ht="13.8">
      <c r="L231" s="23">
        <v>228</v>
      </c>
      <c r="M231" s="23">
        <f ca="1"/>
        <v>1361.5897310783607</v>
      </c>
      <c r="N231" s="25">
        <f t="shared" si="9"/>
        <v>1106.9630000000002</v>
      </c>
      <c r="O231" s="25">
        <f t="shared" ca="1" si="10"/>
        <v>0</v>
      </c>
      <c r="P231" s="25">
        <f t="shared" ca="1" si="11"/>
        <v>0</v>
      </c>
    </row>
    <row r="232" spans="12:16" s="23" customFormat="1" ht="13.8">
      <c r="L232" s="33">
        <v>229</v>
      </c>
      <c r="M232" s="23">
        <f ca="1"/>
        <v>721.94887649300972</v>
      </c>
      <c r="N232" s="25">
        <f t="shared" si="9"/>
        <v>1106.9630000000002</v>
      </c>
      <c r="O232" s="25">
        <f t="shared" ca="1" si="10"/>
        <v>1</v>
      </c>
      <c r="P232" s="25">
        <f t="shared" ca="1" si="11"/>
        <v>0.3478111946894254</v>
      </c>
    </row>
    <row r="233" spans="12:16" s="23" customFormat="1" ht="13.8">
      <c r="L233" s="23">
        <v>230</v>
      </c>
      <c r="M233" s="23">
        <f ca="1"/>
        <v>2026.4178218412601</v>
      </c>
      <c r="N233" s="25">
        <f t="shared" si="9"/>
        <v>1106.9630000000002</v>
      </c>
      <c r="O233" s="25">
        <f t="shared" ca="1" si="10"/>
        <v>0</v>
      </c>
      <c r="P233" s="25">
        <f t="shared" ca="1" si="11"/>
        <v>0</v>
      </c>
    </row>
    <row r="234" spans="12:16" s="23" customFormat="1" ht="13.8">
      <c r="L234" s="33">
        <v>231</v>
      </c>
      <c r="M234" s="23">
        <f ca="1"/>
        <v>1921.0844500793357</v>
      </c>
      <c r="N234" s="25">
        <f t="shared" si="9"/>
        <v>1106.9630000000002</v>
      </c>
      <c r="O234" s="25">
        <f t="shared" ca="1" si="10"/>
        <v>0</v>
      </c>
      <c r="P234" s="25">
        <f t="shared" ca="1" si="11"/>
        <v>0</v>
      </c>
    </row>
    <row r="235" spans="12:16" s="23" customFormat="1" ht="13.8">
      <c r="L235" s="23">
        <v>232</v>
      </c>
      <c r="M235" s="23">
        <f ca="1"/>
        <v>770.29070312937426</v>
      </c>
      <c r="N235" s="25">
        <f t="shared" si="9"/>
        <v>1106.9630000000002</v>
      </c>
      <c r="O235" s="25">
        <f t="shared" ca="1" si="10"/>
        <v>1</v>
      </c>
      <c r="P235" s="25">
        <f t="shared" ca="1" si="11"/>
        <v>0.30414051496809369</v>
      </c>
    </row>
    <row r="236" spans="12:16" s="23" customFormat="1" ht="13.8">
      <c r="L236" s="33">
        <v>233</v>
      </c>
      <c r="M236" s="23">
        <f ca="1"/>
        <v>2130.2603188977628</v>
      </c>
      <c r="N236" s="25">
        <f t="shared" si="9"/>
        <v>1106.9630000000002</v>
      </c>
      <c r="O236" s="25">
        <f t="shared" ca="1" si="10"/>
        <v>0</v>
      </c>
      <c r="P236" s="25">
        <f t="shared" ca="1" si="11"/>
        <v>0</v>
      </c>
    </row>
    <row r="237" spans="12:16" s="23" customFormat="1" ht="13.8">
      <c r="L237" s="23">
        <v>234</v>
      </c>
      <c r="M237" s="23">
        <f ca="1"/>
        <v>2090.7585466153414</v>
      </c>
      <c r="N237" s="25">
        <f t="shared" si="9"/>
        <v>1106.9630000000002</v>
      </c>
      <c r="O237" s="25">
        <f t="shared" ca="1" si="10"/>
        <v>0</v>
      </c>
      <c r="P237" s="25">
        <f t="shared" ca="1" si="11"/>
        <v>0</v>
      </c>
    </row>
    <row r="238" spans="12:16" s="23" customFormat="1" ht="13.8">
      <c r="L238" s="33">
        <v>235</v>
      </c>
      <c r="M238" s="23">
        <f ca="1"/>
        <v>2115.9683453346283</v>
      </c>
      <c r="N238" s="25">
        <f t="shared" si="9"/>
        <v>1106.9630000000002</v>
      </c>
      <c r="O238" s="25">
        <f t="shared" ca="1" si="10"/>
        <v>0</v>
      </c>
      <c r="P238" s="25">
        <f t="shared" ca="1" si="11"/>
        <v>0</v>
      </c>
    </row>
    <row r="239" spans="12:16" s="23" customFormat="1" ht="13.8">
      <c r="L239" s="23">
        <v>236</v>
      </c>
      <c r="M239" s="23">
        <f ca="1"/>
        <v>677.54929093808641</v>
      </c>
      <c r="N239" s="25">
        <f t="shared" si="9"/>
        <v>1106.9630000000002</v>
      </c>
      <c r="O239" s="25">
        <f t="shared" ca="1" si="10"/>
        <v>1</v>
      </c>
      <c r="P239" s="25">
        <f t="shared" ca="1" si="11"/>
        <v>0.38792056198979885</v>
      </c>
    </row>
    <row r="240" spans="12:16" s="23" customFormat="1" ht="13.8">
      <c r="L240" s="33">
        <v>237</v>
      </c>
      <c r="M240" s="23">
        <f ca="1"/>
        <v>1261.892603349401</v>
      </c>
      <c r="N240" s="25">
        <f t="shared" si="9"/>
        <v>1106.9630000000002</v>
      </c>
      <c r="O240" s="25">
        <f t="shared" ca="1" si="10"/>
        <v>0</v>
      </c>
      <c r="P240" s="25">
        <f t="shared" ca="1" si="11"/>
        <v>0</v>
      </c>
    </row>
    <row r="241" spans="12:16" s="23" customFormat="1" ht="13.8">
      <c r="L241" s="23">
        <v>238</v>
      </c>
      <c r="M241" s="23">
        <f ca="1"/>
        <v>1872.5305442115173</v>
      </c>
      <c r="N241" s="25">
        <f t="shared" si="9"/>
        <v>1106.9630000000002</v>
      </c>
      <c r="O241" s="25">
        <f t="shared" ca="1" si="10"/>
        <v>0</v>
      </c>
      <c r="P241" s="25">
        <f t="shared" ca="1" si="11"/>
        <v>0</v>
      </c>
    </row>
    <row r="242" spans="12:16" s="23" customFormat="1" ht="13.8">
      <c r="L242" s="33">
        <v>239</v>
      </c>
      <c r="M242" s="23">
        <f ca="1"/>
        <v>1806.4083406800203</v>
      </c>
      <c r="N242" s="25">
        <f t="shared" si="9"/>
        <v>1106.9630000000002</v>
      </c>
      <c r="O242" s="25">
        <f t="shared" ca="1" si="10"/>
        <v>0</v>
      </c>
      <c r="P242" s="25">
        <f t="shared" ca="1" si="11"/>
        <v>0</v>
      </c>
    </row>
    <row r="243" spans="12:16" s="23" customFormat="1" ht="13.8">
      <c r="L243" s="23">
        <v>240</v>
      </c>
      <c r="M243" s="23">
        <f ca="1"/>
        <v>1981.3046169174245</v>
      </c>
      <c r="N243" s="25">
        <f t="shared" si="9"/>
        <v>1106.9630000000002</v>
      </c>
      <c r="O243" s="25">
        <f t="shared" ca="1" si="10"/>
        <v>0</v>
      </c>
      <c r="P243" s="25">
        <f t="shared" ca="1" si="11"/>
        <v>0</v>
      </c>
    </row>
    <row r="244" spans="12:16" s="23" customFormat="1" ht="13.8">
      <c r="L244" s="33">
        <v>241</v>
      </c>
      <c r="M244" s="23">
        <f ca="1"/>
        <v>521.96824692006226</v>
      </c>
      <c r="N244" s="25">
        <f t="shared" si="9"/>
        <v>1106.9630000000002</v>
      </c>
      <c r="O244" s="25">
        <f t="shared" ca="1" si="10"/>
        <v>1</v>
      </c>
      <c r="P244" s="25">
        <f t="shared" ca="1" si="11"/>
        <v>0.52846820813336837</v>
      </c>
    </row>
    <row r="245" spans="12:16" s="23" customFormat="1" ht="13.8">
      <c r="L245" s="23">
        <v>242</v>
      </c>
      <c r="M245" s="23">
        <f ca="1"/>
        <v>2242.6472857254616</v>
      </c>
      <c r="N245" s="25">
        <f t="shared" si="9"/>
        <v>1106.9630000000002</v>
      </c>
      <c r="O245" s="25">
        <f t="shared" ca="1" si="10"/>
        <v>0</v>
      </c>
      <c r="P245" s="25">
        <f t="shared" ca="1" si="11"/>
        <v>0</v>
      </c>
    </row>
    <row r="246" spans="12:16" s="23" customFormat="1" ht="13.8">
      <c r="L246" s="33">
        <v>243</v>
      </c>
      <c r="M246" s="23">
        <f ca="1"/>
        <v>1325.6819908849855</v>
      </c>
      <c r="N246" s="25">
        <f t="shared" si="9"/>
        <v>1106.9630000000002</v>
      </c>
      <c r="O246" s="25">
        <f t="shared" ca="1" si="10"/>
        <v>0</v>
      </c>
      <c r="P246" s="25">
        <f t="shared" ca="1" si="11"/>
        <v>0</v>
      </c>
    </row>
    <row r="247" spans="12:16" s="23" customFormat="1" ht="13.8">
      <c r="L247" s="23">
        <v>244</v>
      </c>
      <c r="M247" s="23">
        <f ca="1"/>
        <v>845.20881416168697</v>
      </c>
      <c r="N247" s="25">
        <f t="shared" si="9"/>
        <v>1106.9630000000002</v>
      </c>
      <c r="O247" s="25">
        <f t="shared" ca="1" si="10"/>
        <v>1</v>
      </c>
      <c r="P247" s="25">
        <f t="shared" ca="1" si="11"/>
        <v>0.23646154915594575</v>
      </c>
    </row>
    <row r="248" spans="12:16" s="23" customFormat="1" ht="13.8">
      <c r="L248" s="33">
        <v>245</v>
      </c>
      <c r="M248" s="23">
        <f ca="1"/>
        <v>2301.4766528401769</v>
      </c>
      <c r="N248" s="25">
        <f t="shared" si="9"/>
        <v>1106.9630000000002</v>
      </c>
      <c r="O248" s="25">
        <f t="shared" ca="1" si="10"/>
        <v>0</v>
      </c>
      <c r="P248" s="25">
        <f t="shared" ca="1" si="11"/>
        <v>0</v>
      </c>
    </row>
    <row r="249" spans="12:16" s="23" customFormat="1" ht="13.8">
      <c r="L249" s="23">
        <v>246</v>
      </c>
      <c r="M249" s="23">
        <f ca="1"/>
        <v>874.88963024856014</v>
      </c>
      <c r="N249" s="25">
        <f t="shared" si="9"/>
        <v>1106.9630000000002</v>
      </c>
      <c r="O249" s="25">
        <f t="shared" ca="1" si="10"/>
        <v>1</v>
      </c>
      <c r="P249" s="25">
        <f t="shared" ca="1" si="11"/>
        <v>0.20964871432147236</v>
      </c>
    </row>
    <row r="250" spans="12:16" s="23" customFormat="1" ht="13.8">
      <c r="L250" s="33">
        <v>247</v>
      </c>
      <c r="M250" s="23">
        <f ca="1"/>
        <v>694.74545251606185</v>
      </c>
      <c r="N250" s="25">
        <f t="shared" si="9"/>
        <v>1106.9630000000002</v>
      </c>
      <c r="O250" s="25">
        <f t="shared" ca="1" si="10"/>
        <v>1</v>
      </c>
      <c r="P250" s="25">
        <f t="shared" ca="1" si="11"/>
        <v>0.37238602146949651</v>
      </c>
    </row>
    <row r="251" spans="12:16" s="23" customFormat="1" ht="13.8">
      <c r="L251" s="23">
        <v>248</v>
      </c>
      <c r="M251" s="23">
        <f ca="1"/>
        <v>1306.2446003913708</v>
      </c>
      <c r="N251" s="25">
        <f t="shared" si="9"/>
        <v>1106.9630000000002</v>
      </c>
      <c r="O251" s="25">
        <f t="shared" ca="1" si="10"/>
        <v>0</v>
      </c>
      <c r="P251" s="25">
        <f t="shared" ca="1" si="11"/>
        <v>0</v>
      </c>
    </row>
    <row r="252" spans="12:16" s="23" customFormat="1" ht="13.8">
      <c r="L252" s="33">
        <v>249</v>
      </c>
      <c r="M252" s="23">
        <f ca="1"/>
        <v>2129.4191875309489</v>
      </c>
      <c r="N252" s="25">
        <f t="shared" si="9"/>
        <v>1106.9630000000002</v>
      </c>
      <c r="O252" s="25">
        <f t="shared" ca="1" si="10"/>
        <v>0</v>
      </c>
      <c r="P252" s="25">
        <f t="shared" ca="1" si="11"/>
        <v>0</v>
      </c>
    </row>
    <row r="253" spans="12:16" s="23" customFormat="1" ht="13.8">
      <c r="L253" s="23">
        <v>250</v>
      </c>
      <c r="M253" s="23">
        <f ca="1"/>
        <v>1880.6989877724309</v>
      </c>
      <c r="N253" s="25">
        <f t="shared" si="9"/>
        <v>1106.9630000000002</v>
      </c>
      <c r="O253" s="25">
        <f t="shared" ca="1" si="10"/>
        <v>0</v>
      </c>
      <c r="P253" s="25">
        <f t="shared" ca="1" si="11"/>
        <v>0</v>
      </c>
    </row>
    <row r="254" spans="12:16" s="23" customFormat="1" ht="13.8">
      <c r="L254" s="33">
        <v>251</v>
      </c>
      <c r="M254" s="23">
        <f ca="1"/>
        <v>1760.5800281348691</v>
      </c>
      <c r="N254" s="25">
        <f t="shared" si="9"/>
        <v>1106.9630000000002</v>
      </c>
      <c r="O254" s="25">
        <f t="shared" ca="1" si="10"/>
        <v>0</v>
      </c>
      <c r="P254" s="25">
        <f t="shared" ca="1" si="11"/>
        <v>0</v>
      </c>
    </row>
    <row r="255" spans="12:16" s="23" customFormat="1" ht="13.8">
      <c r="L255" s="23">
        <v>252</v>
      </c>
      <c r="M255" s="23">
        <f ca="1"/>
        <v>2132.3870752791136</v>
      </c>
      <c r="N255" s="25">
        <f t="shared" si="9"/>
        <v>1106.9630000000002</v>
      </c>
      <c r="O255" s="25">
        <f t="shared" ca="1" si="10"/>
        <v>0</v>
      </c>
      <c r="P255" s="25">
        <f t="shared" ca="1" si="11"/>
        <v>0</v>
      </c>
    </row>
    <row r="256" spans="12:16" s="23" customFormat="1" ht="13.8">
      <c r="L256" s="33">
        <v>253</v>
      </c>
      <c r="M256" s="23">
        <f ca="1"/>
        <v>2329.5833151734782</v>
      </c>
      <c r="N256" s="25">
        <f t="shared" si="9"/>
        <v>1106.9630000000002</v>
      </c>
      <c r="O256" s="25">
        <f t="shared" ca="1" si="10"/>
        <v>0</v>
      </c>
      <c r="P256" s="25">
        <f t="shared" ca="1" si="11"/>
        <v>0</v>
      </c>
    </row>
    <row r="257" spans="12:16" s="23" customFormat="1" ht="13.8">
      <c r="L257" s="23">
        <v>254</v>
      </c>
      <c r="M257" s="23">
        <f ca="1"/>
        <v>1240.3013666354061</v>
      </c>
      <c r="N257" s="25">
        <f t="shared" si="9"/>
        <v>1106.9630000000002</v>
      </c>
      <c r="O257" s="25">
        <f t="shared" ca="1" si="10"/>
        <v>0</v>
      </c>
      <c r="P257" s="25">
        <f t="shared" ca="1" si="11"/>
        <v>0</v>
      </c>
    </row>
    <row r="258" spans="12:16" s="23" customFormat="1" ht="13.8">
      <c r="L258" s="33">
        <v>255</v>
      </c>
      <c r="M258" s="23">
        <f ca="1"/>
        <v>1663.1719710332363</v>
      </c>
      <c r="N258" s="25">
        <f t="shared" si="9"/>
        <v>1106.9630000000002</v>
      </c>
      <c r="O258" s="25">
        <f t="shared" ca="1" si="10"/>
        <v>0</v>
      </c>
      <c r="P258" s="25">
        <f t="shared" ca="1" si="11"/>
        <v>0</v>
      </c>
    </row>
    <row r="259" spans="12:16" s="23" customFormat="1" ht="13.8">
      <c r="L259" s="23">
        <v>256</v>
      </c>
      <c r="M259" s="23">
        <f ca="1"/>
        <v>1594.0613502357776</v>
      </c>
      <c r="N259" s="25">
        <f t="shared" si="9"/>
        <v>1106.9630000000002</v>
      </c>
      <c r="O259" s="25">
        <f t="shared" ca="1" si="10"/>
        <v>0</v>
      </c>
      <c r="P259" s="25">
        <f t="shared" ca="1" si="11"/>
        <v>0</v>
      </c>
    </row>
    <row r="260" spans="12:16" s="23" customFormat="1" ht="13.8">
      <c r="L260" s="33">
        <v>257</v>
      </c>
      <c r="M260" s="23">
        <f ca="1"/>
        <v>1356.2107787602683</v>
      </c>
      <c r="N260" s="25">
        <f t="shared" ref="N260:N323" si="12">($C$21+$E$21)*1.1</f>
        <v>1106.9630000000002</v>
      </c>
      <c r="O260" s="25">
        <f t="shared" ca="1" si="10"/>
        <v>0</v>
      </c>
      <c r="P260" s="25">
        <f t="shared" ca="1" si="11"/>
        <v>0</v>
      </c>
    </row>
    <row r="261" spans="12:16" s="23" customFormat="1" ht="13.8">
      <c r="L261" s="23">
        <v>258</v>
      </c>
      <c r="M261" s="23">
        <f ca="1"/>
        <v>1404.3361387907423</v>
      </c>
      <c r="N261" s="25">
        <f t="shared" si="12"/>
        <v>1106.9630000000002</v>
      </c>
      <c r="O261" s="25">
        <f t="shared" ref="O261:O324" ca="1" si="13">IF(M261&lt;N261,1,0)</f>
        <v>0</v>
      </c>
      <c r="P261" s="25">
        <f t="shared" ref="P261:P324" ca="1" si="14">MAX((N261-M261)/N261,0)</f>
        <v>0</v>
      </c>
    </row>
    <row r="262" spans="12:16" s="23" customFormat="1" ht="13.8">
      <c r="L262" s="33">
        <v>259</v>
      </c>
      <c r="M262" s="23">
        <f ca="1"/>
        <v>1539.1794614188191</v>
      </c>
      <c r="N262" s="25">
        <f t="shared" si="12"/>
        <v>1106.9630000000002</v>
      </c>
      <c r="O262" s="25">
        <f t="shared" ca="1" si="13"/>
        <v>0</v>
      </c>
      <c r="P262" s="25">
        <f t="shared" ca="1" si="14"/>
        <v>0</v>
      </c>
    </row>
    <row r="263" spans="12:16" s="23" customFormat="1" ht="13.8">
      <c r="L263" s="23">
        <v>260</v>
      </c>
      <c r="M263" s="23">
        <f ca="1"/>
        <v>2084.1965411539031</v>
      </c>
      <c r="N263" s="25">
        <f t="shared" si="12"/>
        <v>1106.9630000000002</v>
      </c>
      <c r="O263" s="25">
        <f t="shared" ca="1" si="13"/>
        <v>0</v>
      </c>
      <c r="P263" s="25">
        <f t="shared" ca="1" si="14"/>
        <v>0</v>
      </c>
    </row>
    <row r="264" spans="12:16" s="23" customFormat="1" ht="13.8">
      <c r="L264" s="33">
        <v>261</v>
      </c>
      <c r="M264" s="23">
        <f ca="1"/>
        <v>2021.5770292323468</v>
      </c>
      <c r="N264" s="25">
        <f t="shared" si="12"/>
        <v>1106.9630000000002</v>
      </c>
      <c r="O264" s="25">
        <f t="shared" ca="1" si="13"/>
        <v>0</v>
      </c>
      <c r="P264" s="25">
        <f t="shared" ca="1" si="14"/>
        <v>0</v>
      </c>
    </row>
    <row r="265" spans="12:16" s="23" customFormat="1" ht="13.8">
      <c r="L265" s="23">
        <v>262</v>
      </c>
      <c r="M265" s="23">
        <f ca="1"/>
        <v>1748.1926303810965</v>
      </c>
      <c r="N265" s="25">
        <f t="shared" si="12"/>
        <v>1106.9630000000002</v>
      </c>
      <c r="O265" s="25">
        <f t="shared" ca="1" si="13"/>
        <v>0</v>
      </c>
      <c r="P265" s="25">
        <f t="shared" ca="1" si="14"/>
        <v>0</v>
      </c>
    </row>
    <row r="266" spans="12:16" s="23" customFormat="1" ht="13.8">
      <c r="L266" s="33">
        <v>263</v>
      </c>
      <c r="M266" s="23">
        <f ca="1"/>
        <v>919.49255396026524</v>
      </c>
      <c r="N266" s="25">
        <f t="shared" si="12"/>
        <v>1106.9630000000002</v>
      </c>
      <c r="O266" s="25">
        <f t="shared" ca="1" si="13"/>
        <v>1</v>
      </c>
      <c r="P266" s="25">
        <f t="shared" ca="1" si="14"/>
        <v>0.16935565690970242</v>
      </c>
    </row>
    <row r="267" spans="12:16" s="23" customFormat="1" ht="13.8">
      <c r="L267" s="23">
        <v>264</v>
      </c>
      <c r="M267" s="23">
        <f ca="1"/>
        <v>1114.9255453718695</v>
      </c>
      <c r="N267" s="25">
        <f t="shared" si="12"/>
        <v>1106.9630000000002</v>
      </c>
      <c r="O267" s="25">
        <f t="shared" ca="1" si="13"/>
        <v>0</v>
      </c>
      <c r="P267" s="25">
        <f t="shared" ca="1" si="14"/>
        <v>0</v>
      </c>
    </row>
    <row r="268" spans="12:16" s="23" customFormat="1" ht="13.8">
      <c r="L268" s="33">
        <v>265</v>
      </c>
      <c r="M268" s="23">
        <f ca="1"/>
        <v>1715.8051728157475</v>
      </c>
      <c r="N268" s="25">
        <f t="shared" si="12"/>
        <v>1106.9630000000002</v>
      </c>
      <c r="O268" s="25">
        <f t="shared" ca="1" si="13"/>
        <v>0</v>
      </c>
      <c r="P268" s="25">
        <f t="shared" ca="1" si="14"/>
        <v>0</v>
      </c>
    </row>
    <row r="269" spans="12:16" s="23" customFormat="1" ht="13.8">
      <c r="L269" s="23">
        <v>266</v>
      </c>
      <c r="M269" s="23">
        <f ca="1"/>
        <v>1983.6965354796573</v>
      </c>
      <c r="N269" s="25">
        <f t="shared" si="12"/>
        <v>1106.9630000000002</v>
      </c>
      <c r="O269" s="25">
        <f t="shared" ca="1" si="13"/>
        <v>0</v>
      </c>
      <c r="P269" s="25">
        <f t="shared" ca="1" si="14"/>
        <v>0</v>
      </c>
    </row>
    <row r="270" spans="12:16" s="23" customFormat="1" ht="13.8">
      <c r="L270" s="33">
        <v>267</v>
      </c>
      <c r="M270" s="23">
        <f ca="1"/>
        <v>2158.4560483369137</v>
      </c>
      <c r="N270" s="25">
        <f t="shared" si="12"/>
        <v>1106.9630000000002</v>
      </c>
      <c r="O270" s="25">
        <f t="shared" ca="1" si="13"/>
        <v>0</v>
      </c>
      <c r="P270" s="25">
        <f t="shared" ca="1" si="14"/>
        <v>0</v>
      </c>
    </row>
    <row r="271" spans="12:16" s="23" customFormat="1" ht="13.8">
      <c r="L271" s="23">
        <v>268</v>
      </c>
      <c r="M271" s="23">
        <f ca="1"/>
        <v>1222.4249117279307</v>
      </c>
      <c r="N271" s="25">
        <f t="shared" si="12"/>
        <v>1106.9630000000002</v>
      </c>
      <c r="O271" s="25">
        <f t="shared" ca="1" si="13"/>
        <v>0</v>
      </c>
      <c r="P271" s="25">
        <f t="shared" ca="1" si="14"/>
        <v>0</v>
      </c>
    </row>
    <row r="272" spans="12:16" s="23" customFormat="1" ht="13.8">
      <c r="L272" s="33">
        <v>269</v>
      </c>
      <c r="M272" s="23">
        <f ca="1"/>
        <v>1120.4592358215675</v>
      </c>
      <c r="N272" s="25">
        <f t="shared" si="12"/>
        <v>1106.9630000000002</v>
      </c>
      <c r="O272" s="25">
        <f t="shared" ca="1" si="13"/>
        <v>0</v>
      </c>
      <c r="P272" s="25">
        <f t="shared" ca="1" si="14"/>
        <v>0</v>
      </c>
    </row>
    <row r="273" spans="12:16" s="23" customFormat="1" ht="13.8">
      <c r="L273" s="23">
        <v>270</v>
      </c>
      <c r="M273" s="23">
        <f ca="1"/>
        <v>2053.7325458485739</v>
      </c>
      <c r="N273" s="25">
        <f t="shared" si="12"/>
        <v>1106.9630000000002</v>
      </c>
      <c r="O273" s="25">
        <f t="shared" ca="1" si="13"/>
        <v>0</v>
      </c>
      <c r="P273" s="25">
        <f t="shared" ca="1" si="14"/>
        <v>0</v>
      </c>
    </row>
    <row r="274" spans="12:16" s="23" customFormat="1" ht="13.8">
      <c r="L274" s="33">
        <v>271</v>
      </c>
      <c r="M274" s="23">
        <f ca="1"/>
        <v>1078.9314912742313</v>
      </c>
      <c r="N274" s="25">
        <f t="shared" si="12"/>
        <v>1106.9630000000002</v>
      </c>
      <c r="O274" s="25">
        <f t="shared" ca="1" si="13"/>
        <v>1</v>
      </c>
      <c r="P274" s="25">
        <f t="shared" ca="1" si="14"/>
        <v>2.532289582015735E-2</v>
      </c>
    </row>
    <row r="275" spans="12:16" s="23" customFormat="1" ht="13.8">
      <c r="L275" s="23">
        <v>272</v>
      </c>
      <c r="M275" s="23">
        <f ca="1"/>
        <v>2983.2394785363354</v>
      </c>
      <c r="N275" s="25">
        <f t="shared" si="12"/>
        <v>1106.9630000000002</v>
      </c>
      <c r="O275" s="25">
        <f t="shared" ca="1" si="13"/>
        <v>0</v>
      </c>
      <c r="P275" s="25">
        <f t="shared" ca="1" si="14"/>
        <v>0</v>
      </c>
    </row>
    <row r="276" spans="12:16" s="23" customFormat="1" ht="13.8">
      <c r="L276" s="33">
        <v>273</v>
      </c>
      <c r="M276" s="23">
        <f ca="1"/>
        <v>1926.2111724852393</v>
      </c>
      <c r="N276" s="25">
        <f t="shared" si="12"/>
        <v>1106.9630000000002</v>
      </c>
      <c r="O276" s="25">
        <f t="shared" ca="1" si="13"/>
        <v>0</v>
      </c>
      <c r="P276" s="25">
        <f t="shared" ca="1" si="14"/>
        <v>0</v>
      </c>
    </row>
    <row r="277" spans="12:16" s="23" customFormat="1" ht="13.8">
      <c r="L277" s="23">
        <v>274</v>
      </c>
      <c r="M277" s="23">
        <f ca="1"/>
        <v>2045.4061240237245</v>
      </c>
      <c r="N277" s="25">
        <f t="shared" si="12"/>
        <v>1106.9630000000002</v>
      </c>
      <c r="O277" s="25">
        <f t="shared" ca="1" si="13"/>
        <v>0</v>
      </c>
      <c r="P277" s="25">
        <f t="shared" ca="1" si="14"/>
        <v>0</v>
      </c>
    </row>
    <row r="278" spans="12:16" s="23" customFormat="1" ht="13.8">
      <c r="L278" s="33">
        <v>275</v>
      </c>
      <c r="M278" s="23">
        <f ca="1"/>
        <v>1999.7747620340399</v>
      </c>
      <c r="N278" s="25">
        <f t="shared" si="12"/>
        <v>1106.9630000000002</v>
      </c>
      <c r="O278" s="25">
        <f t="shared" ca="1" si="13"/>
        <v>0</v>
      </c>
      <c r="P278" s="25">
        <f t="shared" ca="1" si="14"/>
        <v>0</v>
      </c>
    </row>
    <row r="279" spans="12:16" s="23" customFormat="1" ht="13.8">
      <c r="L279" s="23">
        <v>276</v>
      </c>
      <c r="M279" s="23">
        <f ca="1"/>
        <v>1381.5122867416733</v>
      </c>
      <c r="N279" s="25">
        <f t="shared" si="12"/>
        <v>1106.9630000000002</v>
      </c>
      <c r="O279" s="25">
        <f t="shared" ca="1" si="13"/>
        <v>0</v>
      </c>
      <c r="P279" s="25">
        <f t="shared" ca="1" si="14"/>
        <v>0</v>
      </c>
    </row>
    <row r="280" spans="12:16" s="23" customFormat="1" ht="13.8">
      <c r="L280" s="33">
        <v>277</v>
      </c>
      <c r="M280" s="23">
        <f ca="1"/>
        <v>1031.9976035910151</v>
      </c>
      <c r="N280" s="25">
        <f t="shared" si="12"/>
        <v>1106.9630000000002</v>
      </c>
      <c r="O280" s="25">
        <f t="shared" ca="1" si="13"/>
        <v>1</v>
      </c>
      <c r="P280" s="25">
        <f t="shared" ca="1" si="14"/>
        <v>6.7721682123959903E-2</v>
      </c>
    </row>
    <row r="281" spans="12:16" s="23" customFormat="1" ht="13.8">
      <c r="L281" s="23">
        <v>278</v>
      </c>
      <c r="M281" s="23">
        <f ca="1"/>
        <v>1502.653751582955</v>
      </c>
      <c r="N281" s="25">
        <f t="shared" si="12"/>
        <v>1106.9630000000002</v>
      </c>
      <c r="O281" s="25">
        <f t="shared" ca="1" si="13"/>
        <v>0</v>
      </c>
      <c r="P281" s="25">
        <f t="shared" ca="1" si="14"/>
        <v>0</v>
      </c>
    </row>
    <row r="282" spans="12:16" s="23" customFormat="1" ht="13.8">
      <c r="L282" s="33">
        <v>279</v>
      </c>
      <c r="M282" s="23">
        <f ca="1"/>
        <v>2068.3546261976594</v>
      </c>
      <c r="N282" s="25">
        <f t="shared" si="12"/>
        <v>1106.9630000000002</v>
      </c>
      <c r="O282" s="25">
        <f t="shared" ca="1" si="13"/>
        <v>0</v>
      </c>
      <c r="P282" s="25">
        <f t="shared" ca="1" si="14"/>
        <v>0</v>
      </c>
    </row>
    <row r="283" spans="12:16" s="23" customFormat="1" ht="13.8">
      <c r="L283" s="23">
        <v>280</v>
      </c>
      <c r="M283" s="23">
        <f ca="1"/>
        <v>1585.1989193645104</v>
      </c>
      <c r="N283" s="25">
        <f t="shared" si="12"/>
        <v>1106.9630000000002</v>
      </c>
      <c r="O283" s="25">
        <f t="shared" ca="1" si="13"/>
        <v>0</v>
      </c>
      <c r="P283" s="25">
        <f t="shared" ca="1" si="14"/>
        <v>0</v>
      </c>
    </row>
    <row r="284" spans="12:16" s="23" customFormat="1" ht="13.8">
      <c r="L284" s="33">
        <v>281</v>
      </c>
      <c r="M284" s="23">
        <f ca="1"/>
        <v>1823.8740056265262</v>
      </c>
      <c r="N284" s="25">
        <f t="shared" si="12"/>
        <v>1106.9630000000002</v>
      </c>
      <c r="O284" s="25">
        <f t="shared" ca="1" si="13"/>
        <v>0</v>
      </c>
      <c r="P284" s="25">
        <f t="shared" ca="1" si="14"/>
        <v>0</v>
      </c>
    </row>
    <row r="285" spans="12:16" s="23" customFormat="1" ht="13.8">
      <c r="L285" s="23">
        <v>282</v>
      </c>
      <c r="M285" s="23">
        <f ca="1"/>
        <v>1490.8246791146139</v>
      </c>
      <c r="N285" s="25">
        <f t="shared" si="12"/>
        <v>1106.9630000000002</v>
      </c>
      <c r="O285" s="25">
        <f t="shared" ca="1" si="13"/>
        <v>0</v>
      </c>
      <c r="P285" s="25">
        <f t="shared" ca="1" si="14"/>
        <v>0</v>
      </c>
    </row>
    <row r="286" spans="12:16" s="23" customFormat="1" ht="13.8">
      <c r="L286" s="33">
        <v>283</v>
      </c>
      <c r="M286" s="23">
        <f ca="1"/>
        <v>1842.3972665673164</v>
      </c>
      <c r="N286" s="25">
        <f t="shared" si="12"/>
        <v>1106.9630000000002</v>
      </c>
      <c r="O286" s="25">
        <f t="shared" ca="1" si="13"/>
        <v>0</v>
      </c>
      <c r="P286" s="25">
        <f t="shared" ca="1" si="14"/>
        <v>0</v>
      </c>
    </row>
    <row r="287" spans="12:16" s="23" customFormat="1" ht="13.8">
      <c r="L287" s="23">
        <v>284</v>
      </c>
      <c r="M287" s="23">
        <f ca="1"/>
        <v>1557.7347777690677</v>
      </c>
      <c r="N287" s="25">
        <f t="shared" si="12"/>
        <v>1106.9630000000002</v>
      </c>
      <c r="O287" s="25">
        <f t="shared" ca="1" si="13"/>
        <v>0</v>
      </c>
      <c r="P287" s="25">
        <f t="shared" ca="1" si="14"/>
        <v>0</v>
      </c>
    </row>
    <row r="288" spans="12:16" s="23" customFormat="1" ht="13.8">
      <c r="L288" s="33">
        <v>285</v>
      </c>
      <c r="M288" s="23">
        <f ca="1"/>
        <v>1601.3755659769017</v>
      </c>
      <c r="N288" s="25">
        <f t="shared" si="12"/>
        <v>1106.9630000000002</v>
      </c>
      <c r="O288" s="25">
        <f t="shared" ca="1" si="13"/>
        <v>0</v>
      </c>
      <c r="P288" s="25">
        <f t="shared" ca="1" si="14"/>
        <v>0</v>
      </c>
    </row>
    <row r="289" spans="12:16" s="23" customFormat="1" ht="13.8">
      <c r="L289" s="23">
        <v>286</v>
      </c>
      <c r="M289" s="23">
        <f ca="1"/>
        <v>1827.4047204398992</v>
      </c>
      <c r="N289" s="25">
        <f t="shared" si="12"/>
        <v>1106.9630000000002</v>
      </c>
      <c r="O289" s="25">
        <f t="shared" ca="1" si="13"/>
        <v>0</v>
      </c>
      <c r="P289" s="25">
        <f t="shared" ca="1" si="14"/>
        <v>0</v>
      </c>
    </row>
    <row r="290" spans="12:16" s="23" customFormat="1" ht="13.8">
      <c r="L290" s="33">
        <v>287</v>
      </c>
      <c r="M290" s="23">
        <f ca="1"/>
        <v>1193.8223073042684</v>
      </c>
      <c r="N290" s="25">
        <f t="shared" si="12"/>
        <v>1106.9630000000002</v>
      </c>
      <c r="O290" s="25">
        <f t="shared" ca="1" si="13"/>
        <v>0</v>
      </c>
      <c r="P290" s="25">
        <f t="shared" ca="1" si="14"/>
        <v>0</v>
      </c>
    </row>
    <row r="291" spans="12:16" s="23" customFormat="1" ht="13.8">
      <c r="L291" s="23">
        <v>288</v>
      </c>
      <c r="M291" s="23">
        <f ca="1"/>
        <v>1389.1912766279784</v>
      </c>
      <c r="N291" s="25">
        <f t="shared" si="12"/>
        <v>1106.9630000000002</v>
      </c>
      <c r="O291" s="25">
        <f t="shared" ca="1" si="13"/>
        <v>0</v>
      </c>
      <c r="P291" s="25">
        <f t="shared" ca="1" si="14"/>
        <v>0</v>
      </c>
    </row>
    <row r="292" spans="12:16" s="23" customFormat="1" ht="13.8">
      <c r="L292" s="33">
        <v>289</v>
      </c>
      <c r="M292" s="23">
        <f ca="1"/>
        <v>984.595407447448</v>
      </c>
      <c r="N292" s="25">
        <f t="shared" si="12"/>
        <v>1106.9630000000002</v>
      </c>
      <c r="O292" s="25">
        <f t="shared" ca="1" si="13"/>
        <v>1</v>
      </c>
      <c r="P292" s="25">
        <f t="shared" ca="1" si="14"/>
        <v>0.11054352544082519</v>
      </c>
    </row>
    <row r="293" spans="12:16" s="23" customFormat="1" ht="13.8">
      <c r="L293" s="23">
        <v>290</v>
      </c>
      <c r="M293" s="23">
        <f ca="1"/>
        <v>1715.344603475234</v>
      </c>
      <c r="N293" s="25">
        <f t="shared" si="12"/>
        <v>1106.9630000000002</v>
      </c>
      <c r="O293" s="25">
        <f t="shared" ca="1" si="13"/>
        <v>0</v>
      </c>
      <c r="P293" s="25">
        <f t="shared" ca="1" si="14"/>
        <v>0</v>
      </c>
    </row>
    <row r="294" spans="12:16" s="23" customFormat="1" ht="13.8">
      <c r="L294" s="33">
        <v>291</v>
      </c>
      <c r="M294" s="23">
        <f ca="1"/>
        <v>721.36940420745157</v>
      </c>
      <c r="N294" s="25">
        <f t="shared" si="12"/>
        <v>1106.9630000000002</v>
      </c>
      <c r="O294" s="25">
        <f t="shared" ca="1" si="13"/>
        <v>1</v>
      </c>
      <c r="P294" s="25">
        <f t="shared" ca="1" si="14"/>
        <v>0.3483346740519318</v>
      </c>
    </row>
    <row r="295" spans="12:16" s="23" customFormat="1" ht="13.8">
      <c r="L295" s="23">
        <v>292</v>
      </c>
      <c r="M295" s="23">
        <f ca="1"/>
        <v>1213.8503831079979</v>
      </c>
      <c r="N295" s="25">
        <f t="shared" si="12"/>
        <v>1106.9630000000002</v>
      </c>
      <c r="O295" s="25">
        <f t="shared" ca="1" si="13"/>
        <v>0</v>
      </c>
      <c r="P295" s="25">
        <f t="shared" ca="1" si="14"/>
        <v>0</v>
      </c>
    </row>
    <row r="296" spans="12:16" s="23" customFormat="1" ht="13.8">
      <c r="L296" s="33">
        <v>293</v>
      </c>
      <c r="M296" s="23">
        <f ca="1"/>
        <v>2092.8805213797941</v>
      </c>
      <c r="N296" s="25">
        <f t="shared" si="12"/>
        <v>1106.9630000000002</v>
      </c>
      <c r="O296" s="25">
        <f t="shared" ca="1" si="13"/>
        <v>0</v>
      </c>
      <c r="P296" s="25">
        <f t="shared" ca="1" si="14"/>
        <v>0</v>
      </c>
    </row>
    <row r="297" spans="12:16" s="23" customFormat="1" ht="13.8">
      <c r="L297" s="23">
        <v>294</v>
      </c>
      <c r="M297" s="23">
        <f ca="1"/>
        <v>1658.7633236730558</v>
      </c>
      <c r="N297" s="25">
        <f t="shared" si="12"/>
        <v>1106.9630000000002</v>
      </c>
      <c r="O297" s="25">
        <f t="shared" ca="1" si="13"/>
        <v>0</v>
      </c>
      <c r="P297" s="25">
        <f t="shared" ca="1" si="14"/>
        <v>0</v>
      </c>
    </row>
    <row r="298" spans="12:16" s="23" customFormat="1" ht="13.8">
      <c r="L298" s="33">
        <v>295</v>
      </c>
      <c r="M298" s="23">
        <f ca="1"/>
        <v>2584.1940074194117</v>
      </c>
      <c r="N298" s="25">
        <f t="shared" si="12"/>
        <v>1106.9630000000002</v>
      </c>
      <c r="O298" s="25">
        <f t="shared" ca="1" si="13"/>
        <v>0</v>
      </c>
      <c r="P298" s="25">
        <f t="shared" ca="1" si="14"/>
        <v>0</v>
      </c>
    </row>
    <row r="299" spans="12:16" s="23" customFormat="1" ht="13.8">
      <c r="L299" s="23">
        <v>296</v>
      </c>
      <c r="M299" s="23">
        <f ca="1"/>
        <v>1352.3738807443438</v>
      </c>
      <c r="N299" s="25">
        <f t="shared" si="12"/>
        <v>1106.9630000000002</v>
      </c>
      <c r="O299" s="25">
        <f t="shared" ca="1" si="13"/>
        <v>0</v>
      </c>
      <c r="P299" s="25">
        <f t="shared" ca="1" si="14"/>
        <v>0</v>
      </c>
    </row>
    <row r="300" spans="12:16" s="23" customFormat="1" ht="13.8">
      <c r="L300" s="33">
        <v>297</v>
      </c>
      <c r="M300" s="23">
        <f ca="1"/>
        <v>2184.817185087777</v>
      </c>
      <c r="N300" s="25">
        <f t="shared" si="12"/>
        <v>1106.9630000000002</v>
      </c>
      <c r="O300" s="25">
        <f t="shared" ca="1" si="13"/>
        <v>0</v>
      </c>
      <c r="P300" s="25">
        <f t="shared" ca="1" si="14"/>
        <v>0</v>
      </c>
    </row>
    <row r="301" spans="12:16" s="23" customFormat="1" ht="13.8">
      <c r="L301" s="23">
        <v>298</v>
      </c>
      <c r="M301" s="23">
        <f ca="1"/>
        <v>1991.5912596188375</v>
      </c>
      <c r="N301" s="25">
        <f t="shared" si="12"/>
        <v>1106.9630000000002</v>
      </c>
      <c r="O301" s="25">
        <f t="shared" ca="1" si="13"/>
        <v>0</v>
      </c>
      <c r="P301" s="25">
        <f t="shared" ca="1" si="14"/>
        <v>0</v>
      </c>
    </row>
    <row r="302" spans="12:16" s="23" customFormat="1" ht="13.8">
      <c r="L302" s="33">
        <v>299</v>
      </c>
      <c r="M302" s="23">
        <f ca="1"/>
        <v>1644.1755269341602</v>
      </c>
      <c r="N302" s="25">
        <f t="shared" si="12"/>
        <v>1106.9630000000002</v>
      </c>
      <c r="O302" s="25">
        <f t="shared" ca="1" si="13"/>
        <v>0</v>
      </c>
      <c r="P302" s="25">
        <f t="shared" ca="1" si="14"/>
        <v>0</v>
      </c>
    </row>
    <row r="303" spans="12:16" s="23" customFormat="1" ht="13.8">
      <c r="L303" s="23">
        <v>300</v>
      </c>
      <c r="M303" s="23">
        <f ca="1"/>
        <v>1524.6684161558574</v>
      </c>
      <c r="N303" s="25">
        <f t="shared" si="12"/>
        <v>1106.9630000000002</v>
      </c>
      <c r="O303" s="25">
        <f t="shared" ca="1" si="13"/>
        <v>0</v>
      </c>
      <c r="P303" s="25">
        <f t="shared" ca="1" si="14"/>
        <v>0</v>
      </c>
    </row>
    <row r="304" spans="12:16" s="23" customFormat="1" ht="13.8">
      <c r="L304" s="33">
        <v>301</v>
      </c>
      <c r="M304" s="23">
        <f ca="1"/>
        <v>1383.5114515519024</v>
      </c>
      <c r="N304" s="25">
        <f t="shared" si="12"/>
        <v>1106.9630000000002</v>
      </c>
      <c r="O304" s="25">
        <f t="shared" ca="1" si="13"/>
        <v>0</v>
      </c>
      <c r="P304" s="25">
        <f t="shared" ca="1" si="14"/>
        <v>0</v>
      </c>
    </row>
    <row r="305" spans="12:16" s="23" customFormat="1" ht="13.8">
      <c r="L305" s="23">
        <v>302</v>
      </c>
      <c r="M305" s="23">
        <f ca="1"/>
        <v>1274.6876989310185</v>
      </c>
      <c r="N305" s="25">
        <f t="shared" si="12"/>
        <v>1106.9630000000002</v>
      </c>
      <c r="O305" s="25">
        <f t="shared" ca="1" si="13"/>
        <v>0</v>
      </c>
      <c r="P305" s="25">
        <f t="shared" ca="1" si="14"/>
        <v>0</v>
      </c>
    </row>
    <row r="306" spans="12:16" s="23" customFormat="1" ht="13.8">
      <c r="L306" s="33">
        <v>303</v>
      </c>
      <c r="M306" s="23">
        <f ca="1"/>
        <v>1992.3542516809757</v>
      </c>
      <c r="N306" s="25">
        <f t="shared" si="12"/>
        <v>1106.9630000000002</v>
      </c>
      <c r="O306" s="25">
        <f t="shared" ca="1" si="13"/>
        <v>0</v>
      </c>
      <c r="P306" s="25">
        <f t="shared" ca="1" si="14"/>
        <v>0</v>
      </c>
    </row>
    <row r="307" spans="12:16" s="23" customFormat="1" ht="13.8">
      <c r="L307" s="23">
        <v>304</v>
      </c>
      <c r="M307" s="23">
        <f ca="1"/>
        <v>1321.6584084368656</v>
      </c>
      <c r="N307" s="25">
        <f t="shared" si="12"/>
        <v>1106.9630000000002</v>
      </c>
      <c r="O307" s="25">
        <f t="shared" ca="1" si="13"/>
        <v>0</v>
      </c>
      <c r="P307" s="25">
        <f t="shared" ca="1" si="14"/>
        <v>0</v>
      </c>
    </row>
    <row r="308" spans="12:16" s="23" customFormat="1" ht="13.8">
      <c r="L308" s="33">
        <v>305</v>
      </c>
      <c r="M308" s="23">
        <f ca="1"/>
        <v>1975.609434619651</v>
      </c>
      <c r="N308" s="25">
        <f t="shared" si="12"/>
        <v>1106.9630000000002</v>
      </c>
      <c r="O308" s="25">
        <f t="shared" ca="1" si="13"/>
        <v>0</v>
      </c>
      <c r="P308" s="25">
        <f t="shared" ca="1" si="14"/>
        <v>0</v>
      </c>
    </row>
    <row r="309" spans="12:16" s="23" customFormat="1" ht="13.8">
      <c r="L309" s="23">
        <v>306</v>
      </c>
      <c r="M309" s="23">
        <f ca="1"/>
        <v>2097.8589891914939</v>
      </c>
      <c r="N309" s="25">
        <f t="shared" si="12"/>
        <v>1106.9630000000002</v>
      </c>
      <c r="O309" s="25">
        <f t="shared" ca="1" si="13"/>
        <v>0</v>
      </c>
      <c r="P309" s="25">
        <f t="shared" ca="1" si="14"/>
        <v>0</v>
      </c>
    </row>
    <row r="310" spans="12:16" s="23" customFormat="1" ht="13.8">
      <c r="L310" s="33">
        <v>307</v>
      </c>
      <c r="M310" s="23">
        <f ca="1"/>
        <v>1023.1350123772775</v>
      </c>
      <c r="N310" s="25">
        <f t="shared" si="12"/>
        <v>1106.9630000000002</v>
      </c>
      <c r="O310" s="25">
        <f t="shared" ca="1" si="13"/>
        <v>1</v>
      </c>
      <c r="P310" s="25">
        <f t="shared" ca="1" si="14"/>
        <v>7.5727903843870764E-2</v>
      </c>
    </row>
    <row r="311" spans="12:16" s="23" customFormat="1" ht="13.8">
      <c r="L311" s="23">
        <v>308</v>
      </c>
      <c r="M311" s="23">
        <f ca="1"/>
        <v>2040.1960420949613</v>
      </c>
      <c r="N311" s="25">
        <f t="shared" si="12"/>
        <v>1106.9630000000002</v>
      </c>
      <c r="O311" s="25">
        <f t="shared" ca="1" si="13"/>
        <v>0</v>
      </c>
      <c r="P311" s="25">
        <f t="shared" ca="1" si="14"/>
        <v>0</v>
      </c>
    </row>
    <row r="312" spans="12:16" s="23" customFormat="1" ht="13.8">
      <c r="L312" s="33">
        <v>309</v>
      </c>
      <c r="M312" s="23">
        <f ca="1"/>
        <v>1309.4650230929744</v>
      </c>
      <c r="N312" s="25">
        <f t="shared" si="12"/>
        <v>1106.9630000000002</v>
      </c>
      <c r="O312" s="25">
        <f t="shared" ca="1" si="13"/>
        <v>0</v>
      </c>
      <c r="P312" s="25">
        <f t="shared" ca="1" si="14"/>
        <v>0</v>
      </c>
    </row>
    <row r="313" spans="12:16" s="23" customFormat="1" ht="13.8">
      <c r="L313" s="23">
        <v>310</v>
      </c>
      <c r="M313" s="23">
        <f ca="1"/>
        <v>1977.6376165827428</v>
      </c>
      <c r="N313" s="25">
        <f t="shared" si="12"/>
        <v>1106.9630000000002</v>
      </c>
      <c r="O313" s="25">
        <f t="shared" ca="1" si="13"/>
        <v>0</v>
      </c>
      <c r="P313" s="25">
        <f t="shared" ca="1" si="14"/>
        <v>0</v>
      </c>
    </row>
    <row r="314" spans="12:16" s="23" customFormat="1" ht="13.8">
      <c r="L314" s="33">
        <v>311</v>
      </c>
      <c r="M314" s="23">
        <f ca="1"/>
        <v>1816.9664979774482</v>
      </c>
      <c r="N314" s="25">
        <f t="shared" si="12"/>
        <v>1106.9630000000002</v>
      </c>
      <c r="O314" s="25">
        <f t="shared" ca="1" si="13"/>
        <v>0</v>
      </c>
      <c r="P314" s="25">
        <f t="shared" ca="1" si="14"/>
        <v>0</v>
      </c>
    </row>
    <row r="315" spans="12:16" s="23" customFormat="1" ht="13.8">
      <c r="L315" s="23">
        <v>312</v>
      </c>
      <c r="M315" s="23">
        <f ca="1"/>
        <v>1482.354577509044</v>
      </c>
      <c r="N315" s="25">
        <f t="shared" si="12"/>
        <v>1106.9630000000002</v>
      </c>
      <c r="O315" s="25">
        <f t="shared" ca="1" si="13"/>
        <v>0</v>
      </c>
      <c r="P315" s="25">
        <f t="shared" ca="1" si="14"/>
        <v>0</v>
      </c>
    </row>
    <row r="316" spans="12:16" s="23" customFormat="1" ht="13.8">
      <c r="L316" s="33">
        <v>313</v>
      </c>
      <c r="M316" s="23">
        <f ca="1"/>
        <v>2746.1856502298801</v>
      </c>
      <c r="N316" s="25">
        <f t="shared" si="12"/>
        <v>1106.9630000000002</v>
      </c>
      <c r="O316" s="25">
        <f t="shared" ca="1" si="13"/>
        <v>0</v>
      </c>
      <c r="P316" s="25">
        <f t="shared" ca="1" si="14"/>
        <v>0</v>
      </c>
    </row>
    <row r="317" spans="12:16" s="23" customFormat="1" ht="13.8">
      <c r="L317" s="23">
        <v>314</v>
      </c>
      <c r="M317" s="23">
        <f ca="1"/>
        <v>1366.4947369841082</v>
      </c>
      <c r="N317" s="25">
        <f t="shared" si="12"/>
        <v>1106.9630000000002</v>
      </c>
      <c r="O317" s="25">
        <f t="shared" ca="1" si="13"/>
        <v>0</v>
      </c>
      <c r="P317" s="25">
        <f t="shared" ca="1" si="14"/>
        <v>0</v>
      </c>
    </row>
    <row r="318" spans="12:16" s="23" customFormat="1" ht="13.8">
      <c r="L318" s="33">
        <v>315</v>
      </c>
      <c r="M318" s="23">
        <f ca="1"/>
        <v>1254.59317739941</v>
      </c>
      <c r="N318" s="25">
        <f t="shared" si="12"/>
        <v>1106.9630000000002</v>
      </c>
      <c r="O318" s="25">
        <f t="shared" ca="1" si="13"/>
        <v>0</v>
      </c>
      <c r="P318" s="25">
        <f t="shared" ca="1" si="14"/>
        <v>0</v>
      </c>
    </row>
    <row r="319" spans="12:16" s="23" customFormat="1" ht="13.8">
      <c r="L319" s="23">
        <v>316</v>
      </c>
      <c r="M319" s="23">
        <f ca="1"/>
        <v>1477.3703934325174</v>
      </c>
      <c r="N319" s="25">
        <f t="shared" si="12"/>
        <v>1106.9630000000002</v>
      </c>
      <c r="O319" s="25">
        <f t="shared" ca="1" si="13"/>
        <v>0</v>
      </c>
      <c r="P319" s="25">
        <f t="shared" ca="1" si="14"/>
        <v>0</v>
      </c>
    </row>
    <row r="320" spans="12:16" s="23" customFormat="1" ht="13.8">
      <c r="L320" s="33">
        <v>317</v>
      </c>
      <c r="M320" s="23">
        <f ca="1"/>
        <v>1563.084773999585</v>
      </c>
      <c r="N320" s="25">
        <f t="shared" si="12"/>
        <v>1106.9630000000002</v>
      </c>
      <c r="O320" s="25">
        <f t="shared" ca="1" si="13"/>
        <v>0</v>
      </c>
      <c r="P320" s="25">
        <f t="shared" ca="1" si="14"/>
        <v>0</v>
      </c>
    </row>
    <row r="321" spans="12:16" s="23" customFormat="1" ht="13.8">
      <c r="L321" s="23">
        <v>318</v>
      </c>
      <c r="M321" s="23">
        <f ca="1"/>
        <v>1631.6240916356871</v>
      </c>
      <c r="N321" s="25">
        <f t="shared" si="12"/>
        <v>1106.9630000000002</v>
      </c>
      <c r="O321" s="25">
        <f t="shared" ca="1" si="13"/>
        <v>0</v>
      </c>
      <c r="P321" s="25">
        <f t="shared" ca="1" si="14"/>
        <v>0</v>
      </c>
    </row>
    <row r="322" spans="12:16" s="23" customFormat="1" ht="13.8">
      <c r="L322" s="33">
        <v>319</v>
      </c>
      <c r="M322" s="23">
        <f ca="1"/>
        <v>1698.7106613190233</v>
      </c>
      <c r="N322" s="25">
        <f t="shared" si="12"/>
        <v>1106.9630000000002</v>
      </c>
      <c r="O322" s="25">
        <f t="shared" ca="1" si="13"/>
        <v>0</v>
      </c>
      <c r="P322" s="25">
        <f t="shared" ca="1" si="14"/>
        <v>0</v>
      </c>
    </row>
    <row r="323" spans="12:16" s="23" customFormat="1" ht="13.8">
      <c r="L323" s="23">
        <v>320</v>
      </c>
      <c r="M323" s="23">
        <f ca="1"/>
        <v>1157.0034012500753</v>
      </c>
      <c r="N323" s="25">
        <f t="shared" si="12"/>
        <v>1106.9630000000002</v>
      </c>
      <c r="O323" s="25">
        <f t="shared" ca="1" si="13"/>
        <v>0</v>
      </c>
      <c r="P323" s="25">
        <f t="shared" ca="1" si="14"/>
        <v>0</v>
      </c>
    </row>
    <row r="324" spans="12:16" s="23" customFormat="1" ht="13.8">
      <c r="L324" s="33">
        <v>321</v>
      </c>
      <c r="M324" s="23">
        <f ca="1"/>
        <v>1866.5460166960434</v>
      </c>
      <c r="N324" s="25">
        <f t="shared" ref="N324:N387" si="15">($C$21+$E$21)*1.1</f>
        <v>1106.9630000000002</v>
      </c>
      <c r="O324" s="25">
        <f t="shared" ca="1" si="13"/>
        <v>0</v>
      </c>
      <c r="P324" s="25">
        <f t="shared" ca="1" si="14"/>
        <v>0</v>
      </c>
    </row>
    <row r="325" spans="12:16" s="23" customFormat="1" ht="13.8">
      <c r="L325" s="23">
        <v>322</v>
      </c>
      <c r="M325" s="23">
        <f ca="1"/>
        <v>1215.8052685754324</v>
      </c>
      <c r="N325" s="25">
        <f t="shared" si="15"/>
        <v>1106.9630000000002</v>
      </c>
      <c r="O325" s="25">
        <f t="shared" ref="O325:O388" ca="1" si="16">IF(M325&lt;N325,1,0)</f>
        <v>0</v>
      </c>
      <c r="P325" s="25">
        <f t="shared" ref="P325:P388" ca="1" si="17">MAX((N325-M325)/N325,0)</f>
        <v>0</v>
      </c>
    </row>
    <row r="326" spans="12:16" s="23" customFormat="1" ht="13.8">
      <c r="L326" s="33">
        <v>323</v>
      </c>
      <c r="M326" s="23">
        <f ca="1"/>
        <v>2039.5317422121259</v>
      </c>
      <c r="N326" s="25">
        <f t="shared" si="15"/>
        <v>1106.9630000000002</v>
      </c>
      <c r="O326" s="25">
        <f t="shared" ca="1" si="16"/>
        <v>0</v>
      </c>
      <c r="P326" s="25">
        <f t="shared" ca="1" si="17"/>
        <v>0</v>
      </c>
    </row>
    <row r="327" spans="12:16" s="23" customFormat="1" ht="13.8">
      <c r="L327" s="23">
        <v>324</v>
      </c>
      <c r="M327" s="23">
        <f ca="1"/>
        <v>1276.6402528440103</v>
      </c>
      <c r="N327" s="25">
        <f t="shared" si="15"/>
        <v>1106.9630000000002</v>
      </c>
      <c r="O327" s="25">
        <f t="shared" ca="1" si="16"/>
        <v>0</v>
      </c>
      <c r="P327" s="25">
        <f t="shared" ca="1" si="17"/>
        <v>0</v>
      </c>
    </row>
    <row r="328" spans="12:16" s="23" customFormat="1" ht="13.8">
      <c r="L328" s="33">
        <v>325</v>
      </c>
      <c r="M328" s="23">
        <f ca="1"/>
        <v>1673.7837095593522</v>
      </c>
      <c r="N328" s="25">
        <f t="shared" si="15"/>
        <v>1106.9630000000002</v>
      </c>
      <c r="O328" s="25">
        <f t="shared" ca="1" si="16"/>
        <v>0</v>
      </c>
      <c r="P328" s="25">
        <f t="shared" ca="1" si="17"/>
        <v>0</v>
      </c>
    </row>
    <row r="329" spans="12:16" s="23" customFormat="1" ht="13.8">
      <c r="L329" s="23">
        <v>326</v>
      </c>
      <c r="M329" s="23">
        <f ca="1"/>
        <v>2141.0554275919699</v>
      </c>
      <c r="N329" s="25">
        <f t="shared" si="15"/>
        <v>1106.9630000000002</v>
      </c>
      <c r="O329" s="25">
        <f t="shared" ca="1" si="16"/>
        <v>0</v>
      </c>
      <c r="P329" s="25">
        <f t="shared" ca="1" si="17"/>
        <v>0</v>
      </c>
    </row>
    <row r="330" spans="12:16" s="23" customFormat="1" ht="13.8">
      <c r="L330" s="33">
        <v>327</v>
      </c>
      <c r="M330" s="23">
        <f ca="1"/>
        <v>1605.4365097693669</v>
      </c>
      <c r="N330" s="25">
        <f t="shared" si="15"/>
        <v>1106.9630000000002</v>
      </c>
      <c r="O330" s="25">
        <f t="shared" ca="1" si="16"/>
        <v>0</v>
      </c>
      <c r="P330" s="25">
        <f t="shared" ca="1" si="17"/>
        <v>0</v>
      </c>
    </row>
    <row r="331" spans="12:16" s="23" customFormat="1" ht="13.8">
      <c r="L331" s="23">
        <v>328</v>
      </c>
      <c r="M331" s="23">
        <f ca="1"/>
        <v>2336.9679046055721</v>
      </c>
      <c r="N331" s="25">
        <f t="shared" si="15"/>
        <v>1106.9630000000002</v>
      </c>
      <c r="O331" s="25">
        <f t="shared" ca="1" si="16"/>
        <v>0</v>
      </c>
      <c r="P331" s="25">
        <f t="shared" ca="1" si="17"/>
        <v>0</v>
      </c>
    </row>
    <row r="332" spans="12:16" s="23" customFormat="1" ht="13.8">
      <c r="L332" s="33">
        <v>329</v>
      </c>
      <c r="M332" s="23">
        <f ca="1"/>
        <v>1080.2244866839317</v>
      </c>
      <c r="N332" s="25">
        <f t="shared" si="15"/>
        <v>1106.9630000000002</v>
      </c>
      <c r="O332" s="25">
        <f t="shared" ca="1" si="16"/>
        <v>1</v>
      </c>
      <c r="P332" s="25">
        <f t="shared" ca="1" si="17"/>
        <v>2.4154839245818075E-2</v>
      </c>
    </row>
    <row r="333" spans="12:16" s="23" customFormat="1" ht="13.8">
      <c r="L333" s="23">
        <v>330</v>
      </c>
      <c r="M333" s="23">
        <f ca="1"/>
        <v>1832.8293162021739</v>
      </c>
      <c r="N333" s="25">
        <f t="shared" si="15"/>
        <v>1106.9630000000002</v>
      </c>
      <c r="O333" s="25">
        <f t="shared" ca="1" si="16"/>
        <v>0</v>
      </c>
      <c r="P333" s="25">
        <f t="shared" ca="1" si="17"/>
        <v>0</v>
      </c>
    </row>
    <row r="334" spans="12:16" s="23" customFormat="1" ht="13.8">
      <c r="L334" s="33">
        <v>331</v>
      </c>
      <c r="M334" s="23">
        <f ca="1"/>
        <v>1583.1633349085866</v>
      </c>
      <c r="N334" s="25">
        <f t="shared" si="15"/>
        <v>1106.9630000000002</v>
      </c>
      <c r="O334" s="25">
        <f t="shared" ca="1" si="16"/>
        <v>0</v>
      </c>
      <c r="P334" s="25">
        <f t="shared" ca="1" si="17"/>
        <v>0</v>
      </c>
    </row>
    <row r="335" spans="12:16" s="23" customFormat="1" ht="13.8">
      <c r="L335" s="23">
        <v>332</v>
      </c>
      <c r="M335" s="23">
        <f ca="1"/>
        <v>1011.9340654967421</v>
      </c>
      <c r="N335" s="25">
        <f t="shared" si="15"/>
        <v>1106.9630000000002</v>
      </c>
      <c r="O335" s="25">
        <f t="shared" ca="1" si="16"/>
        <v>1</v>
      </c>
      <c r="P335" s="25">
        <f t="shared" ca="1" si="17"/>
        <v>8.5846531910513835E-2</v>
      </c>
    </row>
    <row r="336" spans="12:16" s="23" customFormat="1" ht="13.8">
      <c r="L336" s="33">
        <v>333</v>
      </c>
      <c r="M336" s="23">
        <f ca="1"/>
        <v>1169.1842992334127</v>
      </c>
      <c r="N336" s="25">
        <f t="shared" si="15"/>
        <v>1106.9630000000002</v>
      </c>
      <c r="O336" s="25">
        <f t="shared" ca="1" si="16"/>
        <v>0</v>
      </c>
      <c r="P336" s="25">
        <f t="shared" ca="1" si="17"/>
        <v>0</v>
      </c>
    </row>
    <row r="337" spans="12:16" s="23" customFormat="1" ht="13.8">
      <c r="L337" s="23">
        <v>334</v>
      </c>
      <c r="M337" s="23">
        <f ca="1"/>
        <v>407.31940775095438</v>
      </c>
      <c r="N337" s="25">
        <f t="shared" si="15"/>
        <v>1106.9630000000002</v>
      </c>
      <c r="O337" s="25">
        <f t="shared" ca="1" si="16"/>
        <v>1</v>
      </c>
      <c r="P337" s="25">
        <f t="shared" ca="1" si="17"/>
        <v>0.6320388235641532</v>
      </c>
    </row>
    <row r="338" spans="12:16" s="23" customFormat="1" ht="13.8">
      <c r="L338" s="33">
        <v>335</v>
      </c>
      <c r="M338" s="23">
        <f ca="1"/>
        <v>2053.4753390999422</v>
      </c>
      <c r="N338" s="25">
        <f t="shared" si="15"/>
        <v>1106.9630000000002</v>
      </c>
      <c r="O338" s="25">
        <f t="shared" ca="1" si="16"/>
        <v>0</v>
      </c>
      <c r="P338" s="25">
        <f t="shared" ca="1" si="17"/>
        <v>0</v>
      </c>
    </row>
    <row r="339" spans="12:16" s="23" customFormat="1" ht="13.8">
      <c r="L339" s="23">
        <v>336</v>
      </c>
      <c r="M339" s="23">
        <f ca="1"/>
        <v>991.28858113719002</v>
      </c>
      <c r="N339" s="25">
        <f t="shared" si="15"/>
        <v>1106.9630000000002</v>
      </c>
      <c r="O339" s="25">
        <f t="shared" ca="1" si="16"/>
        <v>1</v>
      </c>
      <c r="P339" s="25">
        <f t="shared" ca="1" si="17"/>
        <v>0.10449709598496983</v>
      </c>
    </row>
    <row r="340" spans="12:16" s="23" customFormat="1" ht="13.8">
      <c r="L340" s="33">
        <v>337</v>
      </c>
      <c r="M340" s="23">
        <f ca="1"/>
        <v>1208.0967362260433</v>
      </c>
      <c r="N340" s="25">
        <f t="shared" si="15"/>
        <v>1106.9630000000002</v>
      </c>
      <c r="O340" s="25">
        <f t="shared" ca="1" si="16"/>
        <v>0</v>
      </c>
      <c r="P340" s="25">
        <f t="shared" ca="1" si="17"/>
        <v>0</v>
      </c>
    </row>
    <row r="341" spans="12:16" s="23" customFormat="1" ht="13.8">
      <c r="L341" s="23">
        <v>338</v>
      </c>
      <c r="M341" s="23">
        <f ca="1"/>
        <v>1268.7125188246305</v>
      </c>
      <c r="N341" s="25">
        <f t="shared" si="15"/>
        <v>1106.9630000000002</v>
      </c>
      <c r="O341" s="25">
        <f t="shared" ca="1" si="16"/>
        <v>0</v>
      </c>
      <c r="P341" s="25">
        <f t="shared" ca="1" si="17"/>
        <v>0</v>
      </c>
    </row>
    <row r="342" spans="12:16" s="23" customFormat="1" ht="13.8">
      <c r="L342" s="33">
        <v>339</v>
      </c>
      <c r="M342" s="23">
        <f ca="1"/>
        <v>1499.6213197860648</v>
      </c>
      <c r="N342" s="25">
        <f t="shared" si="15"/>
        <v>1106.9630000000002</v>
      </c>
      <c r="O342" s="25">
        <f t="shared" ca="1" si="16"/>
        <v>0</v>
      </c>
      <c r="P342" s="25">
        <f t="shared" ca="1" si="17"/>
        <v>0</v>
      </c>
    </row>
    <row r="343" spans="12:16" s="23" customFormat="1" ht="13.8">
      <c r="L343" s="23">
        <v>340</v>
      </c>
      <c r="M343" s="23">
        <f ca="1"/>
        <v>2009.3113368728064</v>
      </c>
      <c r="N343" s="25">
        <f t="shared" si="15"/>
        <v>1106.9630000000002</v>
      </c>
      <c r="O343" s="25">
        <f t="shared" ca="1" si="16"/>
        <v>0</v>
      </c>
      <c r="P343" s="25">
        <f t="shared" ca="1" si="17"/>
        <v>0</v>
      </c>
    </row>
    <row r="344" spans="12:16" s="23" customFormat="1" ht="13.8">
      <c r="L344" s="33">
        <v>341</v>
      </c>
      <c r="M344" s="23">
        <f ca="1"/>
        <v>1175.4843980235744</v>
      </c>
      <c r="N344" s="25">
        <f t="shared" si="15"/>
        <v>1106.9630000000002</v>
      </c>
      <c r="O344" s="25">
        <f t="shared" ca="1" si="16"/>
        <v>0</v>
      </c>
      <c r="P344" s="25">
        <f t="shared" ca="1" si="17"/>
        <v>0</v>
      </c>
    </row>
    <row r="345" spans="12:16" s="23" customFormat="1" ht="13.8">
      <c r="L345" s="23">
        <v>342</v>
      </c>
      <c r="M345" s="23">
        <f ca="1"/>
        <v>1362.6810298703872</v>
      </c>
      <c r="N345" s="25">
        <f t="shared" si="15"/>
        <v>1106.9630000000002</v>
      </c>
      <c r="O345" s="25">
        <f t="shared" ca="1" si="16"/>
        <v>0</v>
      </c>
      <c r="P345" s="25">
        <f t="shared" ca="1" si="17"/>
        <v>0</v>
      </c>
    </row>
    <row r="346" spans="12:16" s="23" customFormat="1" ht="13.8">
      <c r="L346" s="33">
        <v>343</v>
      </c>
      <c r="M346" s="23">
        <f ca="1"/>
        <v>2357.8358695895886</v>
      </c>
      <c r="N346" s="25">
        <f t="shared" si="15"/>
        <v>1106.9630000000002</v>
      </c>
      <c r="O346" s="25">
        <f t="shared" ca="1" si="16"/>
        <v>0</v>
      </c>
      <c r="P346" s="25">
        <f t="shared" ca="1" si="17"/>
        <v>0</v>
      </c>
    </row>
    <row r="347" spans="12:16" s="23" customFormat="1" ht="13.8">
      <c r="L347" s="23">
        <v>344</v>
      </c>
      <c r="M347" s="23">
        <f ca="1"/>
        <v>2071.0622219501811</v>
      </c>
      <c r="N347" s="25">
        <f t="shared" si="15"/>
        <v>1106.9630000000002</v>
      </c>
      <c r="O347" s="25">
        <f t="shared" ca="1" si="16"/>
        <v>0</v>
      </c>
      <c r="P347" s="25">
        <f t="shared" ca="1" si="17"/>
        <v>0</v>
      </c>
    </row>
    <row r="348" spans="12:16" s="23" customFormat="1" ht="13.8">
      <c r="L348" s="33">
        <v>345</v>
      </c>
      <c r="M348" s="23">
        <f ca="1"/>
        <v>1103.399066535753</v>
      </c>
      <c r="N348" s="25">
        <f t="shared" si="15"/>
        <v>1106.9630000000002</v>
      </c>
      <c r="O348" s="25">
        <f t="shared" ca="1" si="16"/>
        <v>1</v>
      </c>
      <c r="P348" s="25">
        <f t="shared" ca="1" si="17"/>
        <v>3.2195597000506397E-3</v>
      </c>
    </row>
    <row r="349" spans="12:16" s="23" customFormat="1" ht="13.8">
      <c r="L349" s="23">
        <v>346</v>
      </c>
      <c r="M349" s="23">
        <f ca="1"/>
        <v>1784.5999593904976</v>
      </c>
      <c r="N349" s="25">
        <f t="shared" si="15"/>
        <v>1106.9630000000002</v>
      </c>
      <c r="O349" s="25">
        <f t="shared" ca="1" si="16"/>
        <v>0</v>
      </c>
      <c r="P349" s="25">
        <f t="shared" ca="1" si="17"/>
        <v>0</v>
      </c>
    </row>
    <row r="350" spans="12:16" s="23" customFormat="1" ht="13.8">
      <c r="L350" s="33">
        <v>347</v>
      </c>
      <c r="M350" s="23">
        <f ca="1"/>
        <v>1473.0882362667337</v>
      </c>
      <c r="N350" s="25">
        <f t="shared" si="15"/>
        <v>1106.9630000000002</v>
      </c>
      <c r="O350" s="25">
        <f t="shared" ca="1" si="16"/>
        <v>0</v>
      </c>
      <c r="P350" s="25">
        <f t="shared" ca="1" si="17"/>
        <v>0</v>
      </c>
    </row>
    <row r="351" spans="12:16" s="23" customFormat="1" ht="13.8">
      <c r="L351" s="23">
        <v>348</v>
      </c>
      <c r="M351" s="23">
        <f ca="1"/>
        <v>1730.9478361500303</v>
      </c>
      <c r="N351" s="25">
        <f t="shared" si="15"/>
        <v>1106.9630000000002</v>
      </c>
      <c r="O351" s="25">
        <f t="shared" ca="1" si="16"/>
        <v>0</v>
      </c>
      <c r="P351" s="25">
        <f t="shared" ca="1" si="17"/>
        <v>0</v>
      </c>
    </row>
    <row r="352" spans="12:16" s="23" customFormat="1" ht="13.8">
      <c r="L352" s="33">
        <v>349</v>
      </c>
      <c r="M352" s="23">
        <f ca="1"/>
        <v>935.28519719464816</v>
      </c>
      <c r="N352" s="25">
        <f t="shared" si="15"/>
        <v>1106.9630000000002</v>
      </c>
      <c r="O352" s="25">
        <f t="shared" ca="1" si="16"/>
        <v>1</v>
      </c>
      <c r="P352" s="25">
        <f t="shared" ca="1" si="17"/>
        <v>0.1550890163495546</v>
      </c>
    </row>
    <row r="353" spans="12:16" s="23" customFormat="1" ht="13.8">
      <c r="L353" s="23">
        <v>350</v>
      </c>
      <c r="M353" s="23">
        <f ca="1"/>
        <v>1344.6053070887533</v>
      </c>
      <c r="N353" s="25">
        <f t="shared" si="15"/>
        <v>1106.9630000000002</v>
      </c>
      <c r="O353" s="25">
        <f t="shared" ca="1" si="16"/>
        <v>0</v>
      </c>
      <c r="P353" s="25">
        <f t="shared" ca="1" si="17"/>
        <v>0</v>
      </c>
    </row>
    <row r="354" spans="12:16" s="23" customFormat="1" ht="13.8">
      <c r="L354" s="33">
        <v>351</v>
      </c>
      <c r="M354" s="23">
        <f ca="1"/>
        <v>2099.4723102076982</v>
      </c>
      <c r="N354" s="25">
        <f t="shared" si="15"/>
        <v>1106.9630000000002</v>
      </c>
      <c r="O354" s="25">
        <f t="shared" ca="1" si="16"/>
        <v>0</v>
      </c>
      <c r="P354" s="25">
        <f t="shared" ca="1" si="17"/>
        <v>0</v>
      </c>
    </row>
    <row r="355" spans="12:16" s="23" customFormat="1" ht="13.8">
      <c r="L355" s="23">
        <v>352</v>
      </c>
      <c r="M355" s="23">
        <f ca="1"/>
        <v>1620.8617747676756</v>
      </c>
      <c r="N355" s="25">
        <f t="shared" si="15"/>
        <v>1106.9630000000002</v>
      </c>
      <c r="O355" s="25">
        <f t="shared" ca="1" si="16"/>
        <v>0</v>
      </c>
      <c r="P355" s="25">
        <f t="shared" ca="1" si="17"/>
        <v>0</v>
      </c>
    </row>
    <row r="356" spans="12:16" s="23" customFormat="1" ht="13.8">
      <c r="L356" s="33">
        <v>353</v>
      </c>
      <c r="M356" s="23">
        <f ca="1"/>
        <v>1190.9989931533285</v>
      </c>
      <c r="N356" s="25">
        <f t="shared" si="15"/>
        <v>1106.9630000000002</v>
      </c>
      <c r="O356" s="25">
        <f t="shared" ca="1" si="16"/>
        <v>0</v>
      </c>
      <c r="P356" s="25">
        <f t="shared" ca="1" si="17"/>
        <v>0</v>
      </c>
    </row>
    <row r="357" spans="12:16" s="23" customFormat="1" ht="13.8">
      <c r="L357" s="23">
        <v>354</v>
      </c>
      <c r="M357" s="23">
        <f ca="1"/>
        <v>710.01703937581783</v>
      </c>
      <c r="N357" s="25">
        <f t="shared" si="15"/>
        <v>1106.9630000000002</v>
      </c>
      <c r="O357" s="25">
        <f t="shared" ca="1" si="16"/>
        <v>1</v>
      </c>
      <c r="P357" s="25">
        <f t="shared" ca="1" si="17"/>
        <v>0.35859008894080679</v>
      </c>
    </row>
    <row r="358" spans="12:16" s="23" customFormat="1" ht="13.8">
      <c r="L358" s="33">
        <v>355</v>
      </c>
      <c r="M358" s="23">
        <f ca="1"/>
        <v>1363.5474134019248</v>
      </c>
      <c r="N358" s="25">
        <f t="shared" si="15"/>
        <v>1106.9630000000002</v>
      </c>
      <c r="O358" s="25">
        <f t="shared" ca="1" si="16"/>
        <v>0</v>
      </c>
      <c r="P358" s="25">
        <f t="shared" ca="1" si="17"/>
        <v>0</v>
      </c>
    </row>
    <row r="359" spans="12:16" s="23" customFormat="1" ht="13.8">
      <c r="L359" s="23">
        <v>356</v>
      </c>
      <c r="M359" s="23">
        <f ca="1"/>
        <v>2049.5235519993362</v>
      </c>
      <c r="N359" s="25">
        <f t="shared" si="15"/>
        <v>1106.9630000000002</v>
      </c>
      <c r="O359" s="25">
        <f t="shared" ca="1" si="16"/>
        <v>0</v>
      </c>
      <c r="P359" s="25">
        <f t="shared" ca="1" si="17"/>
        <v>0</v>
      </c>
    </row>
    <row r="360" spans="12:16" s="23" customFormat="1" ht="13.8">
      <c r="L360" s="33">
        <v>357</v>
      </c>
      <c r="M360" s="23">
        <f ca="1"/>
        <v>1541.695472180789</v>
      </c>
      <c r="N360" s="25">
        <f t="shared" si="15"/>
        <v>1106.9630000000002</v>
      </c>
      <c r="O360" s="25">
        <f t="shared" ca="1" si="16"/>
        <v>0</v>
      </c>
      <c r="P360" s="25">
        <f t="shared" ca="1" si="17"/>
        <v>0</v>
      </c>
    </row>
    <row r="361" spans="12:16" s="23" customFormat="1" ht="13.8">
      <c r="L361" s="23">
        <v>358</v>
      </c>
      <c r="M361" s="23">
        <f ca="1"/>
        <v>1641.6687293766427</v>
      </c>
      <c r="N361" s="25">
        <f t="shared" si="15"/>
        <v>1106.9630000000002</v>
      </c>
      <c r="O361" s="25">
        <f t="shared" ca="1" si="16"/>
        <v>0</v>
      </c>
      <c r="P361" s="25">
        <f t="shared" ca="1" si="17"/>
        <v>0</v>
      </c>
    </row>
    <row r="362" spans="12:16" s="23" customFormat="1" ht="13.8">
      <c r="L362" s="33">
        <v>359</v>
      </c>
      <c r="M362" s="23">
        <f ca="1"/>
        <v>1950.3282927002176</v>
      </c>
      <c r="N362" s="25">
        <f t="shared" si="15"/>
        <v>1106.9630000000002</v>
      </c>
      <c r="O362" s="25">
        <f t="shared" ca="1" si="16"/>
        <v>0</v>
      </c>
      <c r="P362" s="25">
        <f t="shared" ca="1" si="17"/>
        <v>0</v>
      </c>
    </row>
    <row r="363" spans="12:16" s="23" customFormat="1" ht="13.8">
      <c r="L363" s="23">
        <v>360</v>
      </c>
      <c r="M363" s="23">
        <f ca="1"/>
        <v>1443.4708483770037</v>
      </c>
      <c r="N363" s="25">
        <f t="shared" si="15"/>
        <v>1106.9630000000002</v>
      </c>
      <c r="O363" s="25">
        <f t="shared" ca="1" si="16"/>
        <v>0</v>
      </c>
      <c r="P363" s="25">
        <f t="shared" ca="1" si="17"/>
        <v>0</v>
      </c>
    </row>
    <row r="364" spans="12:16" s="23" customFormat="1" ht="13.8">
      <c r="L364" s="33">
        <v>361</v>
      </c>
      <c r="M364" s="23">
        <f ca="1"/>
        <v>994.29666925638537</v>
      </c>
      <c r="N364" s="25">
        <f t="shared" si="15"/>
        <v>1106.9630000000002</v>
      </c>
      <c r="O364" s="25">
        <f t="shared" ca="1" si="16"/>
        <v>1</v>
      </c>
      <c r="P364" s="25">
        <f t="shared" ca="1" si="17"/>
        <v>0.10177967171767692</v>
      </c>
    </row>
    <row r="365" spans="12:16" s="23" customFormat="1" ht="13.8">
      <c r="L365" s="23">
        <v>362</v>
      </c>
      <c r="M365" s="23">
        <f ca="1"/>
        <v>1848.5879333211487</v>
      </c>
      <c r="N365" s="25">
        <f t="shared" si="15"/>
        <v>1106.9630000000002</v>
      </c>
      <c r="O365" s="25">
        <f t="shared" ca="1" si="16"/>
        <v>0</v>
      </c>
      <c r="P365" s="25">
        <f t="shared" ca="1" si="17"/>
        <v>0</v>
      </c>
    </row>
    <row r="366" spans="12:16" s="23" customFormat="1" ht="13.8">
      <c r="L366" s="33">
        <v>363</v>
      </c>
      <c r="M366" s="23">
        <f ca="1"/>
        <v>1882.1933124631339</v>
      </c>
      <c r="N366" s="25">
        <f t="shared" si="15"/>
        <v>1106.9630000000002</v>
      </c>
      <c r="O366" s="25">
        <f t="shared" ca="1" si="16"/>
        <v>0</v>
      </c>
      <c r="P366" s="25">
        <f t="shared" ca="1" si="17"/>
        <v>0</v>
      </c>
    </row>
    <row r="367" spans="12:16" s="23" customFormat="1" ht="13.8">
      <c r="L367" s="23">
        <v>364</v>
      </c>
      <c r="M367" s="23">
        <f ca="1"/>
        <v>1227.7282581921352</v>
      </c>
      <c r="N367" s="25">
        <f t="shared" si="15"/>
        <v>1106.9630000000002</v>
      </c>
      <c r="O367" s="25">
        <f t="shared" ca="1" si="16"/>
        <v>0</v>
      </c>
      <c r="P367" s="25">
        <f t="shared" ca="1" si="17"/>
        <v>0</v>
      </c>
    </row>
    <row r="368" spans="12:16" s="23" customFormat="1" ht="13.8">
      <c r="L368" s="33">
        <v>365</v>
      </c>
      <c r="M368" s="23">
        <f ca="1"/>
        <v>1828.1822283495553</v>
      </c>
      <c r="N368" s="25">
        <f t="shared" si="15"/>
        <v>1106.9630000000002</v>
      </c>
      <c r="O368" s="25">
        <f t="shared" ca="1" si="16"/>
        <v>0</v>
      </c>
      <c r="P368" s="25">
        <f t="shared" ca="1" si="17"/>
        <v>0</v>
      </c>
    </row>
    <row r="369" spans="12:16" s="23" customFormat="1" ht="13.8">
      <c r="L369" s="23">
        <v>366</v>
      </c>
      <c r="M369" s="23">
        <f ca="1"/>
        <v>1444.2279825790049</v>
      </c>
      <c r="N369" s="25">
        <f t="shared" si="15"/>
        <v>1106.9630000000002</v>
      </c>
      <c r="O369" s="25">
        <f t="shared" ca="1" si="16"/>
        <v>0</v>
      </c>
      <c r="P369" s="25">
        <f t="shared" ca="1" si="17"/>
        <v>0</v>
      </c>
    </row>
    <row r="370" spans="12:16" s="23" customFormat="1" ht="13.8">
      <c r="L370" s="33">
        <v>367</v>
      </c>
      <c r="M370" s="23">
        <f ca="1"/>
        <v>2820.2268421294302</v>
      </c>
      <c r="N370" s="25">
        <f t="shared" si="15"/>
        <v>1106.9630000000002</v>
      </c>
      <c r="O370" s="25">
        <f t="shared" ca="1" si="16"/>
        <v>0</v>
      </c>
      <c r="P370" s="25">
        <f t="shared" ca="1" si="17"/>
        <v>0</v>
      </c>
    </row>
    <row r="371" spans="12:16" s="23" customFormat="1" ht="13.8">
      <c r="L371" s="23">
        <v>368</v>
      </c>
      <c r="M371" s="23">
        <f ca="1"/>
        <v>1459.1693508470541</v>
      </c>
      <c r="N371" s="25">
        <f t="shared" si="15"/>
        <v>1106.9630000000002</v>
      </c>
      <c r="O371" s="25">
        <f t="shared" ca="1" si="16"/>
        <v>0</v>
      </c>
      <c r="P371" s="25">
        <f t="shared" ca="1" si="17"/>
        <v>0</v>
      </c>
    </row>
    <row r="372" spans="12:16" s="23" customFormat="1" ht="13.8">
      <c r="L372" s="33">
        <v>369</v>
      </c>
      <c r="M372" s="23">
        <f ca="1"/>
        <v>1688.3941290665846</v>
      </c>
      <c r="N372" s="25">
        <f t="shared" si="15"/>
        <v>1106.9630000000002</v>
      </c>
      <c r="O372" s="25">
        <f t="shared" ca="1" si="16"/>
        <v>0</v>
      </c>
      <c r="P372" s="25">
        <f t="shared" ca="1" si="17"/>
        <v>0</v>
      </c>
    </row>
    <row r="373" spans="12:16" s="23" customFormat="1" ht="13.8">
      <c r="L373" s="23">
        <v>370</v>
      </c>
      <c r="M373" s="23">
        <f ca="1"/>
        <v>1118.0306828469556</v>
      </c>
      <c r="N373" s="25">
        <f t="shared" si="15"/>
        <v>1106.9630000000002</v>
      </c>
      <c r="O373" s="25">
        <f t="shared" ca="1" si="16"/>
        <v>0</v>
      </c>
      <c r="P373" s="25">
        <f t="shared" ca="1" si="17"/>
        <v>0</v>
      </c>
    </row>
    <row r="374" spans="12:16" s="23" customFormat="1" ht="13.8">
      <c r="L374" s="33">
        <v>371</v>
      </c>
      <c r="M374" s="23">
        <f ca="1"/>
        <v>1478.5191811604502</v>
      </c>
      <c r="N374" s="25">
        <f t="shared" si="15"/>
        <v>1106.9630000000002</v>
      </c>
      <c r="O374" s="25">
        <f t="shared" ca="1" si="16"/>
        <v>0</v>
      </c>
      <c r="P374" s="25">
        <f t="shared" ca="1" si="17"/>
        <v>0</v>
      </c>
    </row>
    <row r="375" spans="12:16" s="23" customFormat="1" ht="13.8">
      <c r="L375" s="23">
        <v>372</v>
      </c>
      <c r="M375" s="23">
        <f ca="1"/>
        <v>1989.5474589100222</v>
      </c>
      <c r="N375" s="25">
        <f t="shared" si="15"/>
        <v>1106.9630000000002</v>
      </c>
      <c r="O375" s="25">
        <f t="shared" ca="1" si="16"/>
        <v>0</v>
      </c>
      <c r="P375" s="25">
        <f t="shared" ca="1" si="17"/>
        <v>0</v>
      </c>
    </row>
    <row r="376" spans="12:16" s="23" customFormat="1" ht="13.8">
      <c r="L376" s="33">
        <v>373</v>
      </c>
      <c r="M376" s="23">
        <f ca="1"/>
        <v>637.49681756091479</v>
      </c>
      <c r="N376" s="25">
        <f t="shared" si="15"/>
        <v>1106.9630000000002</v>
      </c>
      <c r="O376" s="25">
        <f t="shared" ca="1" si="16"/>
        <v>1</v>
      </c>
      <c r="P376" s="25">
        <f t="shared" ca="1" si="17"/>
        <v>0.4241028674301538</v>
      </c>
    </row>
    <row r="377" spans="12:16" s="23" customFormat="1" ht="13.8">
      <c r="L377" s="23">
        <v>374</v>
      </c>
      <c r="M377" s="23">
        <f ca="1"/>
        <v>1322.9940107992247</v>
      </c>
      <c r="N377" s="25">
        <f t="shared" si="15"/>
        <v>1106.9630000000002</v>
      </c>
      <c r="O377" s="25">
        <f t="shared" ca="1" si="16"/>
        <v>0</v>
      </c>
      <c r="P377" s="25">
        <f t="shared" ca="1" si="17"/>
        <v>0</v>
      </c>
    </row>
    <row r="378" spans="12:16" s="23" customFormat="1" ht="13.8">
      <c r="L378" s="33">
        <v>375</v>
      </c>
      <c r="M378" s="23">
        <f ca="1"/>
        <v>664.65650405090366</v>
      </c>
      <c r="N378" s="25">
        <f t="shared" si="15"/>
        <v>1106.9630000000002</v>
      </c>
      <c r="O378" s="25">
        <f t="shared" ca="1" si="16"/>
        <v>1</v>
      </c>
      <c r="P378" s="25">
        <f t="shared" ca="1" si="17"/>
        <v>0.39956755189567894</v>
      </c>
    </row>
    <row r="379" spans="12:16" s="23" customFormat="1" ht="13.8">
      <c r="L379" s="23">
        <v>376</v>
      </c>
      <c r="M379" s="23">
        <f ca="1"/>
        <v>1638.2209821586516</v>
      </c>
      <c r="N379" s="25">
        <f t="shared" si="15"/>
        <v>1106.9630000000002</v>
      </c>
      <c r="O379" s="25">
        <f t="shared" ca="1" si="16"/>
        <v>0</v>
      </c>
      <c r="P379" s="25">
        <f t="shared" ca="1" si="17"/>
        <v>0</v>
      </c>
    </row>
    <row r="380" spans="12:16" s="23" customFormat="1" ht="13.8">
      <c r="L380" s="33">
        <v>377</v>
      </c>
      <c r="M380" s="23">
        <f ca="1"/>
        <v>939.39359838307666</v>
      </c>
      <c r="N380" s="25">
        <f t="shared" si="15"/>
        <v>1106.9630000000002</v>
      </c>
      <c r="O380" s="25">
        <f t="shared" ca="1" si="16"/>
        <v>1</v>
      </c>
      <c r="P380" s="25">
        <f t="shared" ca="1" si="17"/>
        <v>0.15137759944724755</v>
      </c>
    </row>
    <row r="381" spans="12:16" s="23" customFormat="1" ht="13.8">
      <c r="L381" s="23">
        <v>378</v>
      </c>
      <c r="M381" s="23">
        <f ca="1"/>
        <v>2347.3609890741982</v>
      </c>
      <c r="N381" s="25">
        <f t="shared" si="15"/>
        <v>1106.9630000000002</v>
      </c>
      <c r="O381" s="25">
        <f t="shared" ca="1" si="16"/>
        <v>0</v>
      </c>
      <c r="P381" s="25">
        <f t="shared" ca="1" si="17"/>
        <v>0</v>
      </c>
    </row>
    <row r="382" spans="12:16" s="23" customFormat="1" ht="13.8">
      <c r="L382" s="33">
        <v>379</v>
      </c>
      <c r="M382" s="23">
        <f ca="1"/>
        <v>1201.0619479166573</v>
      </c>
      <c r="N382" s="25">
        <f t="shared" si="15"/>
        <v>1106.9630000000002</v>
      </c>
      <c r="O382" s="25">
        <f t="shared" ca="1" si="16"/>
        <v>0</v>
      </c>
      <c r="P382" s="25">
        <f t="shared" ca="1" si="17"/>
        <v>0</v>
      </c>
    </row>
    <row r="383" spans="12:16" s="23" customFormat="1" ht="13.8">
      <c r="L383" s="23">
        <v>380</v>
      </c>
      <c r="M383" s="23">
        <f ca="1"/>
        <v>1725.1108485664904</v>
      </c>
      <c r="N383" s="25">
        <f t="shared" si="15"/>
        <v>1106.9630000000002</v>
      </c>
      <c r="O383" s="25">
        <f t="shared" ca="1" si="16"/>
        <v>0</v>
      </c>
      <c r="P383" s="25">
        <f t="shared" ca="1" si="17"/>
        <v>0</v>
      </c>
    </row>
    <row r="384" spans="12:16" s="23" customFormat="1" ht="13.8">
      <c r="L384" s="33">
        <v>381</v>
      </c>
      <c r="M384" s="23">
        <f ca="1"/>
        <v>1520.4235337906807</v>
      </c>
      <c r="N384" s="25">
        <f t="shared" si="15"/>
        <v>1106.9630000000002</v>
      </c>
      <c r="O384" s="25">
        <f t="shared" ca="1" si="16"/>
        <v>0</v>
      </c>
      <c r="P384" s="25">
        <f t="shared" ca="1" si="17"/>
        <v>0</v>
      </c>
    </row>
    <row r="385" spans="12:16" s="23" customFormat="1" ht="13.8">
      <c r="L385" s="23">
        <v>382</v>
      </c>
      <c r="M385" s="23">
        <f ca="1"/>
        <v>1220.871431690492</v>
      </c>
      <c r="N385" s="25">
        <f t="shared" si="15"/>
        <v>1106.9630000000002</v>
      </c>
      <c r="O385" s="25">
        <f t="shared" ca="1" si="16"/>
        <v>0</v>
      </c>
      <c r="P385" s="25">
        <f t="shared" ca="1" si="17"/>
        <v>0</v>
      </c>
    </row>
    <row r="386" spans="12:16" s="23" customFormat="1" ht="13.8">
      <c r="L386" s="33">
        <v>383</v>
      </c>
      <c r="M386" s="23">
        <f ca="1"/>
        <v>1474.8686185407178</v>
      </c>
      <c r="N386" s="25">
        <f t="shared" si="15"/>
        <v>1106.9630000000002</v>
      </c>
      <c r="O386" s="25">
        <f t="shared" ca="1" si="16"/>
        <v>0</v>
      </c>
      <c r="P386" s="25">
        <f t="shared" ca="1" si="17"/>
        <v>0</v>
      </c>
    </row>
    <row r="387" spans="12:16" s="23" customFormat="1" ht="13.8">
      <c r="L387" s="23">
        <v>384</v>
      </c>
      <c r="M387" s="23">
        <f ca="1"/>
        <v>2444.8856329059654</v>
      </c>
      <c r="N387" s="25">
        <f t="shared" si="15"/>
        <v>1106.9630000000002</v>
      </c>
      <c r="O387" s="25">
        <f t="shared" ca="1" si="16"/>
        <v>0</v>
      </c>
      <c r="P387" s="25">
        <f t="shared" ca="1" si="17"/>
        <v>0</v>
      </c>
    </row>
    <row r="388" spans="12:16" s="23" customFormat="1" ht="13.8">
      <c r="L388" s="33">
        <v>385</v>
      </c>
      <c r="M388" s="23">
        <f ca="1"/>
        <v>1546.7034802458679</v>
      </c>
      <c r="N388" s="25">
        <f t="shared" ref="N388:N451" si="18">($C$21+$E$21)*1.1</f>
        <v>1106.9630000000002</v>
      </c>
      <c r="O388" s="25">
        <f t="shared" ca="1" si="16"/>
        <v>0</v>
      </c>
      <c r="P388" s="25">
        <f t="shared" ca="1" si="17"/>
        <v>0</v>
      </c>
    </row>
    <row r="389" spans="12:16" s="23" customFormat="1" ht="13.8">
      <c r="L389" s="23">
        <v>386</v>
      </c>
      <c r="M389" s="23">
        <f ca="1"/>
        <v>692.6066652178481</v>
      </c>
      <c r="N389" s="25">
        <f t="shared" si="18"/>
        <v>1106.9630000000002</v>
      </c>
      <c r="O389" s="25">
        <f t="shared" ref="O389:O452" ca="1" si="19">IF(M389&lt;N389,1,0)</f>
        <v>1</v>
      </c>
      <c r="P389" s="25">
        <f t="shared" ref="P389:P452" ca="1" si="20">MAX((N389-M389)/N389,0)</f>
        <v>0.37431814322805007</v>
      </c>
    </row>
    <row r="390" spans="12:16" s="23" customFormat="1" ht="13.8">
      <c r="L390" s="33">
        <v>387</v>
      </c>
      <c r="M390" s="23">
        <f ca="1"/>
        <v>1920.7780909502806</v>
      </c>
      <c r="N390" s="25">
        <f t="shared" si="18"/>
        <v>1106.9630000000002</v>
      </c>
      <c r="O390" s="25">
        <f t="shared" ca="1" si="19"/>
        <v>0</v>
      </c>
      <c r="P390" s="25">
        <f t="shared" ca="1" si="20"/>
        <v>0</v>
      </c>
    </row>
    <row r="391" spans="12:16" s="23" customFormat="1" ht="13.8">
      <c r="L391" s="23">
        <v>388</v>
      </c>
      <c r="M391" s="23">
        <f ca="1"/>
        <v>1481.617694758758</v>
      </c>
      <c r="N391" s="25">
        <f t="shared" si="18"/>
        <v>1106.9630000000002</v>
      </c>
      <c r="O391" s="25">
        <f t="shared" ca="1" si="19"/>
        <v>0</v>
      </c>
      <c r="P391" s="25">
        <f t="shared" ca="1" si="20"/>
        <v>0</v>
      </c>
    </row>
    <row r="392" spans="12:16" s="23" customFormat="1" ht="13.8">
      <c r="L392" s="33">
        <v>389</v>
      </c>
      <c r="M392" s="23">
        <f ca="1"/>
        <v>2531.5049741274224</v>
      </c>
      <c r="N392" s="25">
        <f t="shared" si="18"/>
        <v>1106.9630000000002</v>
      </c>
      <c r="O392" s="25">
        <f t="shared" ca="1" si="19"/>
        <v>0</v>
      </c>
      <c r="P392" s="25">
        <f t="shared" ca="1" si="20"/>
        <v>0</v>
      </c>
    </row>
    <row r="393" spans="12:16" s="23" customFormat="1" ht="13.8">
      <c r="L393" s="23">
        <v>390</v>
      </c>
      <c r="M393" s="23">
        <f ca="1"/>
        <v>1139.7205274013036</v>
      </c>
      <c r="N393" s="25">
        <f t="shared" si="18"/>
        <v>1106.9630000000002</v>
      </c>
      <c r="O393" s="25">
        <f t="shared" ca="1" si="19"/>
        <v>0</v>
      </c>
      <c r="P393" s="25">
        <f t="shared" ca="1" si="20"/>
        <v>0</v>
      </c>
    </row>
    <row r="394" spans="12:16" s="23" customFormat="1" ht="13.8">
      <c r="L394" s="33">
        <v>391</v>
      </c>
      <c r="M394" s="23">
        <f ca="1"/>
        <v>2030.5466842273081</v>
      </c>
      <c r="N394" s="25">
        <f t="shared" si="18"/>
        <v>1106.9630000000002</v>
      </c>
      <c r="O394" s="25">
        <f t="shared" ca="1" si="19"/>
        <v>0</v>
      </c>
      <c r="P394" s="25">
        <f t="shared" ca="1" si="20"/>
        <v>0</v>
      </c>
    </row>
    <row r="395" spans="12:16" s="23" customFormat="1" ht="13.8">
      <c r="L395" s="23">
        <v>392</v>
      </c>
      <c r="M395" s="23">
        <f ca="1"/>
        <v>261.99985125091064</v>
      </c>
      <c r="N395" s="25">
        <f t="shared" si="18"/>
        <v>1106.9630000000002</v>
      </c>
      <c r="O395" s="25">
        <f t="shared" ca="1" si="19"/>
        <v>1</v>
      </c>
      <c r="P395" s="25">
        <f t="shared" ca="1" si="20"/>
        <v>0.76331652345118073</v>
      </c>
    </row>
    <row r="396" spans="12:16" s="23" customFormat="1" ht="13.8">
      <c r="L396" s="33">
        <v>393</v>
      </c>
      <c r="M396" s="23">
        <f ca="1"/>
        <v>1693.5034037254491</v>
      </c>
      <c r="N396" s="25">
        <f t="shared" si="18"/>
        <v>1106.9630000000002</v>
      </c>
      <c r="O396" s="25">
        <f t="shared" ca="1" si="19"/>
        <v>0</v>
      </c>
      <c r="P396" s="25">
        <f t="shared" ca="1" si="20"/>
        <v>0</v>
      </c>
    </row>
    <row r="397" spans="12:16" s="23" customFormat="1" ht="13.8">
      <c r="L397" s="23">
        <v>394</v>
      </c>
      <c r="M397" s="23">
        <f ca="1"/>
        <v>1863.5006567032617</v>
      </c>
      <c r="N397" s="25">
        <f t="shared" si="18"/>
        <v>1106.9630000000002</v>
      </c>
      <c r="O397" s="25">
        <f t="shared" ca="1" si="19"/>
        <v>0</v>
      </c>
      <c r="P397" s="25">
        <f t="shared" ca="1" si="20"/>
        <v>0</v>
      </c>
    </row>
    <row r="398" spans="12:16" s="23" customFormat="1" ht="13.8">
      <c r="L398" s="33">
        <v>395</v>
      </c>
      <c r="M398" s="23">
        <f ca="1"/>
        <v>2662.0085032646225</v>
      </c>
      <c r="N398" s="25">
        <f t="shared" si="18"/>
        <v>1106.9630000000002</v>
      </c>
      <c r="O398" s="25">
        <f t="shared" ca="1" si="19"/>
        <v>0</v>
      </c>
      <c r="P398" s="25">
        <f t="shared" ca="1" si="20"/>
        <v>0</v>
      </c>
    </row>
    <row r="399" spans="12:16" s="23" customFormat="1" ht="13.8">
      <c r="L399" s="23">
        <v>396</v>
      </c>
      <c r="M399" s="23">
        <f ca="1"/>
        <v>1750.6094867613745</v>
      </c>
      <c r="N399" s="25">
        <f t="shared" si="18"/>
        <v>1106.9630000000002</v>
      </c>
      <c r="O399" s="25">
        <f t="shared" ca="1" si="19"/>
        <v>0</v>
      </c>
      <c r="P399" s="25">
        <f t="shared" ca="1" si="20"/>
        <v>0</v>
      </c>
    </row>
    <row r="400" spans="12:16" s="23" customFormat="1" ht="13.8">
      <c r="L400" s="33">
        <v>397</v>
      </c>
      <c r="M400" s="23">
        <f ca="1"/>
        <v>1581.7063803937331</v>
      </c>
      <c r="N400" s="25">
        <f t="shared" si="18"/>
        <v>1106.9630000000002</v>
      </c>
      <c r="O400" s="25">
        <f t="shared" ca="1" si="19"/>
        <v>0</v>
      </c>
      <c r="P400" s="25">
        <f t="shared" ca="1" si="20"/>
        <v>0</v>
      </c>
    </row>
    <row r="401" spans="12:16" s="23" customFormat="1" ht="13.8">
      <c r="L401" s="23">
        <v>398</v>
      </c>
      <c r="M401" s="23">
        <f ca="1"/>
        <v>1130.0559817956889</v>
      </c>
      <c r="N401" s="25">
        <f t="shared" si="18"/>
        <v>1106.9630000000002</v>
      </c>
      <c r="O401" s="25">
        <f t="shared" ca="1" si="19"/>
        <v>0</v>
      </c>
      <c r="P401" s="25">
        <f t="shared" ca="1" si="20"/>
        <v>0</v>
      </c>
    </row>
    <row r="402" spans="12:16" s="23" customFormat="1" ht="13.8">
      <c r="L402" s="33">
        <v>399</v>
      </c>
      <c r="M402" s="23">
        <f ca="1"/>
        <v>1054.4073159312647</v>
      </c>
      <c r="N402" s="25">
        <f t="shared" si="18"/>
        <v>1106.9630000000002</v>
      </c>
      <c r="O402" s="25">
        <f t="shared" ca="1" si="19"/>
        <v>1</v>
      </c>
      <c r="P402" s="25">
        <f t="shared" ca="1" si="20"/>
        <v>4.747736290077937E-2</v>
      </c>
    </row>
    <row r="403" spans="12:16" s="23" customFormat="1" ht="13.8">
      <c r="L403" s="23">
        <v>400</v>
      </c>
      <c r="M403" s="23">
        <f ca="1"/>
        <v>1002.1538068817856</v>
      </c>
      <c r="N403" s="25">
        <f t="shared" si="18"/>
        <v>1106.9630000000002</v>
      </c>
      <c r="O403" s="25">
        <f t="shared" ca="1" si="19"/>
        <v>1</v>
      </c>
      <c r="P403" s="25">
        <f t="shared" ca="1" si="20"/>
        <v>9.4681749180609079E-2</v>
      </c>
    </row>
    <row r="404" spans="12:16" s="23" customFormat="1" ht="13.8">
      <c r="L404" s="33">
        <v>401</v>
      </c>
      <c r="M404" s="23">
        <f ca="1"/>
        <v>1190.158970776482</v>
      </c>
      <c r="N404" s="25">
        <f t="shared" si="18"/>
        <v>1106.9630000000002</v>
      </c>
      <c r="O404" s="25">
        <f t="shared" ca="1" si="19"/>
        <v>0</v>
      </c>
      <c r="P404" s="25">
        <f t="shared" ca="1" si="20"/>
        <v>0</v>
      </c>
    </row>
    <row r="405" spans="12:16" s="23" customFormat="1" ht="13.8">
      <c r="L405" s="23">
        <v>402</v>
      </c>
      <c r="M405" s="23">
        <f ca="1"/>
        <v>974.17701149271159</v>
      </c>
      <c r="N405" s="25">
        <f t="shared" si="18"/>
        <v>1106.9630000000002</v>
      </c>
      <c r="O405" s="25">
        <f t="shared" ca="1" si="19"/>
        <v>1</v>
      </c>
      <c r="P405" s="25">
        <f t="shared" ca="1" si="20"/>
        <v>0.11995521847368755</v>
      </c>
    </row>
    <row r="406" spans="12:16" s="23" customFormat="1" ht="13.8">
      <c r="L406" s="33">
        <v>403</v>
      </c>
      <c r="M406" s="23">
        <f ca="1"/>
        <v>1885.7972716999245</v>
      </c>
      <c r="N406" s="25">
        <f t="shared" si="18"/>
        <v>1106.9630000000002</v>
      </c>
      <c r="O406" s="25">
        <f t="shared" ca="1" si="19"/>
        <v>0</v>
      </c>
      <c r="P406" s="25">
        <f t="shared" ca="1" si="20"/>
        <v>0</v>
      </c>
    </row>
    <row r="407" spans="12:16" s="23" customFormat="1" ht="13.8">
      <c r="L407" s="23">
        <v>404</v>
      </c>
      <c r="M407" s="23">
        <f ca="1"/>
        <v>1680.8161021720234</v>
      </c>
      <c r="N407" s="25">
        <f t="shared" si="18"/>
        <v>1106.9630000000002</v>
      </c>
      <c r="O407" s="25">
        <f t="shared" ca="1" si="19"/>
        <v>0</v>
      </c>
      <c r="P407" s="25">
        <f t="shared" ca="1" si="20"/>
        <v>0</v>
      </c>
    </row>
    <row r="408" spans="12:16" s="23" customFormat="1" ht="13.8">
      <c r="L408" s="33">
        <v>405</v>
      </c>
      <c r="M408" s="23">
        <f ca="1"/>
        <v>1937.9649682442109</v>
      </c>
      <c r="N408" s="25">
        <f t="shared" si="18"/>
        <v>1106.9630000000002</v>
      </c>
      <c r="O408" s="25">
        <f t="shared" ca="1" si="19"/>
        <v>0</v>
      </c>
      <c r="P408" s="25">
        <f t="shared" ca="1" si="20"/>
        <v>0</v>
      </c>
    </row>
    <row r="409" spans="12:16" s="23" customFormat="1" ht="13.8">
      <c r="L409" s="23">
        <v>406</v>
      </c>
      <c r="M409" s="23">
        <f ca="1"/>
        <v>1459.8270683610713</v>
      </c>
      <c r="N409" s="25">
        <f t="shared" si="18"/>
        <v>1106.9630000000002</v>
      </c>
      <c r="O409" s="25">
        <f t="shared" ca="1" si="19"/>
        <v>0</v>
      </c>
      <c r="P409" s="25">
        <f t="shared" ca="1" si="20"/>
        <v>0</v>
      </c>
    </row>
    <row r="410" spans="12:16" s="23" customFormat="1" ht="13.8">
      <c r="L410" s="33">
        <v>407</v>
      </c>
      <c r="M410" s="23">
        <f ca="1"/>
        <v>869.46433133680648</v>
      </c>
      <c r="N410" s="25">
        <f t="shared" si="18"/>
        <v>1106.9630000000002</v>
      </c>
      <c r="O410" s="25">
        <f t="shared" ca="1" si="19"/>
        <v>1</v>
      </c>
      <c r="P410" s="25">
        <f t="shared" ca="1" si="20"/>
        <v>0.21454978049238654</v>
      </c>
    </row>
    <row r="411" spans="12:16" s="23" customFormat="1" ht="13.8">
      <c r="L411" s="23">
        <v>408</v>
      </c>
      <c r="M411" s="23">
        <f ca="1"/>
        <v>2292.0299259101525</v>
      </c>
      <c r="N411" s="25">
        <f t="shared" si="18"/>
        <v>1106.9630000000002</v>
      </c>
      <c r="O411" s="25">
        <f t="shared" ca="1" si="19"/>
        <v>0</v>
      </c>
      <c r="P411" s="25">
        <f t="shared" ca="1" si="20"/>
        <v>0</v>
      </c>
    </row>
    <row r="412" spans="12:16" s="23" customFormat="1" ht="13.8">
      <c r="L412" s="33">
        <v>409</v>
      </c>
      <c r="M412" s="23">
        <f ca="1"/>
        <v>1229.0107368869174</v>
      </c>
      <c r="N412" s="25">
        <f t="shared" si="18"/>
        <v>1106.9630000000002</v>
      </c>
      <c r="O412" s="25">
        <f t="shared" ca="1" si="19"/>
        <v>0</v>
      </c>
      <c r="P412" s="25">
        <f t="shared" ca="1" si="20"/>
        <v>0</v>
      </c>
    </row>
    <row r="413" spans="12:16" s="23" customFormat="1" ht="13.8">
      <c r="L413" s="23">
        <v>410</v>
      </c>
      <c r="M413" s="23">
        <f ca="1"/>
        <v>1255.0331354437899</v>
      </c>
      <c r="N413" s="25">
        <f t="shared" si="18"/>
        <v>1106.9630000000002</v>
      </c>
      <c r="O413" s="25">
        <f t="shared" ca="1" si="19"/>
        <v>0</v>
      </c>
      <c r="P413" s="25">
        <f t="shared" ca="1" si="20"/>
        <v>0</v>
      </c>
    </row>
    <row r="414" spans="12:16" s="23" customFormat="1" ht="13.8">
      <c r="L414" s="33">
        <v>411</v>
      </c>
      <c r="M414" s="23">
        <f ca="1"/>
        <v>1502.2438889528817</v>
      </c>
      <c r="N414" s="25">
        <f t="shared" si="18"/>
        <v>1106.9630000000002</v>
      </c>
      <c r="O414" s="25">
        <f t="shared" ca="1" si="19"/>
        <v>0</v>
      </c>
      <c r="P414" s="25">
        <f t="shared" ca="1" si="20"/>
        <v>0</v>
      </c>
    </row>
    <row r="415" spans="12:16" s="23" customFormat="1" ht="13.8">
      <c r="L415" s="23">
        <v>412</v>
      </c>
      <c r="M415" s="23">
        <f ca="1"/>
        <v>1598.6419109643446</v>
      </c>
      <c r="N415" s="25">
        <f t="shared" si="18"/>
        <v>1106.9630000000002</v>
      </c>
      <c r="O415" s="25">
        <f t="shared" ca="1" si="19"/>
        <v>0</v>
      </c>
      <c r="P415" s="25">
        <f t="shared" ca="1" si="20"/>
        <v>0</v>
      </c>
    </row>
    <row r="416" spans="12:16" s="23" customFormat="1" ht="13.8">
      <c r="L416" s="33">
        <v>413</v>
      </c>
      <c r="M416" s="23">
        <f ca="1"/>
        <v>1221.9201706213069</v>
      </c>
      <c r="N416" s="25">
        <f t="shared" si="18"/>
        <v>1106.9630000000002</v>
      </c>
      <c r="O416" s="25">
        <f t="shared" ca="1" si="19"/>
        <v>0</v>
      </c>
      <c r="P416" s="25">
        <f t="shared" ca="1" si="20"/>
        <v>0</v>
      </c>
    </row>
    <row r="417" spans="12:16" s="23" customFormat="1" ht="13.8">
      <c r="L417" s="23">
        <v>414</v>
      </c>
      <c r="M417" s="23">
        <f ca="1"/>
        <v>1175.2293809050807</v>
      </c>
      <c r="N417" s="25">
        <f t="shared" si="18"/>
        <v>1106.9630000000002</v>
      </c>
      <c r="O417" s="25">
        <f t="shared" ca="1" si="19"/>
        <v>0</v>
      </c>
      <c r="P417" s="25">
        <f t="shared" ca="1" si="20"/>
        <v>0</v>
      </c>
    </row>
    <row r="418" spans="12:16" s="23" customFormat="1" ht="13.8">
      <c r="L418" s="33">
        <v>415</v>
      </c>
      <c r="M418" s="23">
        <f ca="1"/>
        <v>834.28095742357641</v>
      </c>
      <c r="N418" s="25">
        <f t="shared" si="18"/>
        <v>1106.9630000000002</v>
      </c>
      <c r="O418" s="25">
        <f t="shared" ca="1" si="19"/>
        <v>1</v>
      </c>
      <c r="P418" s="25">
        <f t="shared" ca="1" si="20"/>
        <v>0.24633347508130238</v>
      </c>
    </row>
    <row r="419" spans="12:16" s="23" customFormat="1" ht="13.8">
      <c r="L419" s="23">
        <v>416</v>
      </c>
      <c r="M419" s="23">
        <f ca="1"/>
        <v>925.23837614339379</v>
      </c>
      <c r="N419" s="25">
        <f t="shared" si="18"/>
        <v>1106.9630000000002</v>
      </c>
      <c r="O419" s="25">
        <f t="shared" ca="1" si="19"/>
        <v>1</v>
      </c>
      <c r="P419" s="25">
        <f t="shared" ca="1" si="20"/>
        <v>0.16416503881033637</v>
      </c>
    </row>
    <row r="420" spans="12:16" s="23" customFormat="1" ht="13.8">
      <c r="L420" s="33">
        <v>417</v>
      </c>
      <c r="M420" s="23">
        <f ca="1"/>
        <v>1440.7981252870118</v>
      </c>
      <c r="N420" s="25">
        <f t="shared" si="18"/>
        <v>1106.9630000000002</v>
      </c>
      <c r="O420" s="25">
        <f t="shared" ca="1" si="19"/>
        <v>0</v>
      </c>
      <c r="P420" s="25">
        <f t="shared" ca="1" si="20"/>
        <v>0</v>
      </c>
    </row>
    <row r="421" spans="12:16" s="23" customFormat="1" ht="13.8">
      <c r="L421" s="23">
        <v>418</v>
      </c>
      <c r="M421" s="23">
        <f ca="1"/>
        <v>1629.8667963131375</v>
      </c>
      <c r="N421" s="25">
        <f t="shared" si="18"/>
        <v>1106.9630000000002</v>
      </c>
      <c r="O421" s="25">
        <f t="shared" ca="1" si="19"/>
        <v>0</v>
      </c>
      <c r="P421" s="25">
        <f t="shared" ca="1" si="20"/>
        <v>0</v>
      </c>
    </row>
    <row r="422" spans="12:16" s="23" customFormat="1" ht="13.8">
      <c r="L422" s="33">
        <v>419</v>
      </c>
      <c r="M422" s="23">
        <f ca="1"/>
        <v>1872.4900216026645</v>
      </c>
      <c r="N422" s="25">
        <f t="shared" si="18"/>
        <v>1106.9630000000002</v>
      </c>
      <c r="O422" s="25">
        <f t="shared" ca="1" si="19"/>
        <v>0</v>
      </c>
      <c r="P422" s="25">
        <f t="shared" ca="1" si="20"/>
        <v>0</v>
      </c>
    </row>
    <row r="423" spans="12:16" s="23" customFormat="1" ht="13.8">
      <c r="L423" s="23">
        <v>420</v>
      </c>
      <c r="M423" s="23">
        <f ca="1"/>
        <v>1549.5601205809965</v>
      </c>
      <c r="N423" s="25">
        <f t="shared" si="18"/>
        <v>1106.9630000000002</v>
      </c>
      <c r="O423" s="25">
        <f t="shared" ca="1" si="19"/>
        <v>0</v>
      </c>
      <c r="P423" s="25">
        <f t="shared" ca="1" si="20"/>
        <v>0</v>
      </c>
    </row>
    <row r="424" spans="12:16" s="23" customFormat="1" ht="13.8">
      <c r="L424" s="33">
        <v>421</v>
      </c>
      <c r="M424" s="23">
        <f ca="1"/>
        <v>898.03890335476206</v>
      </c>
      <c r="N424" s="25">
        <f t="shared" si="18"/>
        <v>1106.9630000000002</v>
      </c>
      <c r="O424" s="25">
        <f t="shared" ca="1" si="19"/>
        <v>1</v>
      </c>
      <c r="P424" s="25">
        <f t="shared" ca="1" si="20"/>
        <v>0.18873629619530022</v>
      </c>
    </row>
    <row r="425" spans="12:16" s="23" customFormat="1" ht="13.8">
      <c r="L425" s="23">
        <v>422</v>
      </c>
      <c r="M425" s="23">
        <f ca="1"/>
        <v>1784.8996850453702</v>
      </c>
      <c r="N425" s="25">
        <f t="shared" si="18"/>
        <v>1106.9630000000002</v>
      </c>
      <c r="O425" s="25">
        <f t="shared" ca="1" si="19"/>
        <v>0</v>
      </c>
      <c r="P425" s="25">
        <f t="shared" ca="1" si="20"/>
        <v>0</v>
      </c>
    </row>
    <row r="426" spans="12:16" s="23" customFormat="1" ht="13.8">
      <c r="L426" s="33">
        <v>423</v>
      </c>
      <c r="M426" s="23">
        <f ca="1"/>
        <v>1310.7889871978243</v>
      </c>
      <c r="N426" s="25">
        <f t="shared" si="18"/>
        <v>1106.9630000000002</v>
      </c>
      <c r="O426" s="25">
        <f t="shared" ca="1" si="19"/>
        <v>0</v>
      </c>
      <c r="P426" s="25">
        <f t="shared" ca="1" si="20"/>
        <v>0</v>
      </c>
    </row>
    <row r="427" spans="12:16" s="23" customFormat="1" ht="13.8">
      <c r="L427" s="23">
        <v>424</v>
      </c>
      <c r="M427" s="23">
        <f ca="1"/>
        <v>1495.55650777498</v>
      </c>
      <c r="N427" s="25">
        <f t="shared" si="18"/>
        <v>1106.9630000000002</v>
      </c>
      <c r="O427" s="25">
        <f t="shared" ca="1" si="19"/>
        <v>0</v>
      </c>
      <c r="P427" s="25">
        <f t="shared" ca="1" si="20"/>
        <v>0</v>
      </c>
    </row>
    <row r="428" spans="12:16" s="23" customFormat="1" ht="13.8">
      <c r="L428" s="33">
        <v>425</v>
      </c>
      <c r="M428" s="23">
        <f ca="1"/>
        <v>2042.306877377076</v>
      </c>
      <c r="N428" s="25">
        <f t="shared" si="18"/>
        <v>1106.9630000000002</v>
      </c>
      <c r="O428" s="25">
        <f t="shared" ca="1" si="19"/>
        <v>0</v>
      </c>
      <c r="P428" s="25">
        <f t="shared" ca="1" si="20"/>
        <v>0</v>
      </c>
    </row>
    <row r="429" spans="12:16" s="23" customFormat="1" ht="13.8">
      <c r="L429" s="23">
        <v>426</v>
      </c>
      <c r="M429" s="23">
        <f ca="1"/>
        <v>2269.6387093044996</v>
      </c>
      <c r="N429" s="25">
        <f t="shared" si="18"/>
        <v>1106.9630000000002</v>
      </c>
      <c r="O429" s="25">
        <f t="shared" ca="1" si="19"/>
        <v>0</v>
      </c>
      <c r="P429" s="25">
        <f t="shared" ca="1" si="20"/>
        <v>0</v>
      </c>
    </row>
    <row r="430" spans="12:16" s="23" customFormat="1" ht="13.8">
      <c r="L430" s="33">
        <v>427</v>
      </c>
      <c r="M430" s="23">
        <f ca="1"/>
        <v>831.76916082950527</v>
      </c>
      <c r="N430" s="25">
        <f t="shared" si="18"/>
        <v>1106.9630000000002</v>
      </c>
      <c r="O430" s="25">
        <f t="shared" ca="1" si="19"/>
        <v>1</v>
      </c>
      <c r="P430" s="25">
        <f t="shared" ca="1" si="20"/>
        <v>0.24860256320264984</v>
      </c>
    </row>
    <row r="431" spans="12:16" s="23" customFormat="1" ht="13.8">
      <c r="L431" s="23">
        <v>428</v>
      </c>
      <c r="M431" s="23">
        <f ca="1"/>
        <v>1058.2970385703163</v>
      </c>
      <c r="N431" s="25">
        <f t="shared" si="18"/>
        <v>1106.9630000000002</v>
      </c>
      <c r="O431" s="25">
        <f t="shared" ca="1" si="19"/>
        <v>1</v>
      </c>
      <c r="P431" s="25">
        <f t="shared" ca="1" si="20"/>
        <v>4.3963494199610889E-2</v>
      </c>
    </row>
    <row r="432" spans="12:16" s="23" customFormat="1" ht="13.8">
      <c r="L432" s="33">
        <v>429</v>
      </c>
      <c r="M432" s="23">
        <f ca="1"/>
        <v>1950.1566308286622</v>
      </c>
      <c r="N432" s="25">
        <f t="shared" si="18"/>
        <v>1106.9630000000002</v>
      </c>
      <c r="O432" s="25">
        <f t="shared" ca="1" si="19"/>
        <v>0</v>
      </c>
      <c r="P432" s="25">
        <f t="shared" ca="1" si="20"/>
        <v>0</v>
      </c>
    </row>
    <row r="433" spans="12:16" s="23" customFormat="1" ht="13.8">
      <c r="L433" s="23">
        <v>430</v>
      </c>
      <c r="M433" s="23">
        <f ca="1"/>
        <v>856.18572812903972</v>
      </c>
      <c r="N433" s="25">
        <f t="shared" si="18"/>
        <v>1106.9630000000002</v>
      </c>
      <c r="O433" s="25">
        <f t="shared" ca="1" si="19"/>
        <v>1</v>
      </c>
      <c r="P433" s="25">
        <f t="shared" ca="1" si="20"/>
        <v>0.22654530627578376</v>
      </c>
    </row>
    <row r="434" spans="12:16" s="23" customFormat="1" ht="13.8">
      <c r="L434" s="33">
        <v>431</v>
      </c>
      <c r="M434" s="23">
        <f ca="1"/>
        <v>2134.3698381394097</v>
      </c>
      <c r="N434" s="25">
        <f t="shared" si="18"/>
        <v>1106.9630000000002</v>
      </c>
      <c r="O434" s="25">
        <f t="shared" ca="1" si="19"/>
        <v>0</v>
      </c>
      <c r="P434" s="25">
        <f t="shared" ca="1" si="20"/>
        <v>0</v>
      </c>
    </row>
    <row r="435" spans="12:16" s="23" customFormat="1" ht="13.8">
      <c r="L435" s="23">
        <v>432</v>
      </c>
      <c r="M435" s="23">
        <f ca="1"/>
        <v>2888.0684836298424</v>
      </c>
      <c r="N435" s="25">
        <f t="shared" si="18"/>
        <v>1106.9630000000002</v>
      </c>
      <c r="O435" s="25">
        <f t="shared" ca="1" si="19"/>
        <v>0</v>
      </c>
      <c r="P435" s="25">
        <f t="shared" ca="1" si="20"/>
        <v>0</v>
      </c>
    </row>
    <row r="436" spans="12:16" s="23" customFormat="1" ht="13.8">
      <c r="L436" s="33">
        <v>433</v>
      </c>
      <c r="M436" s="23">
        <f ca="1"/>
        <v>1763.7108218308563</v>
      </c>
      <c r="N436" s="25">
        <f t="shared" si="18"/>
        <v>1106.9630000000002</v>
      </c>
      <c r="O436" s="25">
        <f t="shared" ca="1" si="19"/>
        <v>0</v>
      </c>
      <c r="P436" s="25">
        <f t="shared" ca="1" si="20"/>
        <v>0</v>
      </c>
    </row>
    <row r="437" spans="12:16" s="23" customFormat="1" ht="13.8">
      <c r="L437" s="23">
        <v>434</v>
      </c>
      <c r="M437" s="23">
        <f ca="1"/>
        <v>513.36169833725955</v>
      </c>
      <c r="N437" s="25">
        <f t="shared" si="18"/>
        <v>1106.9630000000002</v>
      </c>
      <c r="O437" s="25">
        <f t="shared" ca="1" si="19"/>
        <v>1</v>
      </c>
      <c r="P437" s="25">
        <f t="shared" ca="1" si="20"/>
        <v>0.5362431279661023</v>
      </c>
    </row>
    <row r="438" spans="12:16" s="23" customFormat="1" ht="13.8">
      <c r="L438" s="33">
        <v>435</v>
      </c>
      <c r="M438" s="23">
        <f ca="1"/>
        <v>569.8193641478789</v>
      </c>
      <c r="N438" s="25">
        <f t="shared" si="18"/>
        <v>1106.9630000000002</v>
      </c>
      <c r="O438" s="25">
        <f t="shared" ca="1" si="19"/>
        <v>1</v>
      </c>
      <c r="P438" s="25">
        <f t="shared" ca="1" si="20"/>
        <v>0.48524082182703593</v>
      </c>
    </row>
    <row r="439" spans="12:16" s="23" customFormat="1" ht="13.8">
      <c r="L439" s="23">
        <v>436</v>
      </c>
      <c r="M439" s="23">
        <f ca="1"/>
        <v>1762.9082588384535</v>
      </c>
      <c r="N439" s="25">
        <f t="shared" si="18"/>
        <v>1106.9630000000002</v>
      </c>
      <c r="O439" s="25">
        <f t="shared" ca="1" si="19"/>
        <v>0</v>
      </c>
      <c r="P439" s="25">
        <f t="shared" ca="1" si="20"/>
        <v>0</v>
      </c>
    </row>
    <row r="440" spans="12:16" s="23" customFormat="1" ht="13.8">
      <c r="L440" s="33">
        <v>437</v>
      </c>
      <c r="M440" s="23">
        <f ca="1"/>
        <v>1724.8406908892773</v>
      </c>
      <c r="N440" s="25">
        <f t="shared" si="18"/>
        <v>1106.9630000000002</v>
      </c>
      <c r="O440" s="25">
        <f t="shared" ca="1" si="19"/>
        <v>0</v>
      </c>
      <c r="P440" s="25">
        <f t="shared" ca="1" si="20"/>
        <v>0</v>
      </c>
    </row>
    <row r="441" spans="12:16" s="23" customFormat="1" ht="13.8">
      <c r="L441" s="23">
        <v>438</v>
      </c>
      <c r="M441" s="23">
        <f ca="1"/>
        <v>1657.4874036919848</v>
      </c>
      <c r="N441" s="25">
        <f t="shared" si="18"/>
        <v>1106.9630000000002</v>
      </c>
      <c r="O441" s="25">
        <f t="shared" ca="1" si="19"/>
        <v>0</v>
      </c>
      <c r="P441" s="25">
        <f t="shared" ca="1" si="20"/>
        <v>0</v>
      </c>
    </row>
    <row r="442" spans="12:16" s="23" customFormat="1" ht="13.8">
      <c r="L442" s="33">
        <v>439</v>
      </c>
      <c r="M442" s="23">
        <f ca="1"/>
        <v>1030.2779438071652</v>
      </c>
      <c r="N442" s="25">
        <f t="shared" si="18"/>
        <v>1106.9630000000002</v>
      </c>
      <c r="O442" s="25">
        <f t="shared" ca="1" si="19"/>
        <v>1</v>
      </c>
      <c r="P442" s="25">
        <f t="shared" ca="1" si="20"/>
        <v>6.9275175586568788E-2</v>
      </c>
    </row>
    <row r="443" spans="12:16" s="23" customFormat="1" ht="13.8">
      <c r="L443" s="23">
        <v>440</v>
      </c>
      <c r="M443" s="23">
        <f ca="1"/>
        <v>1789.8439178831147</v>
      </c>
      <c r="N443" s="25">
        <f t="shared" si="18"/>
        <v>1106.9630000000002</v>
      </c>
      <c r="O443" s="25">
        <f t="shared" ca="1" si="19"/>
        <v>0</v>
      </c>
      <c r="P443" s="25">
        <f t="shared" ca="1" si="20"/>
        <v>0</v>
      </c>
    </row>
    <row r="444" spans="12:16" s="23" customFormat="1" ht="13.8">
      <c r="L444" s="33">
        <v>441</v>
      </c>
      <c r="M444" s="23">
        <f ca="1"/>
        <v>2305.1818046154194</v>
      </c>
      <c r="N444" s="25">
        <f t="shared" si="18"/>
        <v>1106.9630000000002</v>
      </c>
      <c r="O444" s="25">
        <f t="shared" ca="1" si="19"/>
        <v>0</v>
      </c>
      <c r="P444" s="25">
        <f t="shared" ca="1" si="20"/>
        <v>0</v>
      </c>
    </row>
    <row r="445" spans="12:16" s="23" customFormat="1" ht="13.8">
      <c r="L445" s="23">
        <v>442</v>
      </c>
      <c r="M445" s="23">
        <f ca="1"/>
        <v>1493.1714901192538</v>
      </c>
      <c r="N445" s="25">
        <f t="shared" si="18"/>
        <v>1106.9630000000002</v>
      </c>
      <c r="O445" s="25">
        <f t="shared" ca="1" si="19"/>
        <v>0</v>
      </c>
      <c r="P445" s="25">
        <f t="shared" ca="1" si="20"/>
        <v>0</v>
      </c>
    </row>
    <row r="446" spans="12:16" s="23" customFormat="1" ht="13.8">
      <c r="L446" s="33">
        <v>443</v>
      </c>
      <c r="M446" s="23">
        <f ca="1"/>
        <v>2716.8193194706478</v>
      </c>
      <c r="N446" s="25">
        <f t="shared" si="18"/>
        <v>1106.9630000000002</v>
      </c>
      <c r="O446" s="25">
        <f t="shared" ca="1" si="19"/>
        <v>0</v>
      </c>
      <c r="P446" s="25">
        <f t="shared" ca="1" si="20"/>
        <v>0</v>
      </c>
    </row>
    <row r="447" spans="12:16" s="23" customFormat="1" ht="13.8">
      <c r="L447" s="23">
        <v>444</v>
      </c>
      <c r="M447" s="23">
        <f ca="1"/>
        <v>1089.3982779038865</v>
      </c>
      <c r="N447" s="25">
        <f t="shared" si="18"/>
        <v>1106.9630000000002</v>
      </c>
      <c r="O447" s="25">
        <f t="shared" ca="1" si="19"/>
        <v>1</v>
      </c>
      <c r="P447" s="25">
        <f t="shared" ca="1" si="20"/>
        <v>1.5867487979375691E-2</v>
      </c>
    </row>
    <row r="448" spans="12:16" s="23" customFormat="1" ht="13.8">
      <c r="L448" s="33">
        <v>445</v>
      </c>
      <c r="M448" s="23">
        <f ca="1"/>
        <v>2257.155561898101</v>
      </c>
      <c r="N448" s="25">
        <f t="shared" si="18"/>
        <v>1106.9630000000002</v>
      </c>
      <c r="O448" s="25">
        <f t="shared" ca="1" si="19"/>
        <v>0</v>
      </c>
      <c r="P448" s="25">
        <f t="shared" ca="1" si="20"/>
        <v>0</v>
      </c>
    </row>
    <row r="449" spans="12:16" s="23" customFormat="1" ht="13.8">
      <c r="L449" s="23">
        <v>446</v>
      </c>
      <c r="M449" s="23">
        <f ca="1"/>
        <v>1335.6610528699487</v>
      </c>
      <c r="N449" s="25">
        <f t="shared" si="18"/>
        <v>1106.9630000000002</v>
      </c>
      <c r="O449" s="25">
        <f t="shared" ca="1" si="19"/>
        <v>0</v>
      </c>
      <c r="P449" s="25">
        <f t="shared" ca="1" si="20"/>
        <v>0</v>
      </c>
    </row>
    <row r="450" spans="12:16" s="23" customFormat="1" ht="13.8">
      <c r="L450" s="33">
        <v>447</v>
      </c>
      <c r="M450" s="23">
        <f ca="1"/>
        <v>1249.1990758801292</v>
      </c>
      <c r="N450" s="25">
        <f t="shared" si="18"/>
        <v>1106.9630000000002</v>
      </c>
      <c r="O450" s="25">
        <f t="shared" ca="1" si="19"/>
        <v>0</v>
      </c>
      <c r="P450" s="25">
        <f t="shared" ca="1" si="20"/>
        <v>0</v>
      </c>
    </row>
    <row r="451" spans="12:16" s="23" customFormat="1" ht="13.8">
      <c r="L451" s="23">
        <v>448</v>
      </c>
      <c r="M451" s="23">
        <f ca="1"/>
        <v>1673.7472836624254</v>
      </c>
      <c r="N451" s="25">
        <f t="shared" si="18"/>
        <v>1106.9630000000002</v>
      </c>
      <c r="O451" s="25">
        <f t="shared" ca="1" si="19"/>
        <v>0</v>
      </c>
      <c r="P451" s="25">
        <f t="shared" ca="1" si="20"/>
        <v>0</v>
      </c>
    </row>
    <row r="452" spans="12:16" s="23" customFormat="1" ht="13.8">
      <c r="L452" s="33">
        <v>449</v>
      </c>
      <c r="M452" s="23">
        <f ca="1"/>
        <v>956.20815446047527</v>
      </c>
      <c r="N452" s="25">
        <f t="shared" ref="N452:N515" si="21">($C$21+$E$21)*1.1</f>
        <v>1106.9630000000002</v>
      </c>
      <c r="O452" s="25">
        <f t="shared" ca="1" si="19"/>
        <v>1</v>
      </c>
      <c r="P452" s="25">
        <f t="shared" ca="1" si="20"/>
        <v>0.13618779086520949</v>
      </c>
    </row>
    <row r="453" spans="12:16" s="23" customFormat="1" ht="13.8">
      <c r="L453" s="23">
        <v>450</v>
      </c>
      <c r="M453" s="23">
        <f ca="1"/>
        <v>1885.6944323407438</v>
      </c>
      <c r="N453" s="25">
        <f t="shared" si="21"/>
        <v>1106.9630000000002</v>
      </c>
      <c r="O453" s="25">
        <f t="shared" ref="O453:O516" ca="1" si="22">IF(M453&lt;N453,1,0)</f>
        <v>0</v>
      </c>
      <c r="P453" s="25">
        <f t="shared" ref="P453:P516" ca="1" si="23">MAX((N453-M453)/N453,0)</f>
        <v>0</v>
      </c>
    </row>
    <row r="454" spans="12:16" s="23" customFormat="1" ht="13.8">
      <c r="L454" s="33">
        <v>451</v>
      </c>
      <c r="M454" s="23">
        <f ca="1"/>
        <v>877.40146534456903</v>
      </c>
      <c r="N454" s="25">
        <f t="shared" si="21"/>
        <v>1106.9630000000002</v>
      </c>
      <c r="O454" s="25">
        <f t="shared" ca="1" si="22"/>
        <v>1</v>
      </c>
      <c r="P454" s="25">
        <f t="shared" ca="1" si="23"/>
        <v>0.2073795914185308</v>
      </c>
    </row>
    <row r="455" spans="12:16" s="23" customFormat="1" ht="13.8">
      <c r="L455" s="23">
        <v>452</v>
      </c>
      <c r="M455" s="23">
        <f ca="1"/>
        <v>2096.1837364801572</v>
      </c>
      <c r="N455" s="25">
        <f t="shared" si="21"/>
        <v>1106.9630000000002</v>
      </c>
      <c r="O455" s="25">
        <f t="shared" ca="1" si="22"/>
        <v>0</v>
      </c>
      <c r="P455" s="25">
        <f t="shared" ca="1" si="23"/>
        <v>0</v>
      </c>
    </row>
    <row r="456" spans="12:16" s="23" customFormat="1" ht="13.8">
      <c r="L456" s="33">
        <v>453</v>
      </c>
      <c r="M456" s="23">
        <f ca="1"/>
        <v>1836.9301257711943</v>
      </c>
      <c r="N456" s="25">
        <f t="shared" si="21"/>
        <v>1106.9630000000002</v>
      </c>
      <c r="O456" s="25">
        <f t="shared" ca="1" si="22"/>
        <v>0</v>
      </c>
      <c r="P456" s="25">
        <f t="shared" ca="1" si="23"/>
        <v>0</v>
      </c>
    </row>
    <row r="457" spans="12:16" s="23" customFormat="1" ht="13.8">
      <c r="L457" s="23">
        <v>454</v>
      </c>
      <c r="M457" s="23">
        <f ca="1"/>
        <v>1180.4642973160287</v>
      </c>
      <c r="N457" s="25">
        <f t="shared" si="21"/>
        <v>1106.9630000000002</v>
      </c>
      <c r="O457" s="25">
        <f t="shared" ca="1" si="22"/>
        <v>0</v>
      </c>
      <c r="P457" s="25">
        <f t="shared" ca="1" si="23"/>
        <v>0</v>
      </c>
    </row>
    <row r="458" spans="12:16" s="23" customFormat="1" ht="13.8">
      <c r="L458" s="33">
        <v>455</v>
      </c>
      <c r="M458" s="23">
        <f ca="1"/>
        <v>1122.9542254279361</v>
      </c>
      <c r="N458" s="25">
        <f t="shared" si="21"/>
        <v>1106.9630000000002</v>
      </c>
      <c r="O458" s="25">
        <f t="shared" ca="1" si="22"/>
        <v>0</v>
      </c>
      <c r="P458" s="25">
        <f t="shared" ca="1" si="23"/>
        <v>0</v>
      </c>
    </row>
    <row r="459" spans="12:16" s="23" customFormat="1" ht="13.8">
      <c r="L459" s="23">
        <v>456</v>
      </c>
      <c r="M459" s="23">
        <f ca="1"/>
        <v>1784.8898465145526</v>
      </c>
      <c r="N459" s="25">
        <f t="shared" si="21"/>
        <v>1106.9630000000002</v>
      </c>
      <c r="O459" s="25">
        <f t="shared" ca="1" si="22"/>
        <v>0</v>
      </c>
      <c r="P459" s="25">
        <f t="shared" ca="1" si="23"/>
        <v>0</v>
      </c>
    </row>
    <row r="460" spans="12:16" s="23" customFormat="1" ht="13.8">
      <c r="L460" s="33">
        <v>457</v>
      </c>
      <c r="M460" s="23">
        <f ca="1"/>
        <v>814.26866238859247</v>
      </c>
      <c r="N460" s="25">
        <f t="shared" si="21"/>
        <v>1106.9630000000002</v>
      </c>
      <c r="O460" s="25">
        <f t="shared" ca="1" si="22"/>
        <v>1</v>
      </c>
      <c r="P460" s="25">
        <f t="shared" ca="1" si="23"/>
        <v>0.26441203329416402</v>
      </c>
    </row>
    <row r="461" spans="12:16" s="23" customFormat="1" ht="13.8">
      <c r="L461" s="23">
        <v>458</v>
      </c>
      <c r="M461" s="23">
        <f ca="1"/>
        <v>1626.489840205651</v>
      </c>
      <c r="N461" s="25">
        <f t="shared" si="21"/>
        <v>1106.9630000000002</v>
      </c>
      <c r="O461" s="25">
        <f t="shared" ca="1" si="22"/>
        <v>0</v>
      </c>
      <c r="P461" s="25">
        <f t="shared" ca="1" si="23"/>
        <v>0</v>
      </c>
    </row>
    <row r="462" spans="12:16" s="23" customFormat="1" ht="13.8">
      <c r="L462" s="33">
        <v>459</v>
      </c>
      <c r="M462" s="23">
        <f ca="1"/>
        <v>2505.629431630362</v>
      </c>
      <c r="N462" s="25">
        <f t="shared" si="21"/>
        <v>1106.9630000000002</v>
      </c>
      <c r="O462" s="25">
        <f t="shared" ca="1" si="22"/>
        <v>0</v>
      </c>
      <c r="P462" s="25">
        <f t="shared" ca="1" si="23"/>
        <v>0</v>
      </c>
    </row>
    <row r="463" spans="12:16" s="23" customFormat="1" ht="13.8">
      <c r="L463" s="23">
        <v>460</v>
      </c>
      <c r="M463" s="23">
        <f ca="1"/>
        <v>1188.6471549209373</v>
      </c>
      <c r="N463" s="25">
        <f t="shared" si="21"/>
        <v>1106.9630000000002</v>
      </c>
      <c r="O463" s="25">
        <f t="shared" ca="1" si="22"/>
        <v>0</v>
      </c>
      <c r="P463" s="25">
        <f t="shared" ca="1" si="23"/>
        <v>0</v>
      </c>
    </row>
    <row r="464" spans="12:16" s="23" customFormat="1" ht="13.8">
      <c r="L464" s="33">
        <v>461</v>
      </c>
      <c r="M464" s="23">
        <f ca="1"/>
        <v>1461.1041603251256</v>
      </c>
      <c r="N464" s="25">
        <f t="shared" si="21"/>
        <v>1106.9630000000002</v>
      </c>
      <c r="O464" s="25">
        <f t="shared" ca="1" si="22"/>
        <v>0</v>
      </c>
      <c r="P464" s="25">
        <f t="shared" ca="1" si="23"/>
        <v>0</v>
      </c>
    </row>
    <row r="465" spans="12:16" s="23" customFormat="1" ht="13.8">
      <c r="L465" s="23">
        <v>462</v>
      </c>
      <c r="M465" s="23">
        <f ca="1"/>
        <v>1623.2789587461587</v>
      </c>
      <c r="N465" s="25">
        <f t="shared" si="21"/>
        <v>1106.9630000000002</v>
      </c>
      <c r="O465" s="25">
        <f t="shared" ca="1" si="22"/>
        <v>0</v>
      </c>
      <c r="P465" s="25">
        <f t="shared" ca="1" si="23"/>
        <v>0</v>
      </c>
    </row>
    <row r="466" spans="12:16" s="23" customFormat="1" ht="13.8">
      <c r="L466" s="33">
        <v>463</v>
      </c>
      <c r="M466" s="23">
        <f ca="1"/>
        <v>932.39094411290898</v>
      </c>
      <c r="N466" s="25">
        <f t="shared" si="21"/>
        <v>1106.9630000000002</v>
      </c>
      <c r="O466" s="25">
        <f t="shared" ca="1" si="22"/>
        <v>1</v>
      </c>
      <c r="P466" s="25">
        <f t="shared" ca="1" si="23"/>
        <v>0.15770360516755408</v>
      </c>
    </row>
    <row r="467" spans="12:16" s="23" customFormat="1" ht="13.8">
      <c r="L467" s="23">
        <v>464</v>
      </c>
      <c r="M467" s="23">
        <f ca="1"/>
        <v>2202.7271418820224</v>
      </c>
      <c r="N467" s="25">
        <f t="shared" si="21"/>
        <v>1106.9630000000002</v>
      </c>
      <c r="O467" s="25">
        <f t="shared" ca="1" si="22"/>
        <v>0</v>
      </c>
      <c r="P467" s="25">
        <f t="shared" ca="1" si="23"/>
        <v>0</v>
      </c>
    </row>
    <row r="468" spans="12:16" s="23" customFormat="1" ht="13.8">
      <c r="L468" s="33">
        <v>465</v>
      </c>
      <c r="M468" s="23">
        <f ca="1"/>
        <v>906.06825250468921</v>
      </c>
      <c r="N468" s="25">
        <f t="shared" si="21"/>
        <v>1106.9630000000002</v>
      </c>
      <c r="O468" s="25">
        <f t="shared" ca="1" si="22"/>
        <v>1</v>
      </c>
      <c r="P468" s="25">
        <f t="shared" ca="1" si="23"/>
        <v>0.18148280249232446</v>
      </c>
    </row>
    <row r="469" spans="12:16" s="23" customFormat="1" ht="13.8">
      <c r="L469" s="23">
        <v>466</v>
      </c>
      <c r="M469" s="23">
        <f ca="1"/>
        <v>1889.5765755482034</v>
      </c>
      <c r="N469" s="25">
        <f t="shared" si="21"/>
        <v>1106.9630000000002</v>
      </c>
      <c r="O469" s="25">
        <f t="shared" ca="1" si="22"/>
        <v>0</v>
      </c>
      <c r="P469" s="25">
        <f t="shared" ca="1" si="23"/>
        <v>0</v>
      </c>
    </row>
    <row r="470" spans="12:16" s="23" customFormat="1" ht="13.8">
      <c r="L470" s="33">
        <v>467</v>
      </c>
      <c r="M470" s="23">
        <f ca="1"/>
        <v>718.89854254015654</v>
      </c>
      <c r="N470" s="25">
        <f t="shared" si="21"/>
        <v>1106.9630000000002</v>
      </c>
      <c r="O470" s="25">
        <f t="shared" ca="1" si="22"/>
        <v>1</v>
      </c>
      <c r="P470" s="25">
        <f t="shared" ca="1" si="23"/>
        <v>0.3505667826836521</v>
      </c>
    </row>
    <row r="471" spans="12:16" s="23" customFormat="1" ht="13.8">
      <c r="L471" s="23">
        <v>468</v>
      </c>
      <c r="M471" s="23">
        <f ca="1"/>
        <v>1442.8920403241923</v>
      </c>
      <c r="N471" s="25">
        <f t="shared" si="21"/>
        <v>1106.9630000000002</v>
      </c>
      <c r="O471" s="25">
        <f t="shared" ca="1" si="22"/>
        <v>0</v>
      </c>
      <c r="P471" s="25">
        <f t="shared" ca="1" si="23"/>
        <v>0</v>
      </c>
    </row>
    <row r="472" spans="12:16" s="23" customFormat="1" ht="13.8">
      <c r="L472" s="33">
        <v>469</v>
      </c>
      <c r="M472" s="23">
        <f ca="1"/>
        <v>626.0680055175676</v>
      </c>
      <c r="N472" s="25">
        <f t="shared" si="21"/>
        <v>1106.9630000000002</v>
      </c>
      <c r="O472" s="25">
        <f t="shared" ca="1" si="22"/>
        <v>1</v>
      </c>
      <c r="P472" s="25">
        <f t="shared" ca="1" si="23"/>
        <v>0.43442734263243893</v>
      </c>
    </row>
    <row r="473" spans="12:16" s="23" customFormat="1" ht="13.8">
      <c r="L473" s="23">
        <v>470</v>
      </c>
      <c r="M473" s="23">
        <f ca="1"/>
        <v>2390.2962242075887</v>
      </c>
      <c r="N473" s="25">
        <f t="shared" si="21"/>
        <v>1106.9630000000002</v>
      </c>
      <c r="O473" s="25">
        <f t="shared" ca="1" si="22"/>
        <v>0</v>
      </c>
      <c r="P473" s="25">
        <f t="shared" ca="1" si="23"/>
        <v>0</v>
      </c>
    </row>
    <row r="474" spans="12:16" s="23" customFormat="1" ht="13.8">
      <c r="L474" s="33">
        <v>471</v>
      </c>
      <c r="M474" s="23">
        <f ca="1"/>
        <v>1026.6264160806586</v>
      </c>
      <c r="N474" s="25">
        <f t="shared" si="21"/>
        <v>1106.9630000000002</v>
      </c>
      <c r="O474" s="25">
        <f t="shared" ca="1" si="22"/>
        <v>1</v>
      </c>
      <c r="P474" s="25">
        <f t="shared" ca="1" si="23"/>
        <v>7.2573865539626511E-2</v>
      </c>
    </row>
    <row r="475" spans="12:16" s="23" customFormat="1" ht="13.8">
      <c r="L475" s="23">
        <v>472</v>
      </c>
      <c r="M475" s="23">
        <f ca="1"/>
        <v>1207.631054538102</v>
      </c>
      <c r="N475" s="25">
        <f t="shared" si="21"/>
        <v>1106.9630000000002</v>
      </c>
      <c r="O475" s="25">
        <f t="shared" ca="1" si="22"/>
        <v>0</v>
      </c>
      <c r="P475" s="25">
        <f t="shared" ca="1" si="23"/>
        <v>0</v>
      </c>
    </row>
    <row r="476" spans="12:16" s="23" customFormat="1" ht="13.8">
      <c r="L476" s="33">
        <v>473</v>
      </c>
      <c r="M476" s="23">
        <f ca="1"/>
        <v>987.04252813586334</v>
      </c>
      <c r="N476" s="25">
        <f t="shared" si="21"/>
        <v>1106.9630000000002</v>
      </c>
      <c r="O476" s="25">
        <f t="shared" ca="1" si="22"/>
        <v>1</v>
      </c>
      <c r="P476" s="25">
        <f t="shared" ca="1" si="23"/>
        <v>0.10833286375799087</v>
      </c>
    </row>
    <row r="477" spans="12:16" s="23" customFormat="1" ht="13.8">
      <c r="L477" s="23">
        <v>474</v>
      </c>
      <c r="M477" s="23">
        <f ca="1"/>
        <v>775.17210796456311</v>
      </c>
      <c r="N477" s="25">
        <f t="shared" si="21"/>
        <v>1106.9630000000002</v>
      </c>
      <c r="O477" s="25">
        <f t="shared" ca="1" si="22"/>
        <v>1</v>
      </c>
      <c r="P477" s="25">
        <f t="shared" ca="1" si="23"/>
        <v>0.29973078778191958</v>
      </c>
    </row>
    <row r="478" spans="12:16" s="23" customFormat="1" ht="13.8">
      <c r="L478" s="33">
        <v>475</v>
      </c>
      <c r="M478" s="23">
        <f ca="1"/>
        <v>1813.311939670441</v>
      </c>
      <c r="N478" s="25">
        <f t="shared" si="21"/>
        <v>1106.9630000000002</v>
      </c>
      <c r="O478" s="25">
        <f t="shared" ca="1" si="22"/>
        <v>0</v>
      </c>
      <c r="P478" s="25">
        <f t="shared" ca="1" si="23"/>
        <v>0</v>
      </c>
    </row>
    <row r="479" spans="12:16" s="23" customFormat="1" ht="13.8">
      <c r="L479" s="23">
        <v>476</v>
      </c>
      <c r="M479" s="23">
        <f ca="1"/>
        <v>943.12995568402675</v>
      </c>
      <c r="N479" s="25">
        <f t="shared" si="21"/>
        <v>1106.9630000000002</v>
      </c>
      <c r="O479" s="25">
        <f t="shared" ca="1" si="22"/>
        <v>1</v>
      </c>
      <c r="P479" s="25">
        <f t="shared" ca="1" si="23"/>
        <v>0.14800227678429487</v>
      </c>
    </row>
    <row r="480" spans="12:16" s="23" customFormat="1" ht="13.8">
      <c r="L480" s="33">
        <v>477</v>
      </c>
      <c r="M480" s="23">
        <f ca="1"/>
        <v>1661.9891035597313</v>
      </c>
      <c r="N480" s="25">
        <f t="shared" si="21"/>
        <v>1106.9630000000002</v>
      </c>
      <c r="O480" s="25">
        <f t="shared" ca="1" si="22"/>
        <v>0</v>
      </c>
      <c r="P480" s="25">
        <f t="shared" ca="1" si="23"/>
        <v>0</v>
      </c>
    </row>
    <row r="481" spans="12:16" s="23" customFormat="1" ht="13.8">
      <c r="L481" s="23">
        <v>478</v>
      </c>
      <c r="M481" s="23">
        <f ca="1"/>
        <v>1388.6559972233706</v>
      </c>
      <c r="N481" s="25">
        <f t="shared" si="21"/>
        <v>1106.9630000000002</v>
      </c>
      <c r="O481" s="25">
        <f t="shared" ca="1" si="22"/>
        <v>0</v>
      </c>
      <c r="P481" s="25">
        <f t="shared" ca="1" si="23"/>
        <v>0</v>
      </c>
    </row>
    <row r="482" spans="12:16" s="23" customFormat="1" ht="13.8">
      <c r="L482" s="33">
        <v>479</v>
      </c>
      <c r="M482" s="23">
        <f ca="1"/>
        <v>2255.4235945073419</v>
      </c>
      <c r="N482" s="25">
        <f t="shared" si="21"/>
        <v>1106.9630000000002</v>
      </c>
      <c r="O482" s="25">
        <f t="shared" ca="1" si="22"/>
        <v>0</v>
      </c>
      <c r="P482" s="25">
        <f t="shared" ca="1" si="23"/>
        <v>0</v>
      </c>
    </row>
    <row r="483" spans="12:16" s="23" customFormat="1" ht="13.8">
      <c r="L483" s="23">
        <v>480</v>
      </c>
      <c r="M483" s="23">
        <f ca="1"/>
        <v>1196.8175578039391</v>
      </c>
      <c r="N483" s="25">
        <f t="shared" si="21"/>
        <v>1106.9630000000002</v>
      </c>
      <c r="O483" s="25">
        <f t="shared" ca="1" si="22"/>
        <v>0</v>
      </c>
      <c r="P483" s="25">
        <f t="shared" ca="1" si="23"/>
        <v>0</v>
      </c>
    </row>
    <row r="484" spans="12:16" s="23" customFormat="1" ht="13.8">
      <c r="L484" s="33">
        <v>481</v>
      </c>
      <c r="M484" s="23">
        <f ca="1"/>
        <v>1908.3330424717356</v>
      </c>
      <c r="N484" s="25">
        <f t="shared" si="21"/>
        <v>1106.9630000000002</v>
      </c>
      <c r="O484" s="25">
        <f t="shared" ca="1" si="22"/>
        <v>0</v>
      </c>
      <c r="P484" s="25">
        <f t="shared" ca="1" si="23"/>
        <v>0</v>
      </c>
    </row>
    <row r="485" spans="12:16" s="23" customFormat="1" ht="13.8">
      <c r="L485" s="23">
        <v>482</v>
      </c>
      <c r="M485" s="23">
        <f ca="1"/>
        <v>1138.7734972378182</v>
      </c>
      <c r="N485" s="25">
        <f t="shared" si="21"/>
        <v>1106.9630000000002</v>
      </c>
      <c r="O485" s="25">
        <f t="shared" ca="1" si="22"/>
        <v>0</v>
      </c>
      <c r="P485" s="25">
        <f t="shared" ca="1" si="23"/>
        <v>0</v>
      </c>
    </row>
    <row r="486" spans="12:16" s="23" customFormat="1" ht="13.8">
      <c r="L486" s="33">
        <v>483</v>
      </c>
      <c r="M486" s="23">
        <f ca="1"/>
        <v>1596.3951539399184</v>
      </c>
      <c r="N486" s="25">
        <f t="shared" si="21"/>
        <v>1106.9630000000002</v>
      </c>
      <c r="O486" s="25">
        <f t="shared" ca="1" si="22"/>
        <v>0</v>
      </c>
      <c r="P486" s="25">
        <f t="shared" ca="1" si="23"/>
        <v>0</v>
      </c>
    </row>
    <row r="487" spans="12:16" s="23" customFormat="1" ht="13.8">
      <c r="L487" s="23">
        <v>484</v>
      </c>
      <c r="M487" s="23">
        <f ca="1"/>
        <v>1384.45803970051</v>
      </c>
      <c r="N487" s="25">
        <f t="shared" si="21"/>
        <v>1106.9630000000002</v>
      </c>
      <c r="O487" s="25">
        <f t="shared" ca="1" si="22"/>
        <v>0</v>
      </c>
      <c r="P487" s="25">
        <f t="shared" ca="1" si="23"/>
        <v>0</v>
      </c>
    </row>
    <row r="488" spans="12:16" s="23" customFormat="1" ht="13.8">
      <c r="L488" s="33">
        <v>485</v>
      </c>
      <c r="M488" s="23">
        <f ca="1"/>
        <v>2669.457842583889</v>
      </c>
      <c r="N488" s="25">
        <f t="shared" si="21"/>
        <v>1106.9630000000002</v>
      </c>
      <c r="O488" s="25">
        <f t="shared" ca="1" si="22"/>
        <v>0</v>
      </c>
      <c r="P488" s="25">
        <f t="shared" ca="1" si="23"/>
        <v>0</v>
      </c>
    </row>
    <row r="489" spans="12:16" s="23" customFormat="1" ht="13.8">
      <c r="L489" s="23">
        <v>486</v>
      </c>
      <c r="M489" s="23">
        <f ca="1"/>
        <v>1232.6490933126252</v>
      </c>
      <c r="N489" s="25">
        <f t="shared" si="21"/>
        <v>1106.9630000000002</v>
      </c>
      <c r="O489" s="25">
        <f t="shared" ca="1" si="22"/>
        <v>0</v>
      </c>
      <c r="P489" s="25">
        <f t="shared" ca="1" si="23"/>
        <v>0</v>
      </c>
    </row>
    <row r="490" spans="12:16" s="23" customFormat="1" ht="13.8">
      <c r="L490" s="33">
        <v>487</v>
      </c>
      <c r="M490" s="23">
        <f ca="1"/>
        <v>1454.1790507435669</v>
      </c>
      <c r="N490" s="25">
        <f t="shared" si="21"/>
        <v>1106.9630000000002</v>
      </c>
      <c r="O490" s="25">
        <f t="shared" ca="1" si="22"/>
        <v>0</v>
      </c>
      <c r="P490" s="25">
        <f t="shared" ca="1" si="23"/>
        <v>0</v>
      </c>
    </row>
    <row r="491" spans="12:16" s="23" customFormat="1" ht="13.8">
      <c r="L491" s="23">
        <v>488</v>
      </c>
      <c r="M491" s="23">
        <f ca="1"/>
        <v>1911.9515194683177</v>
      </c>
      <c r="N491" s="25">
        <f t="shared" si="21"/>
        <v>1106.9630000000002</v>
      </c>
      <c r="O491" s="25">
        <f t="shared" ca="1" si="22"/>
        <v>0</v>
      </c>
      <c r="P491" s="25">
        <f t="shared" ca="1" si="23"/>
        <v>0</v>
      </c>
    </row>
    <row r="492" spans="12:16" s="23" customFormat="1" ht="13.8">
      <c r="L492" s="33">
        <v>489</v>
      </c>
      <c r="M492" s="23">
        <f ca="1"/>
        <v>1454.8169249640609</v>
      </c>
      <c r="N492" s="25">
        <f t="shared" si="21"/>
        <v>1106.9630000000002</v>
      </c>
      <c r="O492" s="25">
        <f t="shared" ca="1" si="22"/>
        <v>0</v>
      </c>
      <c r="P492" s="25">
        <f t="shared" ca="1" si="23"/>
        <v>0</v>
      </c>
    </row>
    <row r="493" spans="12:16" s="23" customFormat="1" ht="13.8">
      <c r="L493" s="23">
        <v>490</v>
      </c>
      <c r="M493" s="23">
        <f ca="1"/>
        <v>1533.613572675383</v>
      </c>
      <c r="N493" s="25">
        <f t="shared" si="21"/>
        <v>1106.9630000000002</v>
      </c>
      <c r="O493" s="25">
        <f t="shared" ca="1" si="22"/>
        <v>0</v>
      </c>
      <c r="P493" s="25">
        <f t="shared" ca="1" si="23"/>
        <v>0</v>
      </c>
    </row>
    <row r="494" spans="12:16" s="23" customFormat="1" ht="13.8">
      <c r="L494" s="33">
        <v>491</v>
      </c>
      <c r="M494" s="23">
        <f ca="1"/>
        <v>1391.6064807244463</v>
      </c>
      <c r="N494" s="25">
        <f t="shared" si="21"/>
        <v>1106.9630000000002</v>
      </c>
      <c r="O494" s="25">
        <f t="shared" ca="1" si="22"/>
        <v>0</v>
      </c>
      <c r="P494" s="25">
        <f t="shared" ca="1" si="23"/>
        <v>0</v>
      </c>
    </row>
    <row r="495" spans="12:16" s="23" customFormat="1" ht="13.8">
      <c r="L495" s="23">
        <v>492</v>
      </c>
      <c r="M495" s="23">
        <f ca="1"/>
        <v>1572.9869172644378</v>
      </c>
      <c r="N495" s="25">
        <f t="shared" si="21"/>
        <v>1106.9630000000002</v>
      </c>
      <c r="O495" s="25">
        <f t="shared" ca="1" si="22"/>
        <v>0</v>
      </c>
      <c r="P495" s="25">
        <f t="shared" ca="1" si="23"/>
        <v>0</v>
      </c>
    </row>
    <row r="496" spans="12:16" s="23" customFormat="1" ht="13.8">
      <c r="L496" s="33">
        <v>493</v>
      </c>
      <c r="M496" s="23">
        <f ca="1"/>
        <v>1487.0184058975713</v>
      </c>
      <c r="N496" s="25">
        <f t="shared" si="21"/>
        <v>1106.9630000000002</v>
      </c>
      <c r="O496" s="25">
        <f t="shared" ca="1" si="22"/>
        <v>0</v>
      </c>
      <c r="P496" s="25">
        <f t="shared" ca="1" si="23"/>
        <v>0</v>
      </c>
    </row>
    <row r="497" spans="12:16" s="23" customFormat="1" ht="13.8">
      <c r="L497" s="23">
        <v>494</v>
      </c>
      <c r="M497" s="23">
        <f ca="1"/>
        <v>1844.739268339335</v>
      </c>
      <c r="N497" s="25">
        <f t="shared" si="21"/>
        <v>1106.9630000000002</v>
      </c>
      <c r="O497" s="25">
        <f t="shared" ca="1" si="22"/>
        <v>0</v>
      </c>
      <c r="P497" s="25">
        <f t="shared" ca="1" si="23"/>
        <v>0</v>
      </c>
    </row>
    <row r="498" spans="12:16" s="23" customFormat="1" ht="13.8">
      <c r="L498" s="33">
        <v>495</v>
      </c>
      <c r="M498" s="23">
        <f ca="1"/>
        <v>1110.9417244498964</v>
      </c>
      <c r="N498" s="25">
        <f t="shared" si="21"/>
        <v>1106.9630000000002</v>
      </c>
      <c r="O498" s="25">
        <f t="shared" ca="1" si="22"/>
        <v>0</v>
      </c>
      <c r="P498" s="25">
        <f t="shared" ca="1" si="23"/>
        <v>0</v>
      </c>
    </row>
    <row r="499" spans="12:16" s="23" customFormat="1" ht="13.8">
      <c r="L499" s="23">
        <v>496</v>
      </c>
      <c r="M499" s="23">
        <f ca="1"/>
        <v>2194.871903533081</v>
      </c>
      <c r="N499" s="25">
        <f t="shared" si="21"/>
        <v>1106.9630000000002</v>
      </c>
      <c r="O499" s="25">
        <f t="shared" ca="1" si="22"/>
        <v>0</v>
      </c>
      <c r="P499" s="25">
        <f t="shared" ca="1" si="23"/>
        <v>0</v>
      </c>
    </row>
    <row r="500" spans="12:16" s="23" customFormat="1" ht="13.8">
      <c r="L500" s="33">
        <v>497</v>
      </c>
      <c r="M500" s="23">
        <f ca="1"/>
        <v>1439.051195178143</v>
      </c>
      <c r="N500" s="25">
        <f t="shared" si="21"/>
        <v>1106.9630000000002</v>
      </c>
      <c r="O500" s="25">
        <f t="shared" ca="1" si="22"/>
        <v>0</v>
      </c>
      <c r="P500" s="25">
        <f t="shared" ca="1" si="23"/>
        <v>0</v>
      </c>
    </row>
    <row r="501" spans="12:16" s="23" customFormat="1" ht="13.8">
      <c r="L501" s="23">
        <v>498</v>
      </c>
      <c r="M501" s="23">
        <f ca="1"/>
        <v>1008.118743685411</v>
      </c>
      <c r="N501" s="25">
        <f t="shared" si="21"/>
        <v>1106.9630000000002</v>
      </c>
      <c r="O501" s="25">
        <f t="shared" ca="1" si="22"/>
        <v>1</v>
      </c>
      <c r="P501" s="25">
        <f t="shared" ca="1" si="23"/>
        <v>8.9293188945420196E-2</v>
      </c>
    </row>
    <row r="502" spans="12:16" s="23" customFormat="1" ht="13.8">
      <c r="L502" s="33">
        <v>499</v>
      </c>
      <c r="M502" s="23">
        <f ca="1"/>
        <v>1430.7632890245748</v>
      </c>
      <c r="N502" s="25">
        <f t="shared" si="21"/>
        <v>1106.9630000000002</v>
      </c>
      <c r="O502" s="25">
        <f t="shared" ca="1" si="22"/>
        <v>0</v>
      </c>
      <c r="P502" s="25">
        <f t="shared" ca="1" si="23"/>
        <v>0</v>
      </c>
    </row>
    <row r="503" spans="12:16" s="23" customFormat="1" ht="13.8">
      <c r="L503" s="23">
        <v>500</v>
      </c>
      <c r="M503" s="23">
        <f ca="1"/>
        <v>2661.2019924682068</v>
      </c>
      <c r="N503" s="25">
        <f t="shared" si="21"/>
        <v>1106.9630000000002</v>
      </c>
      <c r="O503" s="25">
        <f t="shared" ca="1" si="22"/>
        <v>0</v>
      </c>
      <c r="P503" s="25">
        <f t="shared" ca="1" si="23"/>
        <v>0</v>
      </c>
    </row>
    <row r="504" spans="12:16" s="23" customFormat="1" ht="13.8">
      <c r="L504" s="33">
        <v>501</v>
      </c>
      <c r="M504" s="23">
        <f ca="1"/>
        <v>1402.3880781308303</v>
      </c>
      <c r="N504" s="25">
        <f t="shared" si="21"/>
        <v>1106.9630000000002</v>
      </c>
      <c r="O504" s="25">
        <f t="shared" ca="1" si="22"/>
        <v>0</v>
      </c>
      <c r="P504" s="25">
        <f t="shared" ca="1" si="23"/>
        <v>0</v>
      </c>
    </row>
    <row r="505" spans="12:16" s="23" customFormat="1" ht="13.8">
      <c r="L505" s="23">
        <v>502</v>
      </c>
      <c r="M505" s="23">
        <f ca="1"/>
        <v>1576.8012218494007</v>
      </c>
      <c r="N505" s="25">
        <f t="shared" si="21"/>
        <v>1106.9630000000002</v>
      </c>
      <c r="O505" s="25">
        <f t="shared" ca="1" si="22"/>
        <v>0</v>
      </c>
      <c r="P505" s="25">
        <f t="shared" ca="1" si="23"/>
        <v>0</v>
      </c>
    </row>
    <row r="506" spans="12:16" s="23" customFormat="1" ht="13.8">
      <c r="L506" s="33">
        <v>503</v>
      </c>
      <c r="M506" s="23">
        <f ca="1"/>
        <v>1414.2458481033441</v>
      </c>
      <c r="N506" s="25">
        <f t="shared" si="21"/>
        <v>1106.9630000000002</v>
      </c>
      <c r="O506" s="25">
        <f t="shared" ca="1" si="22"/>
        <v>0</v>
      </c>
      <c r="P506" s="25">
        <f t="shared" ca="1" si="23"/>
        <v>0</v>
      </c>
    </row>
    <row r="507" spans="12:16" s="23" customFormat="1" ht="13.8">
      <c r="L507" s="23">
        <v>504</v>
      </c>
      <c r="M507" s="23">
        <f ca="1"/>
        <v>1189.5167831271194</v>
      </c>
      <c r="N507" s="25">
        <f t="shared" si="21"/>
        <v>1106.9630000000002</v>
      </c>
      <c r="O507" s="25">
        <f t="shared" ca="1" si="22"/>
        <v>0</v>
      </c>
      <c r="P507" s="25">
        <f t="shared" ca="1" si="23"/>
        <v>0</v>
      </c>
    </row>
    <row r="508" spans="12:16" s="23" customFormat="1" ht="13.8">
      <c r="L508" s="33">
        <v>505</v>
      </c>
      <c r="M508" s="23">
        <f ca="1"/>
        <v>704.89369316428474</v>
      </c>
      <c r="N508" s="25">
        <f t="shared" si="21"/>
        <v>1106.9630000000002</v>
      </c>
      <c r="O508" s="25">
        <f t="shared" ca="1" si="22"/>
        <v>1</v>
      </c>
      <c r="P508" s="25">
        <f t="shared" ca="1" si="23"/>
        <v>0.36321837932768791</v>
      </c>
    </row>
    <row r="509" spans="12:16" s="23" customFormat="1" ht="13.8">
      <c r="L509" s="23">
        <v>506</v>
      </c>
      <c r="M509" s="23">
        <f ca="1"/>
        <v>1787.3916085934243</v>
      </c>
      <c r="N509" s="25">
        <f t="shared" si="21"/>
        <v>1106.9630000000002</v>
      </c>
      <c r="O509" s="25">
        <f t="shared" ca="1" si="22"/>
        <v>0</v>
      </c>
      <c r="P509" s="25">
        <f t="shared" ca="1" si="23"/>
        <v>0</v>
      </c>
    </row>
    <row r="510" spans="12:16" s="23" customFormat="1" ht="13.8">
      <c r="L510" s="33">
        <v>507</v>
      </c>
      <c r="M510" s="23">
        <f ca="1"/>
        <v>989.59998480301908</v>
      </c>
      <c r="N510" s="25">
        <f t="shared" si="21"/>
        <v>1106.9630000000002</v>
      </c>
      <c r="O510" s="25">
        <f t="shared" ca="1" si="22"/>
        <v>1</v>
      </c>
      <c r="P510" s="25">
        <f t="shared" ca="1" si="23"/>
        <v>0.10602252757949551</v>
      </c>
    </row>
    <row r="511" spans="12:16" s="23" customFormat="1" ht="13.8">
      <c r="L511" s="23">
        <v>508</v>
      </c>
      <c r="M511" s="23">
        <f ca="1"/>
        <v>1599.3617415776305</v>
      </c>
      <c r="N511" s="25">
        <f t="shared" si="21"/>
        <v>1106.9630000000002</v>
      </c>
      <c r="O511" s="25">
        <f t="shared" ca="1" si="22"/>
        <v>0</v>
      </c>
      <c r="P511" s="25">
        <f t="shared" ca="1" si="23"/>
        <v>0</v>
      </c>
    </row>
    <row r="512" spans="12:16" s="23" customFormat="1" ht="13.8">
      <c r="L512" s="33">
        <v>509</v>
      </c>
      <c r="M512" s="23">
        <f ca="1"/>
        <v>1054.8999441969449</v>
      </c>
      <c r="N512" s="25">
        <f t="shared" si="21"/>
        <v>1106.9630000000002</v>
      </c>
      <c r="O512" s="25">
        <f t="shared" ca="1" si="22"/>
        <v>1</v>
      </c>
      <c r="P512" s="25">
        <f t="shared" ca="1" si="23"/>
        <v>4.7032336042898672E-2</v>
      </c>
    </row>
    <row r="513" spans="12:16" s="23" customFormat="1" ht="13.8">
      <c r="L513" s="23">
        <v>510</v>
      </c>
      <c r="M513" s="23">
        <f ca="1"/>
        <v>1430.8163493469494</v>
      </c>
      <c r="N513" s="25">
        <f t="shared" si="21"/>
        <v>1106.9630000000002</v>
      </c>
      <c r="O513" s="25">
        <f t="shared" ca="1" si="22"/>
        <v>0</v>
      </c>
      <c r="P513" s="25">
        <f t="shared" ca="1" si="23"/>
        <v>0</v>
      </c>
    </row>
    <row r="514" spans="12:16" s="23" customFormat="1" ht="13.8">
      <c r="L514" s="33">
        <v>511</v>
      </c>
      <c r="M514" s="23">
        <f ca="1"/>
        <v>1538.5648486845907</v>
      </c>
      <c r="N514" s="25">
        <f t="shared" si="21"/>
        <v>1106.9630000000002</v>
      </c>
      <c r="O514" s="25">
        <f t="shared" ca="1" si="22"/>
        <v>0</v>
      </c>
      <c r="P514" s="25">
        <f t="shared" ca="1" si="23"/>
        <v>0</v>
      </c>
    </row>
    <row r="515" spans="12:16" s="23" customFormat="1" ht="13.8">
      <c r="L515" s="23">
        <v>512</v>
      </c>
      <c r="M515" s="23">
        <f ca="1"/>
        <v>2210.8187410310893</v>
      </c>
      <c r="N515" s="25">
        <f t="shared" si="21"/>
        <v>1106.9630000000002</v>
      </c>
      <c r="O515" s="25">
        <f t="shared" ca="1" si="22"/>
        <v>0</v>
      </c>
      <c r="P515" s="25">
        <f t="shared" ca="1" si="23"/>
        <v>0</v>
      </c>
    </row>
    <row r="516" spans="12:16" s="23" customFormat="1" ht="13.8">
      <c r="L516" s="33">
        <v>513</v>
      </c>
      <c r="M516" s="23">
        <f ca="1"/>
        <v>761.37618854849063</v>
      </c>
      <c r="N516" s="25">
        <f t="shared" ref="N516:N579" si="24">($C$21+$E$21)*1.1</f>
        <v>1106.9630000000002</v>
      </c>
      <c r="O516" s="25">
        <f t="shared" ca="1" si="22"/>
        <v>1</v>
      </c>
      <c r="P516" s="25">
        <f t="shared" ca="1" si="23"/>
        <v>0.31219364283314754</v>
      </c>
    </row>
    <row r="517" spans="12:16" s="23" customFormat="1" ht="13.8">
      <c r="L517" s="23">
        <v>514</v>
      </c>
      <c r="M517" s="23">
        <f ca="1"/>
        <v>2529.9811207134899</v>
      </c>
      <c r="N517" s="25">
        <f t="shared" si="24"/>
        <v>1106.9630000000002</v>
      </c>
      <c r="O517" s="25">
        <f t="shared" ref="O517:O580" ca="1" si="25">IF(M517&lt;N517,1,0)</f>
        <v>0</v>
      </c>
      <c r="P517" s="25">
        <f t="shared" ref="P517:P580" ca="1" si="26">MAX((N517-M517)/N517,0)</f>
        <v>0</v>
      </c>
    </row>
    <row r="518" spans="12:16" s="23" customFormat="1" ht="13.8">
      <c r="L518" s="33">
        <v>515</v>
      </c>
      <c r="M518" s="23">
        <f ca="1"/>
        <v>1243.0128362383246</v>
      </c>
      <c r="N518" s="25">
        <f t="shared" si="24"/>
        <v>1106.9630000000002</v>
      </c>
      <c r="O518" s="25">
        <f t="shared" ca="1" si="25"/>
        <v>0</v>
      </c>
      <c r="P518" s="25">
        <f t="shared" ca="1" si="26"/>
        <v>0</v>
      </c>
    </row>
    <row r="519" spans="12:16" s="23" customFormat="1" ht="13.8">
      <c r="L519" s="23">
        <v>516</v>
      </c>
      <c r="M519" s="23">
        <f ca="1"/>
        <v>1417.291572424552</v>
      </c>
      <c r="N519" s="25">
        <f t="shared" si="24"/>
        <v>1106.9630000000002</v>
      </c>
      <c r="O519" s="25">
        <f t="shared" ca="1" si="25"/>
        <v>0</v>
      </c>
      <c r="P519" s="25">
        <f t="shared" ca="1" si="26"/>
        <v>0</v>
      </c>
    </row>
    <row r="520" spans="12:16" s="23" customFormat="1" ht="13.8">
      <c r="L520" s="33">
        <v>517</v>
      </c>
      <c r="M520" s="23">
        <f ca="1"/>
        <v>1960.3881399060638</v>
      </c>
      <c r="N520" s="25">
        <f t="shared" si="24"/>
        <v>1106.9630000000002</v>
      </c>
      <c r="O520" s="25">
        <f t="shared" ca="1" si="25"/>
        <v>0</v>
      </c>
      <c r="P520" s="25">
        <f t="shared" ca="1" si="26"/>
        <v>0</v>
      </c>
    </row>
    <row r="521" spans="12:16" s="23" customFormat="1" ht="13.8">
      <c r="L521" s="23">
        <v>518</v>
      </c>
      <c r="M521" s="23">
        <f ca="1"/>
        <v>1808.5939552693187</v>
      </c>
      <c r="N521" s="25">
        <f t="shared" si="24"/>
        <v>1106.9630000000002</v>
      </c>
      <c r="O521" s="25">
        <f t="shared" ca="1" si="25"/>
        <v>0</v>
      </c>
      <c r="P521" s="25">
        <f t="shared" ca="1" si="26"/>
        <v>0</v>
      </c>
    </row>
    <row r="522" spans="12:16" s="23" customFormat="1" ht="13.8">
      <c r="L522" s="33">
        <v>519</v>
      </c>
      <c r="M522" s="23">
        <f ca="1"/>
        <v>822.21924653309327</v>
      </c>
      <c r="N522" s="25">
        <f t="shared" si="24"/>
        <v>1106.9630000000002</v>
      </c>
      <c r="O522" s="25">
        <f t="shared" ca="1" si="25"/>
        <v>1</v>
      </c>
      <c r="P522" s="25">
        <f t="shared" ca="1" si="26"/>
        <v>0.2572296937358402</v>
      </c>
    </row>
    <row r="523" spans="12:16" s="23" customFormat="1" ht="13.8">
      <c r="L523" s="23">
        <v>520</v>
      </c>
      <c r="M523" s="23">
        <f ca="1"/>
        <v>1317.828594603676</v>
      </c>
      <c r="N523" s="25">
        <f t="shared" si="24"/>
        <v>1106.9630000000002</v>
      </c>
      <c r="O523" s="25">
        <f t="shared" ca="1" si="25"/>
        <v>0</v>
      </c>
      <c r="P523" s="25">
        <f t="shared" ca="1" si="26"/>
        <v>0</v>
      </c>
    </row>
    <row r="524" spans="12:16" s="23" customFormat="1" ht="13.8">
      <c r="L524" s="33">
        <v>521</v>
      </c>
      <c r="M524" s="23">
        <f ca="1"/>
        <v>903.10349394209175</v>
      </c>
      <c r="N524" s="25">
        <f t="shared" si="24"/>
        <v>1106.9630000000002</v>
      </c>
      <c r="O524" s="25">
        <f t="shared" ca="1" si="25"/>
        <v>1</v>
      </c>
      <c r="P524" s="25">
        <f t="shared" ca="1" si="26"/>
        <v>0.18416108402711601</v>
      </c>
    </row>
    <row r="525" spans="12:16" s="23" customFormat="1" ht="13.8">
      <c r="L525" s="23">
        <v>522</v>
      </c>
      <c r="M525" s="23">
        <f ca="1"/>
        <v>1441.3718233692282</v>
      </c>
      <c r="N525" s="25">
        <f t="shared" si="24"/>
        <v>1106.9630000000002</v>
      </c>
      <c r="O525" s="25">
        <f t="shared" ca="1" si="25"/>
        <v>0</v>
      </c>
      <c r="P525" s="25">
        <f t="shared" ca="1" si="26"/>
        <v>0</v>
      </c>
    </row>
    <row r="526" spans="12:16" s="23" customFormat="1" ht="13.8">
      <c r="L526" s="33">
        <v>523</v>
      </c>
      <c r="M526" s="23">
        <f ca="1"/>
        <v>1196.8118509917254</v>
      </c>
      <c r="N526" s="25">
        <f t="shared" si="24"/>
        <v>1106.9630000000002</v>
      </c>
      <c r="O526" s="25">
        <f t="shared" ca="1" si="25"/>
        <v>0</v>
      </c>
      <c r="P526" s="25">
        <f t="shared" ca="1" si="26"/>
        <v>0</v>
      </c>
    </row>
    <row r="527" spans="12:16" s="23" customFormat="1" ht="13.8">
      <c r="L527" s="23">
        <v>524</v>
      </c>
      <c r="M527" s="23">
        <f ca="1"/>
        <v>1683.5179898189865</v>
      </c>
      <c r="N527" s="25">
        <f t="shared" si="24"/>
        <v>1106.9630000000002</v>
      </c>
      <c r="O527" s="25">
        <f t="shared" ca="1" si="25"/>
        <v>0</v>
      </c>
      <c r="P527" s="25">
        <f t="shared" ca="1" si="26"/>
        <v>0</v>
      </c>
    </row>
    <row r="528" spans="12:16" s="23" customFormat="1" ht="13.8">
      <c r="L528" s="33">
        <v>525</v>
      </c>
      <c r="M528" s="23">
        <f ca="1"/>
        <v>1075.1294177056548</v>
      </c>
      <c r="N528" s="25">
        <f t="shared" si="24"/>
        <v>1106.9630000000002</v>
      </c>
      <c r="O528" s="25">
        <f t="shared" ca="1" si="25"/>
        <v>1</v>
      </c>
      <c r="P528" s="25">
        <f t="shared" ca="1" si="26"/>
        <v>2.875758475608076E-2</v>
      </c>
    </row>
    <row r="529" spans="12:16" s="23" customFormat="1" ht="13.8">
      <c r="L529" s="23">
        <v>526</v>
      </c>
      <c r="M529" s="23">
        <f ca="1"/>
        <v>2445.199856976602</v>
      </c>
      <c r="N529" s="25">
        <f t="shared" si="24"/>
        <v>1106.9630000000002</v>
      </c>
      <c r="O529" s="25">
        <f t="shared" ca="1" si="25"/>
        <v>0</v>
      </c>
      <c r="P529" s="25">
        <f t="shared" ca="1" si="26"/>
        <v>0</v>
      </c>
    </row>
    <row r="530" spans="12:16" s="23" customFormat="1" ht="13.8">
      <c r="L530" s="33">
        <v>527</v>
      </c>
      <c r="M530" s="23">
        <f ca="1"/>
        <v>1888.1663560722575</v>
      </c>
      <c r="N530" s="25">
        <f t="shared" si="24"/>
        <v>1106.9630000000002</v>
      </c>
      <c r="O530" s="25">
        <f t="shared" ca="1" si="25"/>
        <v>0</v>
      </c>
      <c r="P530" s="25">
        <f t="shared" ca="1" si="26"/>
        <v>0</v>
      </c>
    </row>
    <row r="531" spans="12:16" s="23" customFormat="1" ht="13.8">
      <c r="L531" s="23">
        <v>528</v>
      </c>
      <c r="M531" s="23">
        <f ca="1"/>
        <v>1473.0589741725466</v>
      </c>
      <c r="N531" s="25">
        <f t="shared" si="24"/>
        <v>1106.9630000000002</v>
      </c>
      <c r="O531" s="25">
        <f t="shared" ca="1" si="25"/>
        <v>0</v>
      </c>
      <c r="P531" s="25">
        <f t="shared" ca="1" si="26"/>
        <v>0</v>
      </c>
    </row>
    <row r="532" spans="12:16" s="23" customFormat="1" ht="13.8">
      <c r="L532" s="33">
        <v>529</v>
      </c>
      <c r="M532" s="23">
        <f ca="1"/>
        <v>1385.2056514014712</v>
      </c>
      <c r="N532" s="25">
        <f t="shared" si="24"/>
        <v>1106.9630000000002</v>
      </c>
      <c r="O532" s="25">
        <f t="shared" ca="1" si="25"/>
        <v>0</v>
      </c>
      <c r="P532" s="25">
        <f t="shared" ca="1" si="26"/>
        <v>0</v>
      </c>
    </row>
    <row r="533" spans="12:16" s="23" customFormat="1" ht="13.8">
      <c r="L533" s="23">
        <v>530</v>
      </c>
      <c r="M533" s="23">
        <f ca="1"/>
        <v>995.60872957644108</v>
      </c>
      <c r="N533" s="25">
        <f t="shared" si="24"/>
        <v>1106.9630000000002</v>
      </c>
      <c r="O533" s="25">
        <f t="shared" ca="1" si="25"/>
        <v>1</v>
      </c>
      <c r="P533" s="25">
        <f t="shared" ca="1" si="26"/>
        <v>0.10059439242644885</v>
      </c>
    </row>
    <row r="534" spans="12:16" s="23" customFormat="1" ht="13.8">
      <c r="L534" s="33">
        <v>531</v>
      </c>
      <c r="M534" s="23">
        <f ca="1"/>
        <v>869.50611481699809</v>
      </c>
      <c r="N534" s="25">
        <f t="shared" si="24"/>
        <v>1106.9630000000002</v>
      </c>
      <c r="O534" s="25">
        <f t="shared" ca="1" si="25"/>
        <v>1</v>
      </c>
      <c r="P534" s="25">
        <f t="shared" ca="1" si="26"/>
        <v>0.21451203444288749</v>
      </c>
    </row>
    <row r="535" spans="12:16" s="23" customFormat="1" ht="13.8">
      <c r="L535" s="23">
        <v>532</v>
      </c>
      <c r="M535" s="23">
        <f ca="1"/>
        <v>1983.2130129764087</v>
      </c>
      <c r="N535" s="25">
        <f t="shared" si="24"/>
        <v>1106.9630000000002</v>
      </c>
      <c r="O535" s="25">
        <f t="shared" ca="1" si="25"/>
        <v>0</v>
      </c>
      <c r="P535" s="25">
        <f t="shared" ca="1" si="26"/>
        <v>0</v>
      </c>
    </row>
    <row r="536" spans="12:16" s="23" customFormat="1" ht="13.8">
      <c r="L536" s="33">
        <v>533</v>
      </c>
      <c r="M536" s="23">
        <f ca="1"/>
        <v>1161.7328425501114</v>
      </c>
      <c r="N536" s="25">
        <f t="shared" si="24"/>
        <v>1106.9630000000002</v>
      </c>
      <c r="O536" s="25">
        <f t="shared" ca="1" si="25"/>
        <v>0</v>
      </c>
      <c r="P536" s="25">
        <f t="shared" ca="1" si="26"/>
        <v>0</v>
      </c>
    </row>
    <row r="537" spans="12:16" s="23" customFormat="1" ht="13.8">
      <c r="L537" s="23">
        <v>534</v>
      </c>
      <c r="M537" s="23">
        <f ca="1"/>
        <v>1218.119415035683</v>
      </c>
      <c r="N537" s="25">
        <f t="shared" si="24"/>
        <v>1106.9630000000002</v>
      </c>
      <c r="O537" s="25">
        <f t="shared" ca="1" si="25"/>
        <v>0</v>
      </c>
      <c r="P537" s="25">
        <f t="shared" ca="1" si="26"/>
        <v>0</v>
      </c>
    </row>
    <row r="538" spans="12:16" s="23" customFormat="1" ht="13.8">
      <c r="L538" s="33">
        <v>535</v>
      </c>
      <c r="M538" s="23">
        <f ca="1"/>
        <v>844.33038165943651</v>
      </c>
      <c r="N538" s="25">
        <f t="shared" si="24"/>
        <v>1106.9630000000002</v>
      </c>
      <c r="O538" s="25">
        <f t="shared" ca="1" si="25"/>
        <v>1</v>
      </c>
      <c r="P538" s="25">
        <f t="shared" ca="1" si="26"/>
        <v>0.23725510097497715</v>
      </c>
    </row>
    <row r="539" spans="12:16" s="23" customFormat="1" ht="13.8">
      <c r="L539" s="23">
        <v>536</v>
      </c>
      <c r="M539" s="23">
        <f ca="1"/>
        <v>553.79084643852082</v>
      </c>
      <c r="N539" s="25">
        <f t="shared" si="24"/>
        <v>1106.9630000000002</v>
      </c>
      <c r="O539" s="25">
        <f t="shared" ca="1" si="25"/>
        <v>1</v>
      </c>
      <c r="P539" s="25">
        <f t="shared" ca="1" si="26"/>
        <v>0.49972054491566498</v>
      </c>
    </row>
    <row r="540" spans="12:16" s="23" customFormat="1" ht="13.8">
      <c r="L540" s="33">
        <v>537</v>
      </c>
      <c r="M540" s="23">
        <f ca="1"/>
        <v>688.34456879410504</v>
      </c>
      <c r="N540" s="25">
        <f t="shared" si="24"/>
        <v>1106.9630000000002</v>
      </c>
      <c r="O540" s="25">
        <f t="shared" ca="1" si="25"/>
        <v>1</v>
      </c>
      <c r="P540" s="25">
        <f t="shared" ca="1" si="26"/>
        <v>0.3781684041886631</v>
      </c>
    </row>
    <row r="541" spans="12:16" s="23" customFormat="1" ht="13.8">
      <c r="L541" s="23">
        <v>538</v>
      </c>
      <c r="M541" s="23">
        <f ca="1"/>
        <v>1673.0150587384803</v>
      </c>
      <c r="N541" s="25">
        <f t="shared" si="24"/>
        <v>1106.9630000000002</v>
      </c>
      <c r="O541" s="25">
        <f t="shared" ca="1" si="25"/>
        <v>0</v>
      </c>
      <c r="P541" s="25">
        <f t="shared" ca="1" si="26"/>
        <v>0</v>
      </c>
    </row>
    <row r="542" spans="12:16" s="23" customFormat="1" ht="13.8">
      <c r="L542" s="33">
        <v>539</v>
      </c>
      <c r="M542" s="23">
        <f ca="1"/>
        <v>1346.5425679187588</v>
      </c>
      <c r="N542" s="25">
        <f t="shared" si="24"/>
        <v>1106.9630000000002</v>
      </c>
      <c r="O542" s="25">
        <f t="shared" ca="1" si="25"/>
        <v>0</v>
      </c>
      <c r="P542" s="25">
        <f t="shared" ca="1" si="26"/>
        <v>0</v>
      </c>
    </row>
    <row r="543" spans="12:16" s="23" customFormat="1" ht="13.8">
      <c r="L543" s="23">
        <v>540</v>
      </c>
      <c r="M543" s="23">
        <f ca="1"/>
        <v>1770.5650316973304</v>
      </c>
      <c r="N543" s="25">
        <f t="shared" si="24"/>
        <v>1106.9630000000002</v>
      </c>
      <c r="O543" s="25">
        <f t="shared" ca="1" si="25"/>
        <v>0</v>
      </c>
      <c r="P543" s="25">
        <f t="shared" ca="1" si="26"/>
        <v>0</v>
      </c>
    </row>
    <row r="544" spans="12:16" s="23" customFormat="1" ht="13.8">
      <c r="L544" s="33">
        <v>541</v>
      </c>
      <c r="M544" s="23">
        <f ca="1"/>
        <v>818.015529743711</v>
      </c>
      <c r="N544" s="25">
        <f t="shared" si="24"/>
        <v>1106.9630000000002</v>
      </c>
      <c r="O544" s="25">
        <f t="shared" ca="1" si="25"/>
        <v>1</v>
      </c>
      <c r="P544" s="25">
        <f t="shared" ca="1" si="26"/>
        <v>0.26102721613666324</v>
      </c>
    </row>
    <row r="545" spans="12:16" s="23" customFormat="1" ht="13.8">
      <c r="L545" s="23">
        <v>542</v>
      </c>
      <c r="M545" s="23">
        <f ca="1"/>
        <v>1265.4526043881783</v>
      </c>
      <c r="N545" s="25">
        <f t="shared" si="24"/>
        <v>1106.9630000000002</v>
      </c>
      <c r="O545" s="25">
        <f t="shared" ca="1" si="25"/>
        <v>0</v>
      </c>
      <c r="P545" s="25">
        <f t="shared" ca="1" si="26"/>
        <v>0</v>
      </c>
    </row>
    <row r="546" spans="12:16" s="23" customFormat="1" ht="13.8">
      <c r="L546" s="33">
        <v>543</v>
      </c>
      <c r="M546" s="23">
        <f ca="1"/>
        <v>1610.6084170080912</v>
      </c>
      <c r="N546" s="25">
        <f t="shared" si="24"/>
        <v>1106.9630000000002</v>
      </c>
      <c r="O546" s="25">
        <f t="shared" ca="1" si="25"/>
        <v>0</v>
      </c>
      <c r="P546" s="25">
        <f t="shared" ca="1" si="26"/>
        <v>0</v>
      </c>
    </row>
    <row r="547" spans="12:16" s="23" customFormat="1" ht="13.8">
      <c r="L547" s="23">
        <v>544</v>
      </c>
      <c r="M547" s="23">
        <f ca="1"/>
        <v>2189.4035204923939</v>
      </c>
      <c r="N547" s="25">
        <f t="shared" si="24"/>
        <v>1106.9630000000002</v>
      </c>
      <c r="O547" s="25">
        <f t="shared" ca="1" si="25"/>
        <v>0</v>
      </c>
      <c r="P547" s="25">
        <f t="shared" ca="1" si="26"/>
        <v>0</v>
      </c>
    </row>
    <row r="548" spans="12:16" s="23" customFormat="1" ht="13.8">
      <c r="L548" s="33">
        <v>545</v>
      </c>
      <c r="M548" s="23">
        <f ca="1"/>
        <v>1386.1414368345413</v>
      </c>
      <c r="N548" s="25">
        <f t="shared" si="24"/>
        <v>1106.9630000000002</v>
      </c>
      <c r="O548" s="25">
        <f t="shared" ca="1" si="25"/>
        <v>0</v>
      </c>
      <c r="P548" s="25">
        <f t="shared" ca="1" si="26"/>
        <v>0</v>
      </c>
    </row>
    <row r="549" spans="12:16" s="23" customFormat="1" ht="13.8">
      <c r="L549" s="23">
        <v>546</v>
      </c>
      <c r="M549" s="23">
        <f ca="1"/>
        <v>836.1865825609442</v>
      </c>
      <c r="N549" s="25">
        <f t="shared" si="24"/>
        <v>1106.9630000000002</v>
      </c>
      <c r="O549" s="25">
        <f t="shared" ca="1" si="25"/>
        <v>1</v>
      </c>
      <c r="P549" s="25">
        <f t="shared" ca="1" si="26"/>
        <v>0.24461198562106948</v>
      </c>
    </row>
    <row r="550" spans="12:16" s="23" customFormat="1" ht="13.8">
      <c r="L550" s="33">
        <v>547</v>
      </c>
      <c r="M550" s="23">
        <f ca="1"/>
        <v>1029.7850407471849</v>
      </c>
      <c r="N550" s="25">
        <f t="shared" si="24"/>
        <v>1106.9630000000002</v>
      </c>
      <c r="O550" s="25">
        <f t="shared" ca="1" si="25"/>
        <v>1</v>
      </c>
      <c r="P550" s="25">
        <f t="shared" ca="1" si="26"/>
        <v>6.9720450686080099E-2</v>
      </c>
    </row>
    <row r="551" spans="12:16" s="23" customFormat="1" ht="13.8">
      <c r="L551" s="23">
        <v>548</v>
      </c>
      <c r="M551" s="23">
        <f ca="1"/>
        <v>1761.6381355341944</v>
      </c>
      <c r="N551" s="25">
        <f t="shared" si="24"/>
        <v>1106.9630000000002</v>
      </c>
      <c r="O551" s="25">
        <f t="shared" ca="1" si="25"/>
        <v>0</v>
      </c>
      <c r="P551" s="25">
        <f t="shared" ca="1" si="26"/>
        <v>0</v>
      </c>
    </row>
    <row r="552" spans="12:16" s="23" customFormat="1" ht="13.8">
      <c r="L552" s="33">
        <v>549</v>
      </c>
      <c r="M552" s="23">
        <f ca="1"/>
        <v>2032.1845774344783</v>
      </c>
      <c r="N552" s="25">
        <f t="shared" si="24"/>
        <v>1106.9630000000002</v>
      </c>
      <c r="O552" s="25">
        <f t="shared" ca="1" si="25"/>
        <v>0</v>
      </c>
      <c r="P552" s="25">
        <f t="shared" ca="1" si="26"/>
        <v>0</v>
      </c>
    </row>
    <row r="553" spans="12:16" s="23" customFormat="1" ht="13.8">
      <c r="L553" s="23">
        <v>550</v>
      </c>
      <c r="M553" s="23">
        <f ca="1"/>
        <v>1823.153379469773</v>
      </c>
      <c r="N553" s="25">
        <f t="shared" si="24"/>
        <v>1106.9630000000002</v>
      </c>
      <c r="O553" s="25">
        <f t="shared" ca="1" si="25"/>
        <v>0</v>
      </c>
      <c r="P553" s="25">
        <f t="shared" ca="1" si="26"/>
        <v>0</v>
      </c>
    </row>
    <row r="554" spans="12:16" s="23" customFormat="1" ht="13.8">
      <c r="L554" s="33">
        <v>551</v>
      </c>
      <c r="M554" s="23">
        <f ca="1"/>
        <v>1481.8342476706398</v>
      </c>
      <c r="N554" s="25">
        <f t="shared" si="24"/>
        <v>1106.9630000000002</v>
      </c>
      <c r="O554" s="25">
        <f t="shared" ca="1" si="25"/>
        <v>0</v>
      </c>
      <c r="P554" s="25">
        <f t="shared" ca="1" si="26"/>
        <v>0</v>
      </c>
    </row>
    <row r="555" spans="12:16" s="23" customFormat="1" ht="13.8">
      <c r="L555" s="23">
        <v>552</v>
      </c>
      <c r="M555" s="23">
        <f ca="1"/>
        <v>1236.6715626608745</v>
      </c>
      <c r="N555" s="25">
        <f t="shared" si="24"/>
        <v>1106.9630000000002</v>
      </c>
      <c r="O555" s="25">
        <f t="shared" ca="1" si="25"/>
        <v>0</v>
      </c>
      <c r="P555" s="25">
        <f t="shared" ca="1" si="26"/>
        <v>0</v>
      </c>
    </row>
    <row r="556" spans="12:16" s="23" customFormat="1" ht="13.8">
      <c r="L556" s="33">
        <v>553</v>
      </c>
      <c r="M556" s="23">
        <f ca="1"/>
        <v>1377.5031076865948</v>
      </c>
      <c r="N556" s="25">
        <f t="shared" si="24"/>
        <v>1106.9630000000002</v>
      </c>
      <c r="O556" s="25">
        <f t="shared" ca="1" si="25"/>
        <v>0</v>
      </c>
      <c r="P556" s="25">
        <f t="shared" ca="1" si="26"/>
        <v>0</v>
      </c>
    </row>
    <row r="557" spans="12:16" s="23" customFormat="1" ht="13.8">
      <c r="L557" s="23">
        <v>554</v>
      </c>
      <c r="M557" s="23">
        <f ca="1"/>
        <v>1285.523196417922</v>
      </c>
      <c r="N557" s="25">
        <f t="shared" si="24"/>
        <v>1106.9630000000002</v>
      </c>
      <c r="O557" s="25">
        <f t="shared" ca="1" si="25"/>
        <v>0</v>
      </c>
      <c r="P557" s="25">
        <f t="shared" ca="1" si="26"/>
        <v>0</v>
      </c>
    </row>
    <row r="558" spans="12:16" s="23" customFormat="1" ht="13.8">
      <c r="L558" s="33">
        <v>555</v>
      </c>
      <c r="M558" s="23">
        <f ca="1"/>
        <v>2235.7011463162194</v>
      </c>
      <c r="N558" s="25">
        <f t="shared" si="24"/>
        <v>1106.9630000000002</v>
      </c>
      <c r="O558" s="25">
        <f t="shared" ca="1" si="25"/>
        <v>0</v>
      </c>
      <c r="P558" s="25">
        <f t="shared" ca="1" si="26"/>
        <v>0</v>
      </c>
    </row>
    <row r="559" spans="12:16" s="23" customFormat="1" ht="13.8">
      <c r="L559" s="23">
        <v>556</v>
      </c>
      <c r="M559" s="23">
        <f ca="1"/>
        <v>1459.3119846796894</v>
      </c>
      <c r="N559" s="25">
        <f t="shared" si="24"/>
        <v>1106.9630000000002</v>
      </c>
      <c r="O559" s="25">
        <f t="shared" ca="1" si="25"/>
        <v>0</v>
      </c>
      <c r="P559" s="25">
        <f t="shared" ca="1" si="26"/>
        <v>0</v>
      </c>
    </row>
    <row r="560" spans="12:16" s="23" customFormat="1" ht="13.8">
      <c r="L560" s="33">
        <v>557</v>
      </c>
      <c r="M560" s="23">
        <f ca="1"/>
        <v>1247.0097711274386</v>
      </c>
      <c r="N560" s="25">
        <f t="shared" si="24"/>
        <v>1106.9630000000002</v>
      </c>
      <c r="O560" s="25">
        <f t="shared" ca="1" si="25"/>
        <v>0</v>
      </c>
      <c r="P560" s="25">
        <f t="shared" ca="1" si="26"/>
        <v>0</v>
      </c>
    </row>
    <row r="561" spans="12:16" s="23" customFormat="1" ht="13.8">
      <c r="L561" s="23">
        <v>558</v>
      </c>
      <c r="M561" s="23">
        <f ca="1"/>
        <v>2733.7039969754442</v>
      </c>
      <c r="N561" s="25">
        <f t="shared" si="24"/>
        <v>1106.9630000000002</v>
      </c>
      <c r="O561" s="25">
        <f t="shared" ca="1" si="25"/>
        <v>0</v>
      </c>
      <c r="P561" s="25">
        <f t="shared" ca="1" si="26"/>
        <v>0</v>
      </c>
    </row>
    <row r="562" spans="12:16" s="23" customFormat="1" ht="13.8">
      <c r="L562" s="33">
        <v>559</v>
      </c>
      <c r="M562" s="23">
        <f ca="1"/>
        <v>1617.6407495191659</v>
      </c>
      <c r="N562" s="25">
        <f t="shared" si="24"/>
        <v>1106.9630000000002</v>
      </c>
      <c r="O562" s="25">
        <f t="shared" ca="1" si="25"/>
        <v>0</v>
      </c>
      <c r="P562" s="25">
        <f t="shared" ca="1" si="26"/>
        <v>0</v>
      </c>
    </row>
    <row r="563" spans="12:16" s="23" customFormat="1" ht="13.8">
      <c r="L563" s="23">
        <v>560</v>
      </c>
      <c r="M563" s="23">
        <f ca="1"/>
        <v>1355.3564757100939</v>
      </c>
      <c r="N563" s="25">
        <f t="shared" si="24"/>
        <v>1106.9630000000002</v>
      </c>
      <c r="O563" s="25">
        <f t="shared" ca="1" si="25"/>
        <v>0</v>
      </c>
      <c r="P563" s="25">
        <f t="shared" ca="1" si="26"/>
        <v>0</v>
      </c>
    </row>
    <row r="564" spans="12:16" s="23" customFormat="1" ht="13.8">
      <c r="L564" s="33">
        <v>561</v>
      </c>
      <c r="M564" s="23">
        <f ca="1"/>
        <v>832.46811371312685</v>
      </c>
      <c r="N564" s="25">
        <f t="shared" si="24"/>
        <v>1106.9630000000002</v>
      </c>
      <c r="O564" s="25">
        <f t="shared" ca="1" si="25"/>
        <v>1</v>
      </c>
      <c r="P564" s="25">
        <f t="shared" ca="1" si="26"/>
        <v>0.24797114834630724</v>
      </c>
    </row>
    <row r="565" spans="12:16" s="23" customFormat="1" ht="13.8">
      <c r="L565" s="23">
        <v>562</v>
      </c>
      <c r="M565" s="23">
        <f ca="1"/>
        <v>1488.177645066884</v>
      </c>
      <c r="N565" s="25">
        <f t="shared" si="24"/>
        <v>1106.9630000000002</v>
      </c>
      <c r="O565" s="25">
        <f t="shared" ca="1" si="25"/>
        <v>0</v>
      </c>
      <c r="P565" s="25">
        <f t="shared" ca="1" si="26"/>
        <v>0</v>
      </c>
    </row>
    <row r="566" spans="12:16" s="23" customFormat="1" ht="13.8">
      <c r="L566" s="33">
        <v>563</v>
      </c>
      <c r="M566" s="23">
        <f ca="1"/>
        <v>1555.5916931280256</v>
      </c>
      <c r="N566" s="25">
        <f t="shared" si="24"/>
        <v>1106.9630000000002</v>
      </c>
      <c r="O566" s="25">
        <f t="shared" ca="1" si="25"/>
        <v>0</v>
      </c>
      <c r="P566" s="25">
        <f t="shared" ca="1" si="26"/>
        <v>0</v>
      </c>
    </row>
    <row r="567" spans="12:16" s="23" customFormat="1" ht="13.8">
      <c r="L567" s="23">
        <v>564</v>
      </c>
      <c r="M567" s="23">
        <f ca="1"/>
        <v>2151.9996230050178</v>
      </c>
      <c r="N567" s="25">
        <f t="shared" si="24"/>
        <v>1106.9630000000002</v>
      </c>
      <c r="O567" s="25">
        <f t="shared" ca="1" si="25"/>
        <v>0</v>
      </c>
      <c r="P567" s="25">
        <f t="shared" ca="1" si="26"/>
        <v>0</v>
      </c>
    </row>
    <row r="568" spans="12:16" s="23" customFormat="1" ht="13.8">
      <c r="L568" s="33">
        <v>565</v>
      </c>
      <c r="M568" s="23">
        <f ca="1"/>
        <v>2059.5384317895123</v>
      </c>
      <c r="N568" s="25">
        <f t="shared" si="24"/>
        <v>1106.9630000000002</v>
      </c>
      <c r="O568" s="25">
        <f t="shared" ca="1" si="25"/>
        <v>0</v>
      </c>
      <c r="P568" s="25">
        <f t="shared" ca="1" si="26"/>
        <v>0</v>
      </c>
    </row>
    <row r="569" spans="12:16" s="23" customFormat="1" ht="13.8">
      <c r="L569" s="23">
        <v>566</v>
      </c>
      <c r="M569" s="23">
        <f ca="1"/>
        <v>1965.2360533741798</v>
      </c>
      <c r="N569" s="25">
        <f t="shared" si="24"/>
        <v>1106.9630000000002</v>
      </c>
      <c r="O569" s="25">
        <f t="shared" ca="1" si="25"/>
        <v>0</v>
      </c>
      <c r="P569" s="25">
        <f t="shared" ca="1" si="26"/>
        <v>0</v>
      </c>
    </row>
    <row r="570" spans="12:16" s="23" customFormat="1" ht="13.8">
      <c r="L570" s="33">
        <v>567</v>
      </c>
      <c r="M570" s="23">
        <f ca="1"/>
        <v>870.92429302263918</v>
      </c>
      <c r="N570" s="25">
        <f t="shared" si="24"/>
        <v>1106.9630000000002</v>
      </c>
      <c r="O570" s="25">
        <f t="shared" ca="1" si="25"/>
        <v>1</v>
      </c>
      <c r="P570" s="25">
        <f t="shared" ca="1" si="26"/>
        <v>0.21323089116561347</v>
      </c>
    </row>
    <row r="571" spans="12:16" s="23" customFormat="1" ht="13.8">
      <c r="L571" s="23">
        <v>568</v>
      </c>
      <c r="M571" s="23">
        <f ca="1"/>
        <v>1216.9597509986834</v>
      </c>
      <c r="N571" s="25">
        <f t="shared" si="24"/>
        <v>1106.9630000000002</v>
      </c>
      <c r="O571" s="25">
        <f t="shared" ca="1" si="25"/>
        <v>0</v>
      </c>
      <c r="P571" s="25">
        <f t="shared" ca="1" si="26"/>
        <v>0</v>
      </c>
    </row>
    <row r="572" spans="12:16" s="23" customFormat="1" ht="13.8">
      <c r="L572" s="33">
        <v>569</v>
      </c>
      <c r="M572" s="23">
        <f ca="1"/>
        <v>1860.3612776253085</v>
      </c>
      <c r="N572" s="25">
        <f t="shared" si="24"/>
        <v>1106.9630000000002</v>
      </c>
      <c r="O572" s="25">
        <f t="shared" ca="1" si="25"/>
        <v>0</v>
      </c>
      <c r="P572" s="25">
        <f t="shared" ca="1" si="26"/>
        <v>0</v>
      </c>
    </row>
    <row r="573" spans="12:16" s="23" customFormat="1" ht="13.8">
      <c r="L573" s="23">
        <v>570</v>
      </c>
      <c r="M573" s="23">
        <f ca="1"/>
        <v>1837.7170859264425</v>
      </c>
      <c r="N573" s="25">
        <f t="shared" si="24"/>
        <v>1106.9630000000002</v>
      </c>
      <c r="O573" s="25">
        <f t="shared" ca="1" si="25"/>
        <v>0</v>
      </c>
      <c r="P573" s="25">
        <f t="shared" ca="1" si="26"/>
        <v>0</v>
      </c>
    </row>
    <row r="574" spans="12:16" s="23" customFormat="1" ht="13.8">
      <c r="L574" s="33">
        <v>571</v>
      </c>
      <c r="M574" s="23">
        <f ca="1"/>
        <v>1146.3172826361263</v>
      </c>
      <c r="N574" s="25">
        <f t="shared" si="24"/>
        <v>1106.9630000000002</v>
      </c>
      <c r="O574" s="25">
        <f t="shared" ca="1" si="25"/>
        <v>0</v>
      </c>
      <c r="P574" s="25">
        <f t="shared" ca="1" si="26"/>
        <v>0</v>
      </c>
    </row>
    <row r="575" spans="12:16" s="23" customFormat="1" ht="13.8">
      <c r="L575" s="23">
        <v>572</v>
      </c>
      <c r="M575" s="23">
        <f ca="1"/>
        <v>1426.6919143097502</v>
      </c>
      <c r="N575" s="25">
        <f t="shared" si="24"/>
        <v>1106.9630000000002</v>
      </c>
      <c r="O575" s="25">
        <f t="shared" ca="1" si="25"/>
        <v>0</v>
      </c>
      <c r="P575" s="25">
        <f t="shared" ca="1" si="26"/>
        <v>0</v>
      </c>
    </row>
    <row r="576" spans="12:16" s="23" customFormat="1" ht="13.8">
      <c r="L576" s="33">
        <v>573</v>
      </c>
      <c r="M576" s="23">
        <f ca="1"/>
        <v>1955.0608051625961</v>
      </c>
      <c r="N576" s="25">
        <f t="shared" si="24"/>
        <v>1106.9630000000002</v>
      </c>
      <c r="O576" s="25">
        <f t="shared" ca="1" si="25"/>
        <v>0</v>
      </c>
      <c r="P576" s="25">
        <f t="shared" ca="1" si="26"/>
        <v>0</v>
      </c>
    </row>
    <row r="577" spans="12:16" s="23" customFormat="1" ht="13.8">
      <c r="L577" s="23">
        <v>574</v>
      </c>
      <c r="M577" s="23">
        <f ca="1"/>
        <v>1644.4710142614997</v>
      </c>
      <c r="N577" s="25">
        <f t="shared" si="24"/>
        <v>1106.9630000000002</v>
      </c>
      <c r="O577" s="25">
        <f t="shared" ca="1" si="25"/>
        <v>0</v>
      </c>
      <c r="P577" s="25">
        <f t="shared" ca="1" si="26"/>
        <v>0</v>
      </c>
    </row>
    <row r="578" spans="12:16" s="23" customFormat="1" ht="13.8">
      <c r="L578" s="33">
        <v>575</v>
      </c>
      <c r="M578" s="23">
        <f ca="1"/>
        <v>2126.3750939545284</v>
      </c>
      <c r="N578" s="25">
        <f t="shared" si="24"/>
        <v>1106.9630000000002</v>
      </c>
      <c r="O578" s="25">
        <f t="shared" ca="1" si="25"/>
        <v>0</v>
      </c>
      <c r="P578" s="25">
        <f t="shared" ca="1" si="26"/>
        <v>0</v>
      </c>
    </row>
    <row r="579" spans="12:16" s="23" customFormat="1" ht="13.8">
      <c r="L579" s="23">
        <v>576</v>
      </c>
      <c r="M579" s="23">
        <f ca="1"/>
        <v>1276.4252728655404</v>
      </c>
      <c r="N579" s="25">
        <f t="shared" si="24"/>
        <v>1106.9630000000002</v>
      </c>
      <c r="O579" s="25">
        <f t="shared" ca="1" si="25"/>
        <v>0</v>
      </c>
      <c r="P579" s="25">
        <f t="shared" ca="1" si="26"/>
        <v>0</v>
      </c>
    </row>
    <row r="580" spans="12:16" s="23" customFormat="1" ht="13.8">
      <c r="L580" s="33">
        <v>577</v>
      </c>
      <c r="M580" s="23">
        <f ca="1"/>
        <v>1569.4590676683586</v>
      </c>
      <c r="N580" s="25">
        <f t="shared" ref="N580:N643" si="27">($C$21+$E$21)*1.1</f>
        <v>1106.9630000000002</v>
      </c>
      <c r="O580" s="25">
        <f t="shared" ca="1" si="25"/>
        <v>0</v>
      </c>
      <c r="P580" s="25">
        <f t="shared" ca="1" si="26"/>
        <v>0</v>
      </c>
    </row>
    <row r="581" spans="12:16" s="23" customFormat="1" ht="13.8">
      <c r="L581" s="23">
        <v>578</v>
      </c>
      <c r="M581" s="23">
        <f ca="1"/>
        <v>1245.0006199859527</v>
      </c>
      <c r="N581" s="25">
        <f t="shared" si="27"/>
        <v>1106.9630000000002</v>
      </c>
      <c r="O581" s="25">
        <f t="shared" ref="O581:O644" ca="1" si="28">IF(M581&lt;N581,1,0)</f>
        <v>0</v>
      </c>
      <c r="P581" s="25">
        <f t="shared" ref="P581:P644" ca="1" si="29">MAX((N581-M581)/N581,0)</f>
        <v>0</v>
      </c>
    </row>
    <row r="582" spans="12:16" s="23" customFormat="1" ht="13.8">
      <c r="L582" s="33">
        <v>579</v>
      </c>
      <c r="M582" s="23">
        <f ca="1"/>
        <v>2179.7091654114847</v>
      </c>
      <c r="N582" s="25">
        <f t="shared" si="27"/>
        <v>1106.9630000000002</v>
      </c>
      <c r="O582" s="25">
        <f t="shared" ca="1" si="28"/>
        <v>0</v>
      </c>
      <c r="P582" s="25">
        <f t="shared" ca="1" si="29"/>
        <v>0</v>
      </c>
    </row>
    <row r="583" spans="12:16" s="23" customFormat="1" ht="13.8">
      <c r="L583" s="23">
        <v>580</v>
      </c>
      <c r="M583" s="23">
        <f ca="1"/>
        <v>1825.3555912434394</v>
      </c>
      <c r="N583" s="25">
        <f t="shared" si="27"/>
        <v>1106.9630000000002</v>
      </c>
      <c r="O583" s="25">
        <f t="shared" ca="1" si="28"/>
        <v>0</v>
      </c>
      <c r="P583" s="25">
        <f t="shared" ca="1" si="29"/>
        <v>0</v>
      </c>
    </row>
    <row r="584" spans="12:16" s="23" customFormat="1" ht="13.8">
      <c r="L584" s="33">
        <v>581</v>
      </c>
      <c r="M584" s="23">
        <f ca="1"/>
        <v>2184.1363692264667</v>
      </c>
      <c r="N584" s="25">
        <f t="shared" si="27"/>
        <v>1106.9630000000002</v>
      </c>
      <c r="O584" s="25">
        <f t="shared" ca="1" si="28"/>
        <v>0</v>
      </c>
      <c r="P584" s="25">
        <f t="shared" ca="1" si="29"/>
        <v>0</v>
      </c>
    </row>
    <row r="585" spans="12:16" s="23" customFormat="1" ht="13.8">
      <c r="L585" s="23">
        <v>582</v>
      </c>
      <c r="M585" s="23">
        <f ca="1"/>
        <v>1378.0811603623806</v>
      </c>
      <c r="N585" s="25">
        <f t="shared" si="27"/>
        <v>1106.9630000000002</v>
      </c>
      <c r="O585" s="25">
        <f t="shared" ca="1" si="28"/>
        <v>0</v>
      </c>
      <c r="P585" s="25">
        <f t="shared" ca="1" si="29"/>
        <v>0</v>
      </c>
    </row>
    <row r="586" spans="12:16" s="23" customFormat="1" ht="13.8">
      <c r="L586" s="33">
        <v>583</v>
      </c>
      <c r="M586" s="23">
        <f ca="1"/>
        <v>1221.3818530958297</v>
      </c>
      <c r="N586" s="25">
        <f t="shared" si="27"/>
        <v>1106.9630000000002</v>
      </c>
      <c r="O586" s="25">
        <f t="shared" ca="1" si="28"/>
        <v>0</v>
      </c>
      <c r="P586" s="25">
        <f t="shared" ca="1" si="29"/>
        <v>0</v>
      </c>
    </row>
    <row r="587" spans="12:16" s="23" customFormat="1" ht="13.8">
      <c r="L587" s="23">
        <v>584</v>
      </c>
      <c r="M587" s="23">
        <f ca="1"/>
        <v>2303.6103093301408</v>
      </c>
      <c r="N587" s="25">
        <f t="shared" si="27"/>
        <v>1106.9630000000002</v>
      </c>
      <c r="O587" s="25">
        <f t="shared" ca="1" si="28"/>
        <v>0</v>
      </c>
      <c r="P587" s="25">
        <f t="shared" ca="1" si="29"/>
        <v>0</v>
      </c>
    </row>
    <row r="588" spans="12:16" s="23" customFormat="1" ht="13.8">
      <c r="L588" s="33">
        <v>585</v>
      </c>
      <c r="M588" s="23">
        <f ca="1"/>
        <v>1131.2712276046459</v>
      </c>
      <c r="N588" s="25">
        <f t="shared" si="27"/>
        <v>1106.9630000000002</v>
      </c>
      <c r="O588" s="25">
        <f t="shared" ca="1" si="28"/>
        <v>0</v>
      </c>
      <c r="P588" s="25">
        <f t="shared" ca="1" si="29"/>
        <v>0</v>
      </c>
    </row>
    <row r="589" spans="12:16" s="23" customFormat="1" ht="13.8">
      <c r="L589" s="23">
        <v>586</v>
      </c>
      <c r="M589" s="23">
        <f ca="1"/>
        <v>652.70062329373184</v>
      </c>
      <c r="N589" s="25">
        <f t="shared" si="27"/>
        <v>1106.9630000000002</v>
      </c>
      <c r="O589" s="25">
        <f t="shared" ca="1" si="28"/>
        <v>1</v>
      </c>
      <c r="P589" s="25">
        <f t="shared" ca="1" si="29"/>
        <v>0.41036816651167951</v>
      </c>
    </row>
    <row r="590" spans="12:16" s="23" customFormat="1" ht="13.8">
      <c r="L590" s="33">
        <v>587</v>
      </c>
      <c r="M590" s="23">
        <f ca="1"/>
        <v>1468.8449106325902</v>
      </c>
      <c r="N590" s="25">
        <f t="shared" si="27"/>
        <v>1106.9630000000002</v>
      </c>
      <c r="O590" s="25">
        <f t="shared" ca="1" si="28"/>
        <v>0</v>
      </c>
      <c r="P590" s="25">
        <f t="shared" ca="1" si="29"/>
        <v>0</v>
      </c>
    </row>
    <row r="591" spans="12:16" s="23" customFormat="1" ht="13.8">
      <c r="L591" s="23">
        <v>588</v>
      </c>
      <c r="M591" s="23">
        <f ca="1"/>
        <v>2043.0506800921642</v>
      </c>
      <c r="N591" s="25">
        <f t="shared" si="27"/>
        <v>1106.9630000000002</v>
      </c>
      <c r="O591" s="25">
        <f t="shared" ca="1" si="28"/>
        <v>0</v>
      </c>
      <c r="P591" s="25">
        <f t="shared" ca="1" si="29"/>
        <v>0</v>
      </c>
    </row>
    <row r="592" spans="12:16" s="23" customFormat="1" ht="13.8">
      <c r="L592" s="33">
        <v>589</v>
      </c>
      <c r="M592" s="23">
        <f ca="1"/>
        <v>748.73214199475797</v>
      </c>
      <c r="N592" s="25">
        <f t="shared" si="27"/>
        <v>1106.9630000000002</v>
      </c>
      <c r="O592" s="25">
        <f t="shared" ca="1" si="28"/>
        <v>1</v>
      </c>
      <c r="P592" s="25">
        <f t="shared" ca="1" si="29"/>
        <v>0.32361592754702928</v>
      </c>
    </row>
    <row r="593" spans="12:16" s="23" customFormat="1" ht="13.8">
      <c r="L593" s="23">
        <v>590</v>
      </c>
      <c r="M593" s="23">
        <f ca="1"/>
        <v>1414.5436675763044</v>
      </c>
      <c r="N593" s="25">
        <f t="shared" si="27"/>
        <v>1106.9630000000002</v>
      </c>
      <c r="O593" s="25">
        <f t="shared" ca="1" si="28"/>
        <v>0</v>
      </c>
      <c r="P593" s="25">
        <f t="shared" ca="1" si="29"/>
        <v>0</v>
      </c>
    </row>
    <row r="594" spans="12:16" s="23" customFormat="1" ht="13.8">
      <c r="L594" s="33">
        <v>591</v>
      </c>
      <c r="M594" s="23">
        <f ca="1"/>
        <v>1017.628434309559</v>
      </c>
      <c r="N594" s="25">
        <f t="shared" si="27"/>
        <v>1106.9630000000002</v>
      </c>
      <c r="O594" s="25">
        <f t="shared" ca="1" si="28"/>
        <v>1</v>
      </c>
      <c r="P594" s="25">
        <f t="shared" ca="1" si="29"/>
        <v>8.0702395374046998E-2</v>
      </c>
    </row>
    <row r="595" spans="12:16" s="23" customFormat="1" ht="13.8">
      <c r="L595" s="23">
        <v>592</v>
      </c>
      <c r="M595" s="23">
        <f ca="1"/>
        <v>1026.1943608832451</v>
      </c>
      <c r="N595" s="25">
        <f t="shared" si="27"/>
        <v>1106.9630000000002</v>
      </c>
      <c r="O595" s="25">
        <f t="shared" ca="1" si="28"/>
        <v>1</v>
      </c>
      <c r="P595" s="25">
        <f t="shared" ca="1" si="29"/>
        <v>7.2964172349712794E-2</v>
      </c>
    </row>
    <row r="596" spans="12:16" s="23" customFormat="1" ht="13.8">
      <c r="L596" s="33">
        <v>593</v>
      </c>
      <c r="M596" s="23">
        <f ca="1"/>
        <v>1446.3711945073394</v>
      </c>
      <c r="N596" s="25">
        <f t="shared" si="27"/>
        <v>1106.9630000000002</v>
      </c>
      <c r="O596" s="25">
        <f t="shared" ca="1" si="28"/>
        <v>0</v>
      </c>
      <c r="P596" s="25">
        <f t="shared" ca="1" si="29"/>
        <v>0</v>
      </c>
    </row>
    <row r="597" spans="12:16" s="23" customFormat="1" ht="13.8">
      <c r="L597" s="23">
        <v>594</v>
      </c>
      <c r="M597" s="23">
        <f ca="1"/>
        <v>1107.5186753162454</v>
      </c>
      <c r="N597" s="25">
        <f t="shared" si="27"/>
        <v>1106.9630000000002</v>
      </c>
      <c r="O597" s="25">
        <f t="shared" ca="1" si="28"/>
        <v>0</v>
      </c>
      <c r="P597" s="25">
        <f t="shared" ca="1" si="29"/>
        <v>0</v>
      </c>
    </row>
    <row r="598" spans="12:16" s="23" customFormat="1" ht="13.8">
      <c r="L598" s="33">
        <v>595</v>
      </c>
      <c r="M598" s="23">
        <f ca="1"/>
        <v>1112.0426321811453</v>
      </c>
      <c r="N598" s="25">
        <f t="shared" si="27"/>
        <v>1106.9630000000002</v>
      </c>
      <c r="O598" s="25">
        <f t="shared" ca="1" si="28"/>
        <v>0</v>
      </c>
      <c r="P598" s="25">
        <f t="shared" ca="1" si="29"/>
        <v>0</v>
      </c>
    </row>
    <row r="599" spans="12:16" s="23" customFormat="1" ht="13.8">
      <c r="L599" s="23">
        <v>596</v>
      </c>
      <c r="M599" s="23">
        <f ca="1"/>
        <v>1941.2226022701952</v>
      </c>
      <c r="N599" s="25">
        <f t="shared" si="27"/>
        <v>1106.9630000000002</v>
      </c>
      <c r="O599" s="25">
        <f t="shared" ca="1" si="28"/>
        <v>0</v>
      </c>
      <c r="P599" s="25">
        <f t="shared" ca="1" si="29"/>
        <v>0</v>
      </c>
    </row>
    <row r="600" spans="12:16" s="23" customFormat="1" ht="13.8">
      <c r="L600" s="33">
        <v>597</v>
      </c>
      <c r="M600" s="23">
        <f ca="1"/>
        <v>1763.6348294087213</v>
      </c>
      <c r="N600" s="25">
        <f t="shared" si="27"/>
        <v>1106.9630000000002</v>
      </c>
      <c r="O600" s="25">
        <f t="shared" ca="1" si="28"/>
        <v>0</v>
      </c>
      <c r="P600" s="25">
        <f t="shared" ca="1" si="29"/>
        <v>0</v>
      </c>
    </row>
    <row r="601" spans="12:16" s="23" customFormat="1" ht="13.8">
      <c r="L601" s="23">
        <v>598</v>
      </c>
      <c r="M601" s="23">
        <f ca="1"/>
        <v>1378.2578190228678</v>
      </c>
      <c r="N601" s="25">
        <f t="shared" si="27"/>
        <v>1106.9630000000002</v>
      </c>
      <c r="O601" s="25">
        <f t="shared" ca="1" si="28"/>
        <v>0</v>
      </c>
      <c r="P601" s="25">
        <f t="shared" ca="1" si="29"/>
        <v>0</v>
      </c>
    </row>
    <row r="602" spans="12:16" s="23" customFormat="1" ht="13.8">
      <c r="L602" s="33">
        <v>599</v>
      </c>
      <c r="M602" s="23">
        <f ca="1"/>
        <v>1550.8667965438447</v>
      </c>
      <c r="N602" s="25">
        <f t="shared" si="27"/>
        <v>1106.9630000000002</v>
      </c>
      <c r="O602" s="25">
        <f t="shared" ca="1" si="28"/>
        <v>0</v>
      </c>
      <c r="P602" s="25">
        <f t="shared" ca="1" si="29"/>
        <v>0</v>
      </c>
    </row>
    <row r="603" spans="12:16" s="23" customFormat="1" ht="13.8">
      <c r="L603" s="23">
        <v>600</v>
      </c>
      <c r="M603" s="23">
        <f ca="1"/>
        <v>1623.8846582809199</v>
      </c>
      <c r="N603" s="25">
        <f t="shared" si="27"/>
        <v>1106.9630000000002</v>
      </c>
      <c r="O603" s="25">
        <f t="shared" ca="1" si="28"/>
        <v>0</v>
      </c>
      <c r="P603" s="25">
        <f t="shared" ca="1" si="29"/>
        <v>0</v>
      </c>
    </row>
    <row r="604" spans="12:16" s="23" customFormat="1" ht="13.8">
      <c r="L604" s="33">
        <v>601</v>
      </c>
      <c r="M604" s="23">
        <f ca="1"/>
        <v>1705.7308895945519</v>
      </c>
      <c r="N604" s="25">
        <f t="shared" si="27"/>
        <v>1106.9630000000002</v>
      </c>
      <c r="O604" s="25">
        <f t="shared" ca="1" si="28"/>
        <v>0</v>
      </c>
      <c r="P604" s="25">
        <f t="shared" ca="1" si="29"/>
        <v>0</v>
      </c>
    </row>
    <row r="605" spans="12:16" s="23" customFormat="1" ht="13.8">
      <c r="L605" s="23">
        <v>602</v>
      </c>
      <c r="M605" s="23">
        <f ca="1"/>
        <v>1797.2554216049964</v>
      </c>
      <c r="N605" s="25">
        <f t="shared" si="27"/>
        <v>1106.9630000000002</v>
      </c>
      <c r="O605" s="25">
        <f t="shared" ca="1" si="28"/>
        <v>0</v>
      </c>
      <c r="P605" s="25">
        <f t="shared" ca="1" si="29"/>
        <v>0</v>
      </c>
    </row>
    <row r="606" spans="12:16" s="23" customFormat="1" ht="13.8">
      <c r="L606" s="33">
        <v>603</v>
      </c>
      <c r="M606" s="23">
        <f ca="1"/>
        <v>1042.3755979150187</v>
      </c>
      <c r="N606" s="25">
        <f t="shared" si="27"/>
        <v>1106.9630000000002</v>
      </c>
      <c r="O606" s="25">
        <f t="shared" ca="1" si="28"/>
        <v>1</v>
      </c>
      <c r="P606" s="25">
        <f t="shared" ca="1" si="29"/>
        <v>5.8346486815712417E-2</v>
      </c>
    </row>
    <row r="607" spans="12:16" s="23" customFormat="1" ht="13.8">
      <c r="L607" s="23">
        <v>604</v>
      </c>
      <c r="M607" s="23">
        <f ca="1"/>
        <v>1892.8884197724133</v>
      </c>
      <c r="N607" s="25">
        <f t="shared" si="27"/>
        <v>1106.9630000000002</v>
      </c>
      <c r="O607" s="25">
        <f t="shared" ca="1" si="28"/>
        <v>0</v>
      </c>
      <c r="P607" s="25">
        <f t="shared" ca="1" si="29"/>
        <v>0</v>
      </c>
    </row>
    <row r="608" spans="12:16" s="23" customFormat="1" ht="13.8">
      <c r="L608" s="33">
        <v>605</v>
      </c>
      <c r="M608" s="23">
        <f ca="1"/>
        <v>1134.8228660764632</v>
      </c>
      <c r="N608" s="25">
        <f t="shared" si="27"/>
        <v>1106.9630000000002</v>
      </c>
      <c r="O608" s="25">
        <f t="shared" ca="1" si="28"/>
        <v>0</v>
      </c>
      <c r="P608" s="25">
        <f t="shared" ca="1" si="29"/>
        <v>0</v>
      </c>
    </row>
    <row r="609" spans="12:16" s="23" customFormat="1" ht="13.8">
      <c r="L609" s="23">
        <v>606</v>
      </c>
      <c r="M609" s="23">
        <f ca="1"/>
        <v>1814.3591949353677</v>
      </c>
      <c r="N609" s="25">
        <f t="shared" si="27"/>
        <v>1106.9630000000002</v>
      </c>
      <c r="O609" s="25">
        <f t="shared" ca="1" si="28"/>
        <v>0</v>
      </c>
      <c r="P609" s="25">
        <f t="shared" ca="1" si="29"/>
        <v>0</v>
      </c>
    </row>
    <row r="610" spans="12:16" s="23" customFormat="1" ht="13.8">
      <c r="L610" s="33">
        <v>607</v>
      </c>
      <c r="M610" s="23">
        <f ca="1"/>
        <v>1623.1666707600486</v>
      </c>
      <c r="N610" s="25">
        <f t="shared" si="27"/>
        <v>1106.9630000000002</v>
      </c>
      <c r="O610" s="25">
        <f t="shared" ca="1" si="28"/>
        <v>0</v>
      </c>
      <c r="P610" s="25">
        <f t="shared" ca="1" si="29"/>
        <v>0</v>
      </c>
    </row>
    <row r="611" spans="12:16" s="23" customFormat="1" ht="13.8">
      <c r="L611" s="23">
        <v>608</v>
      </c>
      <c r="M611" s="23">
        <f ca="1"/>
        <v>1387.0240968030446</v>
      </c>
      <c r="N611" s="25">
        <f t="shared" si="27"/>
        <v>1106.9630000000002</v>
      </c>
      <c r="O611" s="25">
        <f t="shared" ca="1" si="28"/>
        <v>0</v>
      </c>
      <c r="P611" s="25">
        <f t="shared" ca="1" si="29"/>
        <v>0</v>
      </c>
    </row>
    <row r="612" spans="12:16" s="23" customFormat="1" ht="13.8">
      <c r="L612" s="33">
        <v>609</v>
      </c>
      <c r="M612" s="23">
        <f ca="1"/>
        <v>1031.9261961672432</v>
      </c>
      <c r="N612" s="25">
        <f t="shared" si="27"/>
        <v>1106.9630000000002</v>
      </c>
      <c r="O612" s="25">
        <f t="shared" ca="1" si="28"/>
        <v>1</v>
      </c>
      <c r="P612" s="25">
        <f t="shared" ca="1" si="29"/>
        <v>6.7786189631231522E-2</v>
      </c>
    </row>
    <row r="613" spans="12:16" s="23" customFormat="1" ht="13.8">
      <c r="L613" s="23">
        <v>610</v>
      </c>
      <c r="M613" s="23">
        <f ca="1"/>
        <v>872.83260618423992</v>
      </c>
      <c r="N613" s="25">
        <f t="shared" si="27"/>
        <v>1106.9630000000002</v>
      </c>
      <c r="O613" s="25">
        <f t="shared" ca="1" si="28"/>
        <v>1</v>
      </c>
      <c r="P613" s="25">
        <f t="shared" ca="1" si="29"/>
        <v>0.21150697341804581</v>
      </c>
    </row>
    <row r="614" spans="12:16" s="23" customFormat="1" ht="13.8">
      <c r="L614" s="33">
        <v>611</v>
      </c>
      <c r="M614" s="23">
        <f ca="1"/>
        <v>1897.4357170798571</v>
      </c>
      <c r="N614" s="25">
        <f t="shared" si="27"/>
        <v>1106.9630000000002</v>
      </c>
      <c r="O614" s="25">
        <f t="shared" ca="1" si="28"/>
        <v>0</v>
      </c>
      <c r="P614" s="25">
        <f t="shared" ca="1" si="29"/>
        <v>0</v>
      </c>
    </row>
    <row r="615" spans="12:16" s="23" customFormat="1" ht="13.8">
      <c r="L615" s="23">
        <v>612</v>
      </c>
      <c r="M615" s="23">
        <f ca="1"/>
        <v>1045.0323074028715</v>
      </c>
      <c r="N615" s="25">
        <f t="shared" si="27"/>
        <v>1106.9630000000002</v>
      </c>
      <c r="O615" s="25">
        <f t="shared" ca="1" si="28"/>
        <v>1</v>
      </c>
      <c r="P615" s="25">
        <f t="shared" ca="1" si="29"/>
        <v>5.5946488362419201E-2</v>
      </c>
    </row>
    <row r="616" spans="12:16" s="23" customFormat="1" ht="13.8">
      <c r="L616" s="33">
        <v>613</v>
      </c>
      <c r="M616" s="23">
        <f ca="1"/>
        <v>1396.5064466807701</v>
      </c>
      <c r="N616" s="25">
        <f t="shared" si="27"/>
        <v>1106.9630000000002</v>
      </c>
      <c r="O616" s="25">
        <f t="shared" ca="1" si="28"/>
        <v>0</v>
      </c>
      <c r="P616" s="25">
        <f t="shared" ca="1" si="29"/>
        <v>0</v>
      </c>
    </row>
    <row r="617" spans="12:16" s="23" customFormat="1" ht="13.8">
      <c r="L617" s="23">
        <v>614</v>
      </c>
      <c r="M617" s="23">
        <f ca="1"/>
        <v>2207.9402978458088</v>
      </c>
      <c r="N617" s="25">
        <f t="shared" si="27"/>
        <v>1106.9630000000002</v>
      </c>
      <c r="O617" s="25">
        <f t="shared" ca="1" si="28"/>
        <v>0</v>
      </c>
      <c r="P617" s="25">
        <f t="shared" ca="1" si="29"/>
        <v>0</v>
      </c>
    </row>
    <row r="618" spans="12:16" s="23" customFormat="1" ht="13.8">
      <c r="L618" s="33">
        <v>615</v>
      </c>
      <c r="M618" s="23">
        <f ca="1"/>
        <v>1963.7672095713954</v>
      </c>
      <c r="N618" s="25">
        <f t="shared" si="27"/>
        <v>1106.9630000000002</v>
      </c>
      <c r="O618" s="25">
        <f t="shared" ca="1" si="28"/>
        <v>0</v>
      </c>
      <c r="P618" s="25">
        <f t="shared" ca="1" si="29"/>
        <v>0</v>
      </c>
    </row>
    <row r="619" spans="12:16" s="23" customFormat="1" ht="13.8">
      <c r="L619" s="23">
        <v>616</v>
      </c>
      <c r="M619" s="23">
        <f ca="1"/>
        <v>1121.8611718667353</v>
      </c>
      <c r="N619" s="25">
        <f t="shared" si="27"/>
        <v>1106.9630000000002</v>
      </c>
      <c r="O619" s="25">
        <f t="shared" ca="1" si="28"/>
        <v>0</v>
      </c>
      <c r="P619" s="25">
        <f t="shared" ca="1" si="29"/>
        <v>0</v>
      </c>
    </row>
    <row r="620" spans="12:16" s="23" customFormat="1" ht="13.8">
      <c r="L620" s="33">
        <v>617</v>
      </c>
      <c r="M620" s="23">
        <f ca="1"/>
        <v>1616.8110135051918</v>
      </c>
      <c r="N620" s="25">
        <f t="shared" si="27"/>
        <v>1106.9630000000002</v>
      </c>
      <c r="O620" s="25">
        <f t="shared" ca="1" si="28"/>
        <v>0</v>
      </c>
      <c r="P620" s="25">
        <f t="shared" ca="1" si="29"/>
        <v>0</v>
      </c>
    </row>
    <row r="621" spans="12:16" s="23" customFormat="1" ht="13.8">
      <c r="L621" s="23">
        <v>618</v>
      </c>
      <c r="M621" s="23">
        <f ca="1"/>
        <v>2493.4400820149394</v>
      </c>
      <c r="N621" s="25">
        <f t="shared" si="27"/>
        <v>1106.9630000000002</v>
      </c>
      <c r="O621" s="25">
        <f t="shared" ca="1" si="28"/>
        <v>0</v>
      </c>
      <c r="P621" s="25">
        <f t="shared" ca="1" si="29"/>
        <v>0</v>
      </c>
    </row>
    <row r="622" spans="12:16" s="23" customFormat="1" ht="13.8">
      <c r="L622" s="33">
        <v>619</v>
      </c>
      <c r="M622" s="23">
        <f ca="1"/>
        <v>800.00903466185139</v>
      </c>
      <c r="N622" s="25">
        <f t="shared" si="27"/>
        <v>1106.9630000000002</v>
      </c>
      <c r="O622" s="25">
        <f t="shared" ca="1" si="28"/>
        <v>1</v>
      </c>
      <c r="P622" s="25">
        <f t="shared" ca="1" si="29"/>
        <v>0.27729378970945617</v>
      </c>
    </row>
    <row r="623" spans="12:16" s="23" customFormat="1" ht="13.8">
      <c r="L623" s="23">
        <v>620</v>
      </c>
      <c r="M623" s="23">
        <f ca="1"/>
        <v>1288.8403510017083</v>
      </c>
      <c r="N623" s="25">
        <f t="shared" si="27"/>
        <v>1106.9630000000002</v>
      </c>
      <c r="O623" s="25">
        <f t="shared" ca="1" si="28"/>
        <v>0</v>
      </c>
      <c r="P623" s="25">
        <f t="shared" ca="1" si="29"/>
        <v>0</v>
      </c>
    </row>
    <row r="624" spans="12:16" s="23" customFormat="1" ht="13.8">
      <c r="L624" s="33">
        <v>621</v>
      </c>
      <c r="M624" s="23">
        <f ca="1"/>
        <v>893.15873714187671</v>
      </c>
      <c r="N624" s="25">
        <f t="shared" si="27"/>
        <v>1106.9630000000002</v>
      </c>
      <c r="O624" s="25">
        <f t="shared" ca="1" si="28"/>
        <v>1</v>
      </c>
      <c r="P624" s="25">
        <f t="shared" ca="1" si="29"/>
        <v>0.19314490444407215</v>
      </c>
    </row>
    <row r="625" spans="12:16" s="23" customFormat="1" ht="13.8">
      <c r="L625" s="23">
        <v>622</v>
      </c>
      <c r="M625" s="23">
        <f ca="1"/>
        <v>1546.5293332656827</v>
      </c>
      <c r="N625" s="25">
        <f t="shared" si="27"/>
        <v>1106.9630000000002</v>
      </c>
      <c r="O625" s="25">
        <f t="shared" ca="1" si="28"/>
        <v>0</v>
      </c>
      <c r="P625" s="25">
        <f t="shared" ca="1" si="29"/>
        <v>0</v>
      </c>
    </row>
    <row r="626" spans="12:16" s="23" customFormat="1" ht="13.8">
      <c r="L626" s="33">
        <v>623</v>
      </c>
      <c r="M626" s="23">
        <f ca="1"/>
        <v>1522.6934714117142</v>
      </c>
      <c r="N626" s="25">
        <f t="shared" si="27"/>
        <v>1106.9630000000002</v>
      </c>
      <c r="O626" s="25">
        <f t="shared" ca="1" si="28"/>
        <v>0</v>
      </c>
      <c r="P626" s="25">
        <f t="shared" ca="1" si="29"/>
        <v>0</v>
      </c>
    </row>
    <row r="627" spans="12:16" s="23" customFormat="1" ht="13.8">
      <c r="L627" s="23">
        <v>624</v>
      </c>
      <c r="M627" s="23">
        <f ca="1"/>
        <v>638.60890341095126</v>
      </c>
      <c r="N627" s="25">
        <f t="shared" si="27"/>
        <v>1106.9630000000002</v>
      </c>
      <c r="O627" s="25">
        <f t="shared" ca="1" si="28"/>
        <v>1</v>
      </c>
      <c r="P627" s="25">
        <f t="shared" ca="1" si="29"/>
        <v>0.42309823958799786</v>
      </c>
    </row>
    <row r="628" spans="12:16" s="23" customFormat="1" ht="13.8">
      <c r="L628" s="33">
        <v>625</v>
      </c>
      <c r="M628" s="23">
        <f ca="1"/>
        <v>1684.7798365920305</v>
      </c>
      <c r="N628" s="25">
        <f t="shared" si="27"/>
        <v>1106.9630000000002</v>
      </c>
      <c r="O628" s="25">
        <f t="shared" ca="1" si="28"/>
        <v>0</v>
      </c>
      <c r="P628" s="25">
        <f t="shared" ca="1" si="29"/>
        <v>0</v>
      </c>
    </row>
    <row r="629" spans="12:16" s="23" customFormat="1" ht="13.8">
      <c r="L629" s="23">
        <v>626</v>
      </c>
      <c r="M629" s="23">
        <f ca="1"/>
        <v>1817.7435895284918</v>
      </c>
      <c r="N629" s="25">
        <f t="shared" si="27"/>
        <v>1106.9630000000002</v>
      </c>
      <c r="O629" s="25">
        <f t="shared" ca="1" si="28"/>
        <v>0</v>
      </c>
      <c r="P629" s="25">
        <f t="shared" ca="1" si="29"/>
        <v>0</v>
      </c>
    </row>
    <row r="630" spans="12:16" s="23" customFormat="1" ht="13.8">
      <c r="L630" s="33">
        <v>627</v>
      </c>
      <c r="M630" s="23">
        <f ca="1"/>
        <v>1737.9562944100394</v>
      </c>
      <c r="N630" s="25">
        <f t="shared" si="27"/>
        <v>1106.9630000000002</v>
      </c>
      <c r="O630" s="25">
        <f t="shared" ca="1" si="28"/>
        <v>0</v>
      </c>
      <c r="P630" s="25">
        <f t="shared" ca="1" si="29"/>
        <v>0</v>
      </c>
    </row>
    <row r="631" spans="12:16" s="23" customFormat="1" ht="13.8">
      <c r="L631" s="23">
        <v>628</v>
      </c>
      <c r="M631" s="23">
        <f ca="1"/>
        <v>2074.5936754345603</v>
      </c>
      <c r="N631" s="25">
        <f t="shared" si="27"/>
        <v>1106.9630000000002</v>
      </c>
      <c r="O631" s="25">
        <f t="shared" ca="1" si="28"/>
        <v>0</v>
      </c>
      <c r="P631" s="25">
        <f t="shared" ca="1" si="29"/>
        <v>0</v>
      </c>
    </row>
    <row r="632" spans="12:16" s="23" customFormat="1" ht="13.8">
      <c r="L632" s="33">
        <v>629</v>
      </c>
      <c r="M632" s="23">
        <f ca="1"/>
        <v>2117.0990339159143</v>
      </c>
      <c r="N632" s="25">
        <f t="shared" si="27"/>
        <v>1106.9630000000002</v>
      </c>
      <c r="O632" s="25">
        <f t="shared" ca="1" si="28"/>
        <v>0</v>
      </c>
      <c r="P632" s="25">
        <f t="shared" ca="1" si="29"/>
        <v>0</v>
      </c>
    </row>
    <row r="633" spans="12:16" s="23" customFormat="1" ht="13.8">
      <c r="L633" s="23">
        <v>630</v>
      </c>
      <c r="M633" s="23">
        <f ca="1"/>
        <v>1358.4673011242708</v>
      </c>
      <c r="N633" s="25">
        <f t="shared" si="27"/>
        <v>1106.9630000000002</v>
      </c>
      <c r="O633" s="25">
        <f t="shared" ca="1" si="28"/>
        <v>0</v>
      </c>
      <c r="P633" s="25">
        <f t="shared" ca="1" si="29"/>
        <v>0</v>
      </c>
    </row>
    <row r="634" spans="12:16" s="23" customFormat="1" ht="13.8">
      <c r="L634" s="33">
        <v>631</v>
      </c>
      <c r="M634" s="23">
        <f ca="1"/>
        <v>1332.0771969761302</v>
      </c>
      <c r="N634" s="25">
        <f t="shared" si="27"/>
        <v>1106.9630000000002</v>
      </c>
      <c r="O634" s="25">
        <f t="shared" ca="1" si="28"/>
        <v>0</v>
      </c>
      <c r="P634" s="25">
        <f t="shared" ca="1" si="29"/>
        <v>0</v>
      </c>
    </row>
    <row r="635" spans="12:16" s="23" customFormat="1" ht="13.8">
      <c r="L635" s="23">
        <v>632</v>
      </c>
      <c r="M635" s="23">
        <f ca="1"/>
        <v>866.50430059948712</v>
      </c>
      <c r="N635" s="25">
        <f t="shared" si="27"/>
        <v>1106.9630000000002</v>
      </c>
      <c r="O635" s="25">
        <f t="shared" ca="1" si="28"/>
        <v>1</v>
      </c>
      <c r="P635" s="25">
        <f t="shared" ca="1" si="29"/>
        <v>0.21722379103954967</v>
      </c>
    </row>
    <row r="636" spans="12:16" s="23" customFormat="1" ht="13.8">
      <c r="L636" s="33">
        <v>633</v>
      </c>
      <c r="M636" s="23">
        <f ca="1"/>
        <v>1503.8992101521999</v>
      </c>
      <c r="N636" s="25">
        <f t="shared" si="27"/>
        <v>1106.9630000000002</v>
      </c>
      <c r="O636" s="25">
        <f t="shared" ca="1" si="28"/>
        <v>0</v>
      </c>
      <c r="P636" s="25">
        <f t="shared" ca="1" si="29"/>
        <v>0</v>
      </c>
    </row>
    <row r="637" spans="12:16" s="23" customFormat="1" ht="13.8">
      <c r="L637" s="23">
        <v>634</v>
      </c>
      <c r="M637" s="23">
        <f ca="1"/>
        <v>1706.8422929672179</v>
      </c>
      <c r="N637" s="25">
        <f t="shared" si="27"/>
        <v>1106.9630000000002</v>
      </c>
      <c r="O637" s="25">
        <f t="shared" ca="1" si="28"/>
        <v>0</v>
      </c>
      <c r="P637" s="25">
        <f t="shared" ca="1" si="29"/>
        <v>0</v>
      </c>
    </row>
    <row r="638" spans="12:16" s="23" customFormat="1" ht="13.8">
      <c r="L638" s="33">
        <v>635</v>
      </c>
      <c r="M638" s="23">
        <f ca="1"/>
        <v>1516.6909030610911</v>
      </c>
      <c r="N638" s="25">
        <f t="shared" si="27"/>
        <v>1106.9630000000002</v>
      </c>
      <c r="O638" s="25">
        <f t="shared" ca="1" si="28"/>
        <v>0</v>
      </c>
      <c r="P638" s="25">
        <f t="shared" ca="1" si="29"/>
        <v>0</v>
      </c>
    </row>
    <row r="639" spans="12:16" s="23" customFormat="1" ht="13.8">
      <c r="L639" s="23">
        <v>636</v>
      </c>
      <c r="M639" s="23">
        <f ca="1"/>
        <v>570.27451322175284</v>
      </c>
      <c r="N639" s="25">
        <f t="shared" si="27"/>
        <v>1106.9630000000002</v>
      </c>
      <c r="O639" s="25">
        <f t="shared" ca="1" si="28"/>
        <v>1</v>
      </c>
      <c r="P639" s="25">
        <f t="shared" ca="1" si="29"/>
        <v>0.48482965264263328</v>
      </c>
    </row>
    <row r="640" spans="12:16" s="23" customFormat="1" ht="13.8">
      <c r="L640" s="33">
        <v>637</v>
      </c>
      <c r="M640" s="23">
        <f ca="1"/>
        <v>1605.0121375627793</v>
      </c>
      <c r="N640" s="25">
        <f t="shared" si="27"/>
        <v>1106.9630000000002</v>
      </c>
      <c r="O640" s="25">
        <f t="shared" ca="1" si="28"/>
        <v>0</v>
      </c>
      <c r="P640" s="25">
        <f t="shared" ca="1" si="29"/>
        <v>0</v>
      </c>
    </row>
    <row r="641" spans="12:16" s="23" customFormat="1" ht="13.8">
      <c r="L641" s="23">
        <v>638</v>
      </c>
      <c r="M641" s="23">
        <f ca="1"/>
        <v>1577.2268014956983</v>
      </c>
      <c r="N641" s="25">
        <f t="shared" si="27"/>
        <v>1106.9630000000002</v>
      </c>
      <c r="O641" s="25">
        <f t="shared" ca="1" si="28"/>
        <v>0</v>
      </c>
      <c r="P641" s="25">
        <f t="shared" ca="1" si="29"/>
        <v>0</v>
      </c>
    </row>
    <row r="642" spans="12:16" s="23" customFormat="1" ht="13.8">
      <c r="L642" s="33">
        <v>639</v>
      </c>
      <c r="M642" s="23">
        <f ca="1"/>
        <v>1520.786517774271</v>
      </c>
      <c r="N642" s="25">
        <f t="shared" si="27"/>
        <v>1106.9630000000002</v>
      </c>
      <c r="O642" s="25">
        <f t="shared" ca="1" si="28"/>
        <v>0</v>
      </c>
      <c r="P642" s="25">
        <f t="shared" ca="1" si="29"/>
        <v>0</v>
      </c>
    </row>
    <row r="643" spans="12:16" s="23" customFormat="1" ht="13.8">
      <c r="L643" s="23">
        <v>640</v>
      </c>
      <c r="M643" s="23">
        <f ca="1"/>
        <v>1724.2312889223995</v>
      </c>
      <c r="N643" s="25">
        <f t="shared" si="27"/>
        <v>1106.9630000000002</v>
      </c>
      <c r="O643" s="25">
        <f t="shared" ca="1" si="28"/>
        <v>0</v>
      </c>
      <c r="P643" s="25">
        <f t="shared" ca="1" si="29"/>
        <v>0</v>
      </c>
    </row>
    <row r="644" spans="12:16" s="23" customFormat="1" ht="13.8">
      <c r="L644" s="33">
        <v>641</v>
      </c>
      <c r="M644" s="23">
        <f ca="1"/>
        <v>1516.2894671576664</v>
      </c>
      <c r="N644" s="25">
        <f t="shared" ref="N644:N707" si="30">($C$21+$E$21)*1.1</f>
        <v>1106.9630000000002</v>
      </c>
      <c r="O644" s="25">
        <f t="shared" ca="1" si="28"/>
        <v>0</v>
      </c>
      <c r="P644" s="25">
        <f t="shared" ca="1" si="29"/>
        <v>0</v>
      </c>
    </row>
    <row r="645" spans="12:16" s="23" customFormat="1" ht="13.8">
      <c r="L645" s="23">
        <v>642</v>
      </c>
      <c r="M645" s="23">
        <f ca="1"/>
        <v>1558.3314278927744</v>
      </c>
      <c r="N645" s="25">
        <f t="shared" si="30"/>
        <v>1106.9630000000002</v>
      </c>
      <c r="O645" s="25">
        <f t="shared" ref="O645:O708" ca="1" si="31">IF(M645&lt;N645,1,0)</f>
        <v>0</v>
      </c>
      <c r="P645" s="25">
        <f t="shared" ref="P645:P708" ca="1" si="32">MAX((N645-M645)/N645,0)</f>
        <v>0</v>
      </c>
    </row>
    <row r="646" spans="12:16" s="23" customFormat="1" ht="13.8">
      <c r="L646" s="33">
        <v>643</v>
      </c>
      <c r="M646" s="23">
        <f ca="1"/>
        <v>1559.4035841601587</v>
      </c>
      <c r="N646" s="25">
        <f t="shared" si="30"/>
        <v>1106.9630000000002</v>
      </c>
      <c r="O646" s="25">
        <f t="shared" ca="1" si="31"/>
        <v>0</v>
      </c>
      <c r="P646" s="25">
        <f t="shared" ca="1" si="32"/>
        <v>0</v>
      </c>
    </row>
    <row r="647" spans="12:16" s="23" customFormat="1" ht="13.8">
      <c r="L647" s="23">
        <v>644</v>
      </c>
      <c r="M647" s="23">
        <f ca="1"/>
        <v>607.01128497245645</v>
      </c>
      <c r="N647" s="25">
        <f t="shared" si="30"/>
        <v>1106.9630000000002</v>
      </c>
      <c r="O647" s="25">
        <f t="shared" ca="1" si="31"/>
        <v>1</v>
      </c>
      <c r="P647" s="25">
        <f t="shared" ca="1" si="32"/>
        <v>0.45164266107136702</v>
      </c>
    </row>
    <row r="648" spans="12:16" s="23" customFormat="1" ht="13.8">
      <c r="L648" s="33">
        <v>645</v>
      </c>
      <c r="M648" s="23">
        <f ca="1"/>
        <v>1444.3304105260991</v>
      </c>
      <c r="N648" s="25">
        <f t="shared" si="30"/>
        <v>1106.9630000000002</v>
      </c>
      <c r="O648" s="25">
        <f t="shared" ca="1" si="31"/>
        <v>0</v>
      </c>
      <c r="P648" s="25">
        <f t="shared" ca="1" si="32"/>
        <v>0</v>
      </c>
    </row>
    <row r="649" spans="12:16" s="23" customFormat="1" ht="13.8">
      <c r="L649" s="23">
        <v>646</v>
      </c>
      <c r="M649" s="23">
        <f ca="1"/>
        <v>1413.8439199682591</v>
      </c>
      <c r="N649" s="25">
        <f t="shared" si="30"/>
        <v>1106.9630000000002</v>
      </c>
      <c r="O649" s="25">
        <f t="shared" ca="1" si="31"/>
        <v>0</v>
      </c>
      <c r="P649" s="25">
        <f t="shared" ca="1" si="32"/>
        <v>0</v>
      </c>
    </row>
    <row r="650" spans="12:16" s="23" customFormat="1" ht="13.8">
      <c r="L650" s="33">
        <v>647</v>
      </c>
      <c r="M650" s="23">
        <f ca="1"/>
        <v>848.49828386286481</v>
      </c>
      <c r="N650" s="25">
        <f t="shared" si="30"/>
        <v>1106.9630000000002</v>
      </c>
      <c r="O650" s="25">
        <f t="shared" ca="1" si="31"/>
        <v>1</v>
      </c>
      <c r="P650" s="25">
        <f t="shared" ca="1" si="32"/>
        <v>0.23348993248838068</v>
      </c>
    </row>
    <row r="651" spans="12:16" s="23" customFormat="1" ht="13.8">
      <c r="L651" s="23">
        <v>648</v>
      </c>
      <c r="M651" s="23">
        <f ca="1"/>
        <v>1398.853103156541</v>
      </c>
      <c r="N651" s="25">
        <f t="shared" si="30"/>
        <v>1106.9630000000002</v>
      </c>
      <c r="O651" s="25">
        <f t="shared" ca="1" si="31"/>
        <v>0</v>
      </c>
      <c r="P651" s="25">
        <f t="shared" ca="1" si="32"/>
        <v>0</v>
      </c>
    </row>
    <row r="652" spans="12:16" s="23" customFormat="1" ht="13.8">
      <c r="L652" s="33">
        <v>649</v>
      </c>
      <c r="M652" s="23">
        <f ca="1"/>
        <v>1420.2116373384997</v>
      </c>
      <c r="N652" s="25">
        <f t="shared" si="30"/>
        <v>1106.9630000000002</v>
      </c>
      <c r="O652" s="25">
        <f t="shared" ca="1" si="31"/>
        <v>0</v>
      </c>
      <c r="P652" s="25">
        <f t="shared" ca="1" si="32"/>
        <v>0</v>
      </c>
    </row>
    <row r="653" spans="12:16" s="23" customFormat="1" ht="13.8">
      <c r="L653" s="23">
        <v>650</v>
      </c>
      <c r="M653" s="23">
        <f ca="1"/>
        <v>2258.4179482641848</v>
      </c>
      <c r="N653" s="25">
        <f t="shared" si="30"/>
        <v>1106.9630000000002</v>
      </c>
      <c r="O653" s="25">
        <f t="shared" ca="1" si="31"/>
        <v>0</v>
      </c>
      <c r="P653" s="25">
        <f t="shared" ca="1" si="32"/>
        <v>0</v>
      </c>
    </row>
    <row r="654" spans="12:16" s="23" customFormat="1" ht="13.8">
      <c r="L654" s="33">
        <v>651</v>
      </c>
      <c r="M654" s="23">
        <f ca="1"/>
        <v>784.32040026958771</v>
      </c>
      <c r="N654" s="25">
        <f t="shared" si="30"/>
        <v>1106.9630000000002</v>
      </c>
      <c r="O654" s="25">
        <f t="shared" ca="1" si="31"/>
        <v>1</v>
      </c>
      <c r="P654" s="25">
        <f t="shared" ca="1" si="32"/>
        <v>0.29146647153555488</v>
      </c>
    </row>
    <row r="655" spans="12:16" s="23" customFormat="1" ht="13.8">
      <c r="L655" s="23">
        <v>652</v>
      </c>
      <c r="M655" s="23">
        <f ca="1"/>
        <v>1200.2610089981822</v>
      </c>
      <c r="N655" s="25">
        <f t="shared" si="30"/>
        <v>1106.9630000000002</v>
      </c>
      <c r="O655" s="25">
        <f t="shared" ca="1" si="31"/>
        <v>0</v>
      </c>
      <c r="P655" s="25">
        <f t="shared" ca="1" si="32"/>
        <v>0</v>
      </c>
    </row>
    <row r="656" spans="12:16" s="23" customFormat="1" ht="13.8">
      <c r="L656" s="33">
        <v>653</v>
      </c>
      <c r="M656" s="23">
        <f ca="1"/>
        <v>1691.4718633010466</v>
      </c>
      <c r="N656" s="25">
        <f t="shared" si="30"/>
        <v>1106.9630000000002</v>
      </c>
      <c r="O656" s="25">
        <f t="shared" ca="1" si="31"/>
        <v>0</v>
      </c>
      <c r="P656" s="25">
        <f t="shared" ca="1" si="32"/>
        <v>0</v>
      </c>
    </row>
    <row r="657" spans="12:16" s="23" customFormat="1" ht="13.8">
      <c r="L657" s="23">
        <v>654</v>
      </c>
      <c r="M657" s="23">
        <f ca="1"/>
        <v>2312.1965154566401</v>
      </c>
      <c r="N657" s="25">
        <f t="shared" si="30"/>
        <v>1106.9630000000002</v>
      </c>
      <c r="O657" s="25">
        <f t="shared" ca="1" si="31"/>
        <v>0</v>
      </c>
      <c r="P657" s="25">
        <f t="shared" ca="1" si="32"/>
        <v>0</v>
      </c>
    </row>
    <row r="658" spans="12:16" s="23" customFormat="1" ht="13.8">
      <c r="L658" s="33">
        <v>655</v>
      </c>
      <c r="M658" s="23">
        <f ca="1"/>
        <v>953.66353617061282</v>
      </c>
      <c r="N658" s="25">
        <f t="shared" si="30"/>
        <v>1106.9630000000002</v>
      </c>
      <c r="O658" s="25">
        <f t="shared" ca="1" si="31"/>
        <v>1</v>
      </c>
      <c r="P658" s="25">
        <f t="shared" ca="1" si="32"/>
        <v>0.13848652920593313</v>
      </c>
    </row>
    <row r="659" spans="12:16" s="23" customFormat="1" ht="13.8">
      <c r="L659" s="23">
        <v>656</v>
      </c>
      <c r="M659" s="23">
        <f ca="1"/>
        <v>806.14301611212966</v>
      </c>
      <c r="N659" s="25">
        <f t="shared" si="30"/>
        <v>1106.9630000000002</v>
      </c>
      <c r="O659" s="25">
        <f t="shared" ca="1" si="31"/>
        <v>1</v>
      </c>
      <c r="P659" s="25">
        <f t="shared" ca="1" si="32"/>
        <v>0.27175251917893417</v>
      </c>
    </row>
    <row r="660" spans="12:16" s="23" customFormat="1" ht="13.8">
      <c r="L660" s="33">
        <v>657</v>
      </c>
      <c r="M660" s="23">
        <f ca="1"/>
        <v>1213.908680182861</v>
      </c>
      <c r="N660" s="25">
        <f t="shared" si="30"/>
        <v>1106.9630000000002</v>
      </c>
      <c r="O660" s="25">
        <f t="shared" ca="1" si="31"/>
        <v>0</v>
      </c>
      <c r="P660" s="25">
        <f t="shared" ca="1" si="32"/>
        <v>0</v>
      </c>
    </row>
    <row r="661" spans="12:16" s="23" customFormat="1" ht="13.8">
      <c r="L661" s="23">
        <v>658</v>
      </c>
      <c r="M661" s="23">
        <f ca="1"/>
        <v>1481.1396266382872</v>
      </c>
      <c r="N661" s="25">
        <f t="shared" si="30"/>
        <v>1106.9630000000002</v>
      </c>
      <c r="O661" s="25">
        <f t="shared" ca="1" si="31"/>
        <v>0</v>
      </c>
      <c r="P661" s="25">
        <f t="shared" ca="1" si="32"/>
        <v>0</v>
      </c>
    </row>
    <row r="662" spans="12:16" s="23" customFormat="1" ht="13.8">
      <c r="L662" s="33">
        <v>659</v>
      </c>
      <c r="M662" s="23">
        <f ca="1"/>
        <v>1770.6131474118417</v>
      </c>
      <c r="N662" s="25">
        <f t="shared" si="30"/>
        <v>1106.9630000000002</v>
      </c>
      <c r="O662" s="25">
        <f t="shared" ca="1" si="31"/>
        <v>0</v>
      </c>
      <c r="P662" s="25">
        <f t="shared" ca="1" si="32"/>
        <v>0</v>
      </c>
    </row>
    <row r="663" spans="12:16" s="23" customFormat="1" ht="13.8">
      <c r="L663" s="23">
        <v>660</v>
      </c>
      <c r="M663" s="23">
        <f ca="1"/>
        <v>1721.9008585364895</v>
      </c>
      <c r="N663" s="25">
        <f t="shared" si="30"/>
        <v>1106.9630000000002</v>
      </c>
      <c r="O663" s="25">
        <f t="shared" ca="1" si="31"/>
        <v>0</v>
      </c>
      <c r="P663" s="25">
        <f t="shared" ca="1" si="32"/>
        <v>0</v>
      </c>
    </row>
    <row r="664" spans="12:16" s="23" customFormat="1" ht="13.8">
      <c r="L664" s="33">
        <v>661</v>
      </c>
      <c r="M664" s="23">
        <f ca="1"/>
        <v>2590.4220480043937</v>
      </c>
      <c r="N664" s="25">
        <f t="shared" si="30"/>
        <v>1106.9630000000002</v>
      </c>
      <c r="O664" s="25">
        <f t="shared" ca="1" si="31"/>
        <v>0</v>
      </c>
      <c r="P664" s="25">
        <f t="shared" ca="1" si="32"/>
        <v>0</v>
      </c>
    </row>
    <row r="665" spans="12:16" s="23" customFormat="1" ht="13.8">
      <c r="L665" s="23">
        <v>662</v>
      </c>
      <c r="M665" s="23">
        <f ca="1"/>
        <v>2020.5934903669472</v>
      </c>
      <c r="N665" s="25">
        <f t="shared" si="30"/>
        <v>1106.9630000000002</v>
      </c>
      <c r="O665" s="25">
        <f t="shared" ca="1" si="31"/>
        <v>0</v>
      </c>
      <c r="P665" s="25">
        <f t="shared" ca="1" si="32"/>
        <v>0</v>
      </c>
    </row>
    <row r="666" spans="12:16" s="23" customFormat="1" ht="13.8">
      <c r="L666" s="33">
        <v>663</v>
      </c>
      <c r="M666" s="23">
        <f ca="1"/>
        <v>1515.5454148673009</v>
      </c>
      <c r="N666" s="25">
        <f t="shared" si="30"/>
        <v>1106.9630000000002</v>
      </c>
      <c r="O666" s="25">
        <f t="shared" ca="1" si="31"/>
        <v>0</v>
      </c>
      <c r="P666" s="25">
        <f t="shared" ca="1" si="32"/>
        <v>0</v>
      </c>
    </row>
    <row r="667" spans="12:16" s="23" customFormat="1" ht="13.8">
      <c r="L667" s="23">
        <v>664</v>
      </c>
      <c r="M667" s="23">
        <f ca="1"/>
        <v>1521.6862649515431</v>
      </c>
      <c r="N667" s="25">
        <f t="shared" si="30"/>
        <v>1106.9630000000002</v>
      </c>
      <c r="O667" s="25">
        <f t="shared" ca="1" si="31"/>
        <v>0</v>
      </c>
      <c r="P667" s="25">
        <f t="shared" ca="1" si="32"/>
        <v>0</v>
      </c>
    </row>
    <row r="668" spans="12:16" s="23" customFormat="1" ht="13.8">
      <c r="L668" s="33">
        <v>665</v>
      </c>
      <c r="M668" s="23">
        <f ca="1"/>
        <v>1712.1294071998429</v>
      </c>
      <c r="N668" s="25">
        <f t="shared" si="30"/>
        <v>1106.9630000000002</v>
      </c>
      <c r="O668" s="25">
        <f t="shared" ca="1" si="31"/>
        <v>0</v>
      </c>
      <c r="P668" s="25">
        <f t="shared" ca="1" si="32"/>
        <v>0</v>
      </c>
    </row>
    <row r="669" spans="12:16" s="23" customFormat="1" ht="13.8">
      <c r="L669" s="23">
        <v>666</v>
      </c>
      <c r="M669" s="23">
        <f ca="1"/>
        <v>2223.4691212518455</v>
      </c>
      <c r="N669" s="25">
        <f t="shared" si="30"/>
        <v>1106.9630000000002</v>
      </c>
      <c r="O669" s="25">
        <f t="shared" ca="1" si="31"/>
        <v>0</v>
      </c>
      <c r="P669" s="25">
        <f t="shared" ca="1" si="32"/>
        <v>0</v>
      </c>
    </row>
    <row r="670" spans="12:16" s="23" customFormat="1" ht="13.8">
      <c r="L670" s="33">
        <v>667</v>
      </c>
      <c r="M670" s="23">
        <f ca="1"/>
        <v>2047.2547058242371</v>
      </c>
      <c r="N670" s="25">
        <f t="shared" si="30"/>
        <v>1106.9630000000002</v>
      </c>
      <c r="O670" s="25">
        <f t="shared" ca="1" si="31"/>
        <v>0</v>
      </c>
      <c r="P670" s="25">
        <f t="shared" ca="1" si="32"/>
        <v>0</v>
      </c>
    </row>
    <row r="671" spans="12:16" s="23" customFormat="1" ht="13.8">
      <c r="L671" s="23">
        <v>668</v>
      </c>
      <c r="M671" s="23">
        <f ca="1"/>
        <v>2054.5621461108271</v>
      </c>
      <c r="N671" s="25">
        <f t="shared" si="30"/>
        <v>1106.9630000000002</v>
      </c>
      <c r="O671" s="25">
        <f t="shared" ca="1" si="31"/>
        <v>0</v>
      </c>
      <c r="P671" s="25">
        <f t="shared" ca="1" si="32"/>
        <v>0</v>
      </c>
    </row>
    <row r="672" spans="12:16" s="23" customFormat="1" ht="13.8">
      <c r="L672" s="33">
        <v>669</v>
      </c>
      <c r="M672" s="23">
        <f ca="1"/>
        <v>997.42403849451125</v>
      </c>
      <c r="N672" s="25">
        <f t="shared" si="30"/>
        <v>1106.9630000000002</v>
      </c>
      <c r="O672" s="25">
        <f t="shared" ca="1" si="31"/>
        <v>1</v>
      </c>
      <c r="P672" s="25">
        <f t="shared" ca="1" si="32"/>
        <v>9.8954492160522906E-2</v>
      </c>
    </row>
    <row r="673" spans="12:16" s="23" customFormat="1" ht="13.8">
      <c r="L673" s="23">
        <v>670</v>
      </c>
      <c r="M673" s="23">
        <f ca="1"/>
        <v>1999.707981209966</v>
      </c>
      <c r="N673" s="25">
        <f t="shared" si="30"/>
        <v>1106.9630000000002</v>
      </c>
      <c r="O673" s="25">
        <f t="shared" ca="1" si="31"/>
        <v>0</v>
      </c>
      <c r="P673" s="25">
        <f t="shared" ca="1" si="32"/>
        <v>0</v>
      </c>
    </row>
    <row r="674" spans="12:16" s="23" customFormat="1" ht="13.8">
      <c r="L674" s="33">
        <v>671</v>
      </c>
      <c r="M674" s="23">
        <f ca="1"/>
        <v>1549.2052347874601</v>
      </c>
      <c r="N674" s="25">
        <f t="shared" si="30"/>
        <v>1106.9630000000002</v>
      </c>
      <c r="O674" s="25">
        <f t="shared" ca="1" si="31"/>
        <v>0</v>
      </c>
      <c r="P674" s="25">
        <f t="shared" ca="1" si="32"/>
        <v>0</v>
      </c>
    </row>
    <row r="675" spans="12:16" s="23" customFormat="1" ht="13.8">
      <c r="L675" s="23">
        <v>672</v>
      </c>
      <c r="M675" s="23">
        <f ca="1"/>
        <v>1440.4316696899339</v>
      </c>
      <c r="N675" s="25">
        <f t="shared" si="30"/>
        <v>1106.9630000000002</v>
      </c>
      <c r="O675" s="25">
        <f t="shared" ca="1" si="31"/>
        <v>0</v>
      </c>
      <c r="P675" s="25">
        <f t="shared" ca="1" si="32"/>
        <v>0</v>
      </c>
    </row>
    <row r="676" spans="12:16" s="23" customFormat="1" ht="13.8">
      <c r="L676" s="33">
        <v>673</v>
      </c>
      <c r="M676" s="23">
        <f ca="1"/>
        <v>1766.6759734547836</v>
      </c>
      <c r="N676" s="25">
        <f t="shared" si="30"/>
        <v>1106.9630000000002</v>
      </c>
      <c r="O676" s="25">
        <f t="shared" ca="1" si="31"/>
        <v>0</v>
      </c>
      <c r="P676" s="25">
        <f t="shared" ca="1" si="32"/>
        <v>0</v>
      </c>
    </row>
    <row r="677" spans="12:16" s="23" customFormat="1" ht="13.8">
      <c r="L677" s="23">
        <v>674</v>
      </c>
      <c r="M677" s="23">
        <f ca="1"/>
        <v>2395.1095527387333</v>
      </c>
      <c r="N677" s="25">
        <f t="shared" si="30"/>
        <v>1106.9630000000002</v>
      </c>
      <c r="O677" s="25">
        <f t="shared" ca="1" si="31"/>
        <v>0</v>
      </c>
      <c r="P677" s="25">
        <f t="shared" ca="1" si="32"/>
        <v>0</v>
      </c>
    </row>
    <row r="678" spans="12:16" s="23" customFormat="1" ht="13.8">
      <c r="L678" s="33">
        <v>675</v>
      </c>
      <c r="M678" s="23">
        <f ca="1"/>
        <v>1659.2312856888036</v>
      </c>
      <c r="N678" s="25">
        <f t="shared" si="30"/>
        <v>1106.9630000000002</v>
      </c>
      <c r="O678" s="25">
        <f t="shared" ca="1" si="31"/>
        <v>0</v>
      </c>
      <c r="P678" s="25">
        <f t="shared" ca="1" si="32"/>
        <v>0</v>
      </c>
    </row>
    <row r="679" spans="12:16" s="23" customFormat="1" ht="13.8">
      <c r="L679" s="23">
        <v>676</v>
      </c>
      <c r="M679" s="23">
        <f ca="1"/>
        <v>1717.6892423007866</v>
      </c>
      <c r="N679" s="25">
        <f t="shared" si="30"/>
        <v>1106.9630000000002</v>
      </c>
      <c r="O679" s="25">
        <f t="shared" ca="1" si="31"/>
        <v>0</v>
      </c>
      <c r="P679" s="25">
        <f t="shared" ca="1" si="32"/>
        <v>0</v>
      </c>
    </row>
    <row r="680" spans="12:16" s="23" customFormat="1" ht="13.8">
      <c r="L680" s="33">
        <v>677</v>
      </c>
      <c r="M680" s="23">
        <f ca="1"/>
        <v>1621.9284918989886</v>
      </c>
      <c r="N680" s="25">
        <f t="shared" si="30"/>
        <v>1106.9630000000002</v>
      </c>
      <c r="O680" s="25">
        <f t="shared" ca="1" si="31"/>
        <v>0</v>
      </c>
      <c r="P680" s="25">
        <f t="shared" ca="1" si="32"/>
        <v>0</v>
      </c>
    </row>
    <row r="681" spans="12:16" s="23" customFormat="1" ht="13.8">
      <c r="L681" s="23">
        <v>678</v>
      </c>
      <c r="M681" s="23">
        <f ca="1"/>
        <v>994.22329534993969</v>
      </c>
      <c r="N681" s="25">
        <f t="shared" si="30"/>
        <v>1106.9630000000002</v>
      </c>
      <c r="O681" s="25">
        <f t="shared" ca="1" si="31"/>
        <v>1</v>
      </c>
      <c r="P681" s="25">
        <f t="shared" ca="1" si="32"/>
        <v>0.10184595569143728</v>
      </c>
    </row>
    <row r="682" spans="12:16" s="23" customFormat="1" ht="13.8">
      <c r="L682" s="33">
        <v>679</v>
      </c>
      <c r="M682" s="23">
        <f ca="1"/>
        <v>1614.1118966758081</v>
      </c>
      <c r="N682" s="25">
        <f t="shared" si="30"/>
        <v>1106.9630000000002</v>
      </c>
      <c r="O682" s="25">
        <f t="shared" ca="1" si="31"/>
        <v>0</v>
      </c>
      <c r="P682" s="25">
        <f t="shared" ca="1" si="32"/>
        <v>0</v>
      </c>
    </row>
    <row r="683" spans="12:16" s="23" customFormat="1" ht="13.8">
      <c r="L683" s="23">
        <v>680</v>
      </c>
      <c r="M683" s="23">
        <f ca="1"/>
        <v>1669.6554123901251</v>
      </c>
      <c r="N683" s="25">
        <f t="shared" si="30"/>
        <v>1106.9630000000002</v>
      </c>
      <c r="O683" s="25">
        <f t="shared" ca="1" si="31"/>
        <v>0</v>
      </c>
      <c r="P683" s="25">
        <f t="shared" ca="1" si="32"/>
        <v>0</v>
      </c>
    </row>
    <row r="684" spans="12:16" s="23" customFormat="1" ht="13.8">
      <c r="L684" s="33">
        <v>681</v>
      </c>
      <c r="M684" s="23">
        <f ca="1"/>
        <v>1150.1410233399199</v>
      </c>
      <c r="N684" s="25">
        <f t="shared" si="30"/>
        <v>1106.9630000000002</v>
      </c>
      <c r="O684" s="25">
        <f t="shared" ca="1" si="31"/>
        <v>0</v>
      </c>
      <c r="P684" s="25">
        <f t="shared" ca="1" si="32"/>
        <v>0</v>
      </c>
    </row>
    <row r="685" spans="12:16" s="23" customFormat="1" ht="13.8">
      <c r="L685" s="23">
        <v>682</v>
      </c>
      <c r="M685" s="23">
        <f ca="1"/>
        <v>1692.7203055074408</v>
      </c>
      <c r="N685" s="25">
        <f t="shared" si="30"/>
        <v>1106.9630000000002</v>
      </c>
      <c r="O685" s="25">
        <f t="shared" ca="1" si="31"/>
        <v>0</v>
      </c>
      <c r="P685" s="25">
        <f t="shared" ca="1" si="32"/>
        <v>0</v>
      </c>
    </row>
    <row r="686" spans="12:16" s="23" customFormat="1" ht="13.8">
      <c r="L686" s="33">
        <v>683</v>
      </c>
      <c r="M686" s="23">
        <f ca="1"/>
        <v>1049.1136628564136</v>
      </c>
      <c r="N686" s="25">
        <f t="shared" si="30"/>
        <v>1106.9630000000002</v>
      </c>
      <c r="O686" s="25">
        <f t="shared" ca="1" si="31"/>
        <v>1</v>
      </c>
      <c r="P686" s="25">
        <f t="shared" ca="1" si="32"/>
        <v>5.2259503834894729E-2</v>
      </c>
    </row>
    <row r="687" spans="12:16" s="23" customFormat="1" ht="13.8">
      <c r="L687" s="23">
        <v>684</v>
      </c>
      <c r="M687" s="23">
        <f ca="1"/>
        <v>2223.8057139336988</v>
      </c>
      <c r="N687" s="25">
        <f t="shared" si="30"/>
        <v>1106.9630000000002</v>
      </c>
      <c r="O687" s="25">
        <f t="shared" ca="1" si="31"/>
        <v>0</v>
      </c>
      <c r="P687" s="25">
        <f t="shared" ca="1" si="32"/>
        <v>0</v>
      </c>
    </row>
    <row r="688" spans="12:16" s="23" customFormat="1" ht="13.8">
      <c r="L688" s="33">
        <v>685</v>
      </c>
      <c r="M688" s="23">
        <f ca="1"/>
        <v>1699.361615127347</v>
      </c>
      <c r="N688" s="25">
        <f t="shared" si="30"/>
        <v>1106.9630000000002</v>
      </c>
      <c r="O688" s="25">
        <f t="shared" ca="1" si="31"/>
        <v>0</v>
      </c>
      <c r="P688" s="25">
        <f t="shared" ca="1" si="32"/>
        <v>0</v>
      </c>
    </row>
    <row r="689" spans="12:16" s="23" customFormat="1" ht="13.8">
      <c r="L689" s="23">
        <v>686</v>
      </c>
      <c r="M689" s="23">
        <f ca="1"/>
        <v>1776.4293978152991</v>
      </c>
      <c r="N689" s="25">
        <f t="shared" si="30"/>
        <v>1106.9630000000002</v>
      </c>
      <c r="O689" s="25">
        <f t="shared" ca="1" si="31"/>
        <v>0</v>
      </c>
      <c r="P689" s="25">
        <f t="shared" ca="1" si="32"/>
        <v>0</v>
      </c>
    </row>
    <row r="690" spans="12:16" s="23" customFormat="1" ht="13.8">
      <c r="L690" s="33">
        <v>687</v>
      </c>
      <c r="M690" s="23">
        <f ca="1"/>
        <v>869.74423215786987</v>
      </c>
      <c r="N690" s="25">
        <f t="shared" si="30"/>
        <v>1106.9630000000002</v>
      </c>
      <c r="O690" s="25">
        <f t="shared" ca="1" si="31"/>
        <v>1</v>
      </c>
      <c r="P690" s="25">
        <f t="shared" ca="1" si="32"/>
        <v>0.21429692577089773</v>
      </c>
    </row>
    <row r="691" spans="12:16" s="23" customFormat="1" ht="13.8">
      <c r="L691" s="23">
        <v>688</v>
      </c>
      <c r="M691" s="23">
        <f ca="1"/>
        <v>1622.506468691367</v>
      </c>
      <c r="N691" s="25">
        <f t="shared" si="30"/>
        <v>1106.9630000000002</v>
      </c>
      <c r="O691" s="25">
        <f t="shared" ca="1" si="31"/>
        <v>0</v>
      </c>
      <c r="P691" s="25">
        <f t="shared" ca="1" si="32"/>
        <v>0</v>
      </c>
    </row>
    <row r="692" spans="12:16" s="23" customFormat="1" ht="13.8">
      <c r="L692" s="33">
        <v>689</v>
      </c>
      <c r="M692" s="23">
        <f ca="1"/>
        <v>2263.5869975671239</v>
      </c>
      <c r="N692" s="25">
        <f t="shared" si="30"/>
        <v>1106.9630000000002</v>
      </c>
      <c r="O692" s="25">
        <f t="shared" ca="1" si="31"/>
        <v>0</v>
      </c>
      <c r="P692" s="25">
        <f t="shared" ca="1" si="32"/>
        <v>0</v>
      </c>
    </row>
    <row r="693" spans="12:16" s="23" customFormat="1" ht="13.8">
      <c r="L693" s="23">
        <v>690</v>
      </c>
      <c r="M693" s="23">
        <f ca="1"/>
        <v>1344.3610087179061</v>
      </c>
      <c r="N693" s="25">
        <f t="shared" si="30"/>
        <v>1106.9630000000002</v>
      </c>
      <c r="O693" s="25">
        <f t="shared" ca="1" si="31"/>
        <v>0</v>
      </c>
      <c r="P693" s="25">
        <f t="shared" ca="1" si="32"/>
        <v>0</v>
      </c>
    </row>
    <row r="694" spans="12:16" s="23" customFormat="1" ht="13.8">
      <c r="L694" s="33">
        <v>691</v>
      </c>
      <c r="M694" s="23">
        <f ca="1"/>
        <v>2595.9092207196045</v>
      </c>
      <c r="N694" s="25">
        <f t="shared" si="30"/>
        <v>1106.9630000000002</v>
      </c>
      <c r="O694" s="25">
        <f t="shared" ca="1" si="31"/>
        <v>0</v>
      </c>
      <c r="P694" s="25">
        <f t="shared" ca="1" si="32"/>
        <v>0</v>
      </c>
    </row>
    <row r="695" spans="12:16" s="23" customFormat="1" ht="13.8">
      <c r="L695" s="23">
        <v>692</v>
      </c>
      <c r="M695" s="23">
        <f ca="1"/>
        <v>1243.1682114129883</v>
      </c>
      <c r="N695" s="25">
        <f t="shared" si="30"/>
        <v>1106.9630000000002</v>
      </c>
      <c r="O695" s="25">
        <f t="shared" ca="1" si="31"/>
        <v>0</v>
      </c>
      <c r="P695" s="25">
        <f t="shared" ca="1" si="32"/>
        <v>0</v>
      </c>
    </row>
    <row r="696" spans="12:16" s="23" customFormat="1" ht="13.8">
      <c r="L696" s="33">
        <v>693</v>
      </c>
      <c r="M696" s="23">
        <f ca="1"/>
        <v>1866.6012896473376</v>
      </c>
      <c r="N696" s="25">
        <f t="shared" si="30"/>
        <v>1106.9630000000002</v>
      </c>
      <c r="O696" s="25">
        <f t="shared" ca="1" si="31"/>
        <v>0</v>
      </c>
      <c r="P696" s="25">
        <f t="shared" ca="1" si="32"/>
        <v>0</v>
      </c>
    </row>
    <row r="697" spans="12:16" s="23" customFormat="1" ht="13.8">
      <c r="L697" s="23">
        <v>694</v>
      </c>
      <c r="M697" s="23">
        <f ca="1"/>
        <v>2186.297236677749</v>
      </c>
      <c r="N697" s="25">
        <f t="shared" si="30"/>
        <v>1106.9630000000002</v>
      </c>
      <c r="O697" s="25">
        <f t="shared" ca="1" si="31"/>
        <v>0</v>
      </c>
      <c r="P697" s="25">
        <f t="shared" ca="1" si="32"/>
        <v>0</v>
      </c>
    </row>
    <row r="698" spans="12:16" s="23" customFormat="1" ht="13.8">
      <c r="L698" s="33">
        <v>695</v>
      </c>
      <c r="M698" s="23">
        <f ca="1"/>
        <v>2022.5046784252404</v>
      </c>
      <c r="N698" s="25">
        <f t="shared" si="30"/>
        <v>1106.9630000000002</v>
      </c>
      <c r="O698" s="25">
        <f t="shared" ca="1" si="31"/>
        <v>0</v>
      </c>
      <c r="P698" s="25">
        <f t="shared" ca="1" si="32"/>
        <v>0</v>
      </c>
    </row>
    <row r="699" spans="12:16" s="23" customFormat="1" ht="13.8">
      <c r="L699" s="23">
        <v>696</v>
      </c>
      <c r="M699" s="23">
        <f ca="1"/>
        <v>1737.5788008712855</v>
      </c>
      <c r="N699" s="25">
        <f t="shared" si="30"/>
        <v>1106.9630000000002</v>
      </c>
      <c r="O699" s="25">
        <f t="shared" ca="1" si="31"/>
        <v>0</v>
      </c>
      <c r="P699" s="25">
        <f t="shared" ca="1" si="32"/>
        <v>0</v>
      </c>
    </row>
    <row r="700" spans="12:16" s="23" customFormat="1" ht="13.8">
      <c r="L700" s="33">
        <v>697</v>
      </c>
      <c r="M700" s="23">
        <f ca="1"/>
        <v>1984.0749117722312</v>
      </c>
      <c r="N700" s="25">
        <f t="shared" si="30"/>
        <v>1106.9630000000002</v>
      </c>
      <c r="O700" s="25">
        <f t="shared" ca="1" si="31"/>
        <v>0</v>
      </c>
      <c r="P700" s="25">
        <f t="shared" ca="1" si="32"/>
        <v>0</v>
      </c>
    </row>
    <row r="701" spans="12:16" s="23" customFormat="1" ht="13.8">
      <c r="L701" s="23">
        <v>698</v>
      </c>
      <c r="M701" s="23">
        <f ca="1"/>
        <v>876.5452849609544</v>
      </c>
      <c r="N701" s="25">
        <f t="shared" si="30"/>
        <v>1106.9630000000002</v>
      </c>
      <c r="O701" s="25">
        <f t="shared" ca="1" si="31"/>
        <v>1</v>
      </c>
      <c r="P701" s="25">
        <f t="shared" ca="1" si="32"/>
        <v>0.20815304128416737</v>
      </c>
    </row>
    <row r="702" spans="12:16" s="23" customFormat="1" ht="13.8">
      <c r="L702" s="33">
        <v>699</v>
      </c>
      <c r="M702" s="23">
        <f ca="1"/>
        <v>1854.0550616356736</v>
      </c>
      <c r="N702" s="25">
        <f t="shared" si="30"/>
        <v>1106.9630000000002</v>
      </c>
      <c r="O702" s="25">
        <f t="shared" ca="1" si="31"/>
        <v>0</v>
      </c>
      <c r="P702" s="25">
        <f t="shared" ca="1" si="32"/>
        <v>0</v>
      </c>
    </row>
    <row r="703" spans="12:16" s="23" customFormat="1" ht="13.8">
      <c r="L703" s="23">
        <v>700</v>
      </c>
      <c r="M703" s="23">
        <f ca="1"/>
        <v>1078.3907921951677</v>
      </c>
      <c r="N703" s="25">
        <f t="shared" si="30"/>
        <v>1106.9630000000002</v>
      </c>
      <c r="O703" s="25">
        <f t="shared" ca="1" si="31"/>
        <v>1</v>
      </c>
      <c r="P703" s="25">
        <f t="shared" ca="1" si="32"/>
        <v>2.581134853182309E-2</v>
      </c>
    </row>
    <row r="704" spans="12:16" s="23" customFormat="1" ht="13.8">
      <c r="L704" s="33">
        <v>701</v>
      </c>
      <c r="M704" s="23">
        <f ca="1"/>
        <v>1334.2194662882343</v>
      </c>
      <c r="N704" s="25">
        <f t="shared" si="30"/>
        <v>1106.9630000000002</v>
      </c>
      <c r="O704" s="25">
        <f t="shared" ca="1" si="31"/>
        <v>0</v>
      </c>
      <c r="P704" s="25">
        <f t="shared" ca="1" si="32"/>
        <v>0</v>
      </c>
    </row>
    <row r="705" spans="12:16" s="23" customFormat="1" ht="13.8">
      <c r="L705" s="23">
        <v>702</v>
      </c>
      <c r="M705" s="23">
        <f ca="1"/>
        <v>2200.8567243404941</v>
      </c>
      <c r="N705" s="25">
        <f t="shared" si="30"/>
        <v>1106.9630000000002</v>
      </c>
      <c r="O705" s="25">
        <f t="shared" ca="1" si="31"/>
        <v>0</v>
      </c>
      <c r="P705" s="25">
        <f t="shared" ca="1" si="32"/>
        <v>0</v>
      </c>
    </row>
    <row r="706" spans="12:16" s="23" customFormat="1" ht="13.8">
      <c r="L706" s="33">
        <v>703</v>
      </c>
      <c r="M706" s="23">
        <f ca="1"/>
        <v>905.51509401367662</v>
      </c>
      <c r="N706" s="25">
        <f t="shared" si="30"/>
        <v>1106.9630000000002</v>
      </c>
      <c r="O706" s="25">
        <f t="shared" ca="1" si="31"/>
        <v>1</v>
      </c>
      <c r="P706" s="25">
        <f t="shared" ca="1" si="32"/>
        <v>0.18198251069486834</v>
      </c>
    </row>
    <row r="707" spans="12:16" s="23" customFormat="1" ht="13.8">
      <c r="L707" s="23">
        <v>704</v>
      </c>
      <c r="M707" s="23">
        <f ca="1"/>
        <v>2065.5667898120387</v>
      </c>
      <c r="N707" s="25">
        <f t="shared" si="30"/>
        <v>1106.9630000000002</v>
      </c>
      <c r="O707" s="25">
        <f t="shared" ca="1" si="31"/>
        <v>0</v>
      </c>
      <c r="P707" s="25">
        <f t="shared" ca="1" si="32"/>
        <v>0</v>
      </c>
    </row>
    <row r="708" spans="12:16" s="23" customFormat="1" ht="13.8">
      <c r="L708" s="33">
        <v>705</v>
      </c>
      <c r="M708" s="23">
        <f ca="1"/>
        <v>1950.427239703756</v>
      </c>
      <c r="N708" s="25">
        <f t="shared" ref="N708:N771" si="33">($C$21+$E$21)*1.1</f>
        <v>1106.9630000000002</v>
      </c>
      <c r="O708" s="25">
        <f t="shared" ca="1" si="31"/>
        <v>0</v>
      </c>
      <c r="P708" s="25">
        <f t="shared" ca="1" si="32"/>
        <v>0</v>
      </c>
    </row>
    <row r="709" spans="12:16" s="23" customFormat="1" ht="13.8">
      <c r="L709" s="23">
        <v>706</v>
      </c>
      <c r="M709" s="23">
        <f ca="1"/>
        <v>1851.126141446478</v>
      </c>
      <c r="N709" s="25">
        <f t="shared" si="33"/>
        <v>1106.9630000000002</v>
      </c>
      <c r="O709" s="25">
        <f t="shared" ref="O709:O772" ca="1" si="34">IF(M709&lt;N709,1,0)</f>
        <v>0</v>
      </c>
      <c r="P709" s="25">
        <f t="shared" ref="P709:P772" ca="1" si="35">MAX((N709-M709)/N709,0)</f>
        <v>0</v>
      </c>
    </row>
    <row r="710" spans="12:16" s="23" customFormat="1" ht="13.8">
      <c r="L710" s="33">
        <v>707</v>
      </c>
      <c r="M710" s="23">
        <f ca="1"/>
        <v>1556.5433597937783</v>
      </c>
      <c r="N710" s="25">
        <f t="shared" si="33"/>
        <v>1106.9630000000002</v>
      </c>
      <c r="O710" s="25">
        <f t="shared" ca="1" si="34"/>
        <v>0</v>
      </c>
      <c r="P710" s="25">
        <f t="shared" ca="1" si="35"/>
        <v>0</v>
      </c>
    </row>
    <row r="711" spans="12:16" s="23" customFormat="1" ht="13.8">
      <c r="L711" s="23">
        <v>708</v>
      </c>
      <c r="M711" s="23">
        <f ca="1"/>
        <v>2597.7204591773234</v>
      </c>
      <c r="N711" s="25">
        <f t="shared" si="33"/>
        <v>1106.9630000000002</v>
      </c>
      <c r="O711" s="25">
        <f t="shared" ca="1" si="34"/>
        <v>0</v>
      </c>
      <c r="P711" s="25">
        <f t="shared" ca="1" si="35"/>
        <v>0</v>
      </c>
    </row>
    <row r="712" spans="12:16" s="23" customFormat="1" ht="13.8">
      <c r="L712" s="33">
        <v>709</v>
      </c>
      <c r="M712" s="23">
        <f ca="1"/>
        <v>1506.938762759439</v>
      </c>
      <c r="N712" s="25">
        <f t="shared" si="33"/>
        <v>1106.9630000000002</v>
      </c>
      <c r="O712" s="25">
        <f t="shared" ca="1" si="34"/>
        <v>0</v>
      </c>
      <c r="P712" s="25">
        <f t="shared" ca="1" si="35"/>
        <v>0</v>
      </c>
    </row>
    <row r="713" spans="12:16" s="23" customFormat="1" ht="13.8">
      <c r="L713" s="23">
        <v>710</v>
      </c>
      <c r="M713" s="23">
        <f ca="1"/>
        <v>2007.4438607114828</v>
      </c>
      <c r="N713" s="25">
        <f t="shared" si="33"/>
        <v>1106.9630000000002</v>
      </c>
      <c r="O713" s="25">
        <f t="shared" ca="1" si="34"/>
        <v>0</v>
      </c>
      <c r="P713" s="25">
        <f t="shared" ca="1" si="35"/>
        <v>0</v>
      </c>
    </row>
    <row r="714" spans="12:16" s="23" customFormat="1" ht="13.8">
      <c r="L714" s="33">
        <v>711</v>
      </c>
      <c r="M714" s="23">
        <f ca="1"/>
        <v>2071.8612592828385</v>
      </c>
      <c r="N714" s="25">
        <f t="shared" si="33"/>
        <v>1106.9630000000002</v>
      </c>
      <c r="O714" s="25">
        <f t="shared" ca="1" si="34"/>
        <v>0</v>
      </c>
      <c r="P714" s="25">
        <f t="shared" ca="1" si="35"/>
        <v>0</v>
      </c>
    </row>
    <row r="715" spans="12:16" s="23" customFormat="1" ht="13.8">
      <c r="L715" s="23">
        <v>712</v>
      </c>
      <c r="M715" s="23">
        <f ca="1"/>
        <v>1362.1886058398122</v>
      </c>
      <c r="N715" s="25">
        <f t="shared" si="33"/>
        <v>1106.9630000000002</v>
      </c>
      <c r="O715" s="25">
        <f t="shared" ca="1" si="34"/>
        <v>0</v>
      </c>
      <c r="P715" s="25">
        <f t="shared" ca="1" si="35"/>
        <v>0</v>
      </c>
    </row>
    <row r="716" spans="12:16" s="23" customFormat="1" ht="13.8">
      <c r="L716" s="33">
        <v>713</v>
      </c>
      <c r="M716" s="23">
        <f ca="1"/>
        <v>1092.0559230269241</v>
      </c>
      <c r="N716" s="25">
        <f t="shared" si="33"/>
        <v>1106.9630000000002</v>
      </c>
      <c r="O716" s="25">
        <f t="shared" ca="1" si="34"/>
        <v>1</v>
      </c>
      <c r="P716" s="25">
        <f t="shared" ca="1" si="35"/>
        <v>1.3466644298929657E-2</v>
      </c>
    </row>
    <row r="717" spans="12:16" s="23" customFormat="1" ht="13.8">
      <c r="L717" s="23">
        <v>714</v>
      </c>
      <c r="M717" s="23">
        <f ca="1"/>
        <v>1616.7550032955492</v>
      </c>
      <c r="N717" s="25">
        <f t="shared" si="33"/>
        <v>1106.9630000000002</v>
      </c>
      <c r="O717" s="25">
        <f t="shared" ca="1" si="34"/>
        <v>0</v>
      </c>
      <c r="P717" s="25">
        <f t="shared" ca="1" si="35"/>
        <v>0</v>
      </c>
    </row>
    <row r="718" spans="12:16" s="23" customFormat="1" ht="13.8">
      <c r="L718" s="33">
        <v>715</v>
      </c>
      <c r="M718" s="23">
        <f ca="1"/>
        <v>2073.1452505336342</v>
      </c>
      <c r="N718" s="25">
        <f t="shared" si="33"/>
        <v>1106.9630000000002</v>
      </c>
      <c r="O718" s="25">
        <f t="shared" ca="1" si="34"/>
        <v>0</v>
      </c>
      <c r="P718" s="25">
        <f t="shared" ca="1" si="35"/>
        <v>0</v>
      </c>
    </row>
    <row r="719" spans="12:16" s="23" customFormat="1" ht="13.8">
      <c r="L719" s="23">
        <v>716</v>
      </c>
      <c r="M719" s="23">
        <f ca="1"/>
        <v>1254.1395442639614</v>
      </c>
      <c r="N719" s="25">
        <f t="shared" si="33"/>
        <v>1106.9630000000002</v>
      </c>
      <c r="O719" s="25">
        <f t="shared" ca="1" si="34"/>
        <v>0</v>
      </c>
      <c r="P719" s="25">
        <f t="shared" ca="1" si="35"/>
        <v>0</v>
      </c>
    </row>
    <row r="720" spans="12:16" s="23" customFormat="1" ht="13.8">
      <c r="L720" s="33">
        <v>717</v>
      </c>
      <c r="M720" s="23">
        <f ca="1"/>
        <v>1482.7032657020363</v>
      </c>
      <c r="N720" s="25">
        <f t="shared" si="33"/>
        <v>1106.9630000000002</v>
      </c>
      <c r="O720" s="25">
        <f t="shared" ca="1" si="34"/>
        <v>0</v>
      </c>
      <c r="P720" s="25">
        <f t="shared" ca="1" si="35"/>
        <v>0</v>
      </c>
    </row>
    <row r="721" spans="12:16" s="23" customFormat="1" ht="13.8">
      <c r="L721" s="23">
        <v>718</v>
      </c>
      <c r="M721" s="23">
        <f ca="1"/>
        <v>1692.462279134241</v>
      </c>
      <c r="N721" s="25">
        <f t="shared" si="33"/>
        <v>1106.9630000000002</v>
      </c>
      <c r="O721" s="25">
        <f t="shared" ca="1" si="34"/>
        <v>0</v>
      </c>
      <c r="P721" s="25">
        <f t="shared" ca="1" si="35"/>
        <v>0</v>
      </c>
    </row>
    <row r="722" spans="12:16" s="23" customFormat="1" ht="13.8">
      <c r="L722" s="33">
        <v>719</v>
      </c>
      <c r="M722" s="23">
        <f ca="1"/>
        <v>1629.2045033924003</v>
      </c>
      <c r="N722" s="25">
        <f t="shared" si="33"/>
        <v>1106.9630000000002</v>
      </c>
      <c r="O722" s="25">
        <f t="shared" ca="1" si="34"/>
        <v>0</v>
      </c>
      <c r="P722" s="25">
        <f t="shared" ca="1" si="35"/>
        <v>0</v>
      </c>
    </row>
    <row r="723" spans="12:16" s="23" customFormat="1" ht="13.8">
      <c r="L723" s="23">
        <v>720</v>
      </c>
      <c r="M723" s="23">
        <f ca="1"/>
        <v>1123.665642891599</v>
      </c>
      <c r="N723" s="25">
        <f t="shared" si="33"/>
        <v>1106.9630000000002</v>
      </c>
      <c r="O723" s="25">
        <f t="shared" ca="1" si="34"/>
        <v>0</v>
      </c>
      <c r="P723" s="25">
        <f t="shared" ca="1" si="35"/>
        <v>0</v>
      </c>
    </row>
    <row r="724" spans="12:16" s="23" customFormat="1" ht="13.8">
      <c r="L724" s="33">
        <v>721</v>
      </c>
      <c r="M724" s="23">
        <f ca="1"/>
        <v>884.02342974633723</v>
      </c>
      <c r="N724" s="25">
        <f t="shared" si="33"/>
        <v>1106.9630000000002</v>
      </c>
      <c r="O724" s="25">
        <f t="shared" ca="1" si="34"/>
        <v>1</v>
      </c>
      <c r="P724" s="25">
        <f t="shared" ca="1" si="35"/>
        <v>0.20139749047950375</v>
      </c>
    </row>
    <row r="725" spans="12:16" s="23" customFormat="1" ht="13.8">
      <c r="L725" s="23">
        <v>722</v>
      </c>
      <c r="M725" s="23">
        <f ca="1"/>
        <v>1402.8165282504078</v>
      </c>
      <c r="N725" s="25">
        <f t="shared" si="33"/>
        <v>1106.9630000000002</v>
      </c>
      <c r="O725" s="25">
        <f t="shared" ca="1" si="34"/>
        <v>0</v>
      </c>
      <c r="P725" s="25">
        <f t="shared" ca="1" si="35"/>
        <v>0</v>
      </c>
    </row>
    <row r="726" spans="12:16" s="23" customFormat="1" ht="13.8">
      <c r="L726" s="33">
        <v>723</v>
      </c>
      <c r="M726" s="23">
        <f ca="1"/>
        <v>1812.392824324713</v>
      </c>
      <c r="N726" s="25">
        <f t="shared" si="33"/>
        <v>1106.9630000000002</v>
      </c>
      <c r="O726" s="25">
        <f t="shared" ca="1" si="34"/>
        <v>0</v>
      </c>
      <c r="P726" s="25">
        <f t="shared" ca="1" si="35"/>
        <v>0</v>
      </c>
    </row>
    <row r="727" spans="12:16" s="23" customFormat="1" ht="13.8">
      <c r="L727" s="23">
        <v>724</v>
      </c>
      <c r="M727" s="23">
        <f ca="1"/>
        <v>1643.9981613796965</v>
      </c>
      <c r="N727" s="25">
        <f t="shared" si="33"/>
        <v>1106.9630000000002</v>
      </c>
      <c r="O727" s="25">
        <f t="shared" ca="1" si="34"/>
        <v>0</v>
      </c>
      <c r="P727" s="25">
        <f t="shared" ca="1" si="35"/>
        <v>0</v>
      </c>
    </row>
    <row r="728" spans="12:16" s="23" customFormat="1" ht="13.8">
      <c r="L728" s="33">
        <v>725</v>
      </c>
      <c r="M728" s="23">
        <f ca="1"/>
        <v>957.78849182107308</v>
      </c>
      <c r="N728" s="25">
        <f t="shared" si="33"/>
        <v>1106.9630000000002</v>
      </c>
      <c r="O728" s="25">
        <f t="shared" ca="1" si="34"/>
        <v>1</v>
      </c>
      <c r="P728" s="25">
        <f t="shared" ca="1" si="35"/>
        <v>0.13476015745686809</v>
      </c>
    </row>
    <row r="729" spans="12:16" s="23" customFormat="1" ht="13.8">
      <c r="L729" s="23">
        <v>726</v>
      </c>
      <c r="M729" s="23">
        <f ca="1"/>
        <v>1701.8065649489497</v>
      </c>
      <c r="N729" s="25">
        <f t="shared" si="33"/>
        <v>1106.9630000000002</v>
      </c>
      <c r="O729" s="25">
        <f t="shared" ca="1" si="34"/>
        <v>0</v>
      </c>
      <c r="P729" s="25">
        <f t="shared" ca="1" si="35"/>
        <v>0</v>
      </c>
    </row>
    <row r="730" spans="12:16" s="23" customFormat="1" ht="13.8">
      <c r="L730" s="33">
        <v>727</v>
      </c>
      <c r="M730" s="23">
        <f ca="1"/>
        <v>1376.819215491279</v>
      </c>
      <c r="N730" s="25">
        <f t="shared" si="33"/>
        <v>1106.9630000000002</v>
      </c>
      <c r="O730" s="25">
        <f t="shared" ca="1" si="34"/>
        <v>0</v>
      </c>
      <c r="P730" s="25">
        <f t="shared" ca="1" si="35"/>
        <v>0</v>
      </c>
    </row>
    <row r="731" spans="12:16" s="23" customFormat="1" ht="13.8">
      <c r="L731" s="23">
        <v>728</v>
      </c>
      <c r="M731" s="23">
        <f ca="1"/>
        <v>1270.8822197372454</v>
      </c>
      <c r="N731" s="25">
        <f t="shared" si="33"/>
        <v>1106.9630000000002</v>
      </c>
      <c r="O731" s="25">
        <f t="shared" ca="1" si="34"/>
        <v>0</v>
      </c>
      <c r="P731" s="25">
        <f t="shared" ca="1" si="35"/>
        <v>0</v>
      </c>
    </row>
    <row r="732" spans="12:16" s="23" customFormat="1" ht="13.8">
      <c r="L732" s="33">
        <v>729</v>
      </c>
      <c r="M732" s="23">
        <f ca="1"/>
        <v>2770.7117521971822</v>
      </c>
      <c r="N732" s="25">
        <f t="shared" si="33"/>
        <v>1106.9630000000002</v>
      </c>
      <c r="O732" s="25">
        <f t="shared" ca="1" si="34"/>
        <v>0</v>
      </c>
      <c r="P732" s="25">
        <f t="shared" ca="1" si="35"/>
        <v>0</v>
      </c>
    </row>
    <row r="733" spans="12:16" s="23" customFormat="1" ht="13.8">
      <c r="L733" s="23">
        <v>730</v>
      </c>
      <c r="M733" s="23">
        <f ca="1"/>
        <v>1422.9389517386655</v>
      </c>
      <c r="N733" s="25">
        <f t="shared" si="33"/>
        <v>1106.9630000000002</v>
      </c>
      <c r="O733" s="25">
        <f t="shared" ca="1" si="34"/>
        <v>0</v>
      </c>
      <c r="P733" s="25">
        <f t="shared" ca="1" si="35"/>
        <v>0</v>
      </c>
    </row>
    <row r="734" spans="12:16" s="23" customFormat="1" ht="13.8">
      <c r="L734" s="33">
        <v>731</v>
      </c>
      <c r="M734" s="23">
        <f ca="1"/>
        <v>1172.7053433107751</v>
      </c>
      <c r="N734" s="25">
        <f t="shared" si="33"/>
        <v>1106.9630000000002</v>
      </c>
      <c r="O734" s="25">
        <f t="shared" ca="1" si="34"/>
        <v>0</v>
      </c>
      <c r="P734" s="25">
        <f t="shared" ca="1" si="35"/>
        <v>0</v>
      </c>
    </row>
    <row r="735" spans="12:16" s="23" customFormat="1" ht="13.8">
      <c r="L735" s="23">
        <v>732</v>
      </c>
      <c r="M735" s="23">
        <f ca="1"/>
        <v>1894.6705567300878</v>
      </c>
      <c r="N735" s="25">
        <f t="shared" si="33"/>
        <v>1106.9630000000002</v>
      </c>
      <c r="O735" s="25">
        <f t="shared" ca="1" si="34"/>
        <v>0</v>
      </c>
      <c r="P735" s="25">
        <f t="shared" ca="1" si="35"/>
        <v>0</v>
      </c>
    </row>
    <row r="736" spans="12:16" s="23" customFormat="1" ht="13.8">
      <c r="L736" s="33">
        <v>733</v>
      </c>
      <c r="M736" s="23">
        <f ca="1"/>
        <v>875.11112592975883</v>
      </c>
      <c r="N736" s="25">
        <f t="shared" si="33"/>
        <v>1106.9630000000002</v>
      </c>
      <c r="O736" s="25">
        <f t="shared" ca="1" si="34"/>
        <v>1</v>
      </c>
      <c r="P736" s="25">
        <f t="shared" ca="1" si="35"/>
        <v>0.20944862120074595</v>
      </c>
    </row>
    <row r="737" spans="12:16" s="23" customFormat="1" ht="13.8">
      <c r="L737" s="23">
        <v>734</v>
      </c>
      <c r="M737" s="23">
        <f ca="1"/>
        <v>2184.9372254548575</v>
      </c>
      <c r="N737" s="25">
        <f t="shared" si="33"/>
        <v>1106.9630000000002</v>
      </c>
      <c r="O737" s="25">
        <f t="shared" ca="1" si="34"/>
        <v>0</v>
      </c>
      <c r="P737" s="25">
        <f t="shared" ca="1" si="35"/>
        <v>0</v>
      </c>
    </row>
    <row r="738" spans="12:16" s="23" customFormat="1" ht="13.8">
      <c r="L738" s="33">
        <v>735</v>
      </c>
      <c r="M738" s="23">
        <f ca="1"/>
        <v>906.82074088236925</v>
      </c>
      <c r="N738" s="25">
        <f t="shared" si="33"/>
        <v>1106.9630000000002</v>
      </c>
      <c r="O738" s="25">
        <f t="shared" ca="1" si="34"/>
        <v>1</v>
      </c>
      <c r="P738" s="25">
        <f t="shared" ca="1" si="35"/>
        <v>0.18080302513962157</v>
      </c>
    </row>
    <row r="739" spans="12:16" s="23" customFormat="1" ht="13.8">
      <c r="L739" s="23">
        <v>736</v>
      </c>
      <c r="M739" s="23">
        <f ca="1"/>
        <v>1370.2567987061341</v>
      </c>
      <c r="N739" s="25">
        <f t="shared" si="33"/>
        <v>1106.9630000000002</v>
      </c>
      <c r="O739" s="25">
        <f t="shared" ca="1" si="34"/>
        <v>0</v>
      </c>
      <c r="P739" s="25">
        <f t="shared" ca="1" si="35"/>
        <v>0</v>
      </c>
    </row>
    <row r="740" spans="12:16" s="23" customFormat="1" ht="13.8">
      <c r="L740" s="33">
        <v>737</v>
      </c>
      <c r="M740" s="23">
        <f ca="1"/>
        <v>2025.2611407551851</v>
      </c>
      <c r="N740" s="25">
        <f t="shared" si="33"/>
        <v>1106.9630000000002</v>
      </c>
      <c r="O740" s="25">
        <f t="shared" ca="1" si="34"/>
        <v>0</v>
      </c>
      <c r="P740" s="25">
        <f t="shared" ca="1" si="35"/>
        <v>0</v>
      </c>
    </row>
    <row r="741" spans="12:16" s="23" customFormat="1" ht="13.8">
      <c r="L741" s="23">
        <v>738</v>
      </c>
      <c r="M741" s="23">
        <f ca="1"/>
        <v>1360.5272377930025</v>
      </c>
      <c r="N741" s="25">
        <f t="shared" si="33"/>
        <v>1106.9630000000002</v>
      </c>
      <c r="O741" s="25">
        <f t="shared" ca="1" si="34"/>
        <v>0</v>
      </c>
      <c r="P741" s="25">
        <f t="shared" ca="1" si="35"/>
        <v>0</v>
      </c>
    </row>
    <row r="742" spans="12:16" s="23" customFormat="1" ht="13.8">
      <c r="L742" s="33">
        <v>739</v>
      </c>
      <c r="M742" s="23">
        <f ca="1"/>
        <v>1851.5628508393363</v>
      </c>
      <c r="N742" s="25">
        <f t="shared" si="33"/>
        <v>1106.9630000000002</v>
      </c>
      <c r="O742" s="25">
        <f t="shared" ca="1" si="34"/>
        <v>0</v>
      </c>
      <c r="P742" s="25">
        <f t="shared" ca="1" si="35"/>
        <v>0</v>
      </c>
    </row>
    <row r="743" spans="12:16" s="23" customFormat="1" ht="13.8">
      <c r="L743" s="23">
        <v>740</v>
      </c>
      <c r="M743" s="23">
        <f ca="1"/>
        <v>1193.1670885050871</v>
      </c>
      <c r="N743" s="25">
        <f t="shared" si="33"/>
        <v>1106.9630000000002</v>
      </c>
      <c r="O743" s="25">
        <f t="shared" ca="1" si="34"/>
        <v>0</v>
      </c>
      <c r="P743" s="25">
        <f t="shared" ca="1" si="35"/>
        <v>0</v>
      </c>
    </row>
    <row r="744" spans="12:16" s="23" customFormat="1" ht="13.8">
      <c r="L744" s="33">
        <v>741</v>
      </c>
      <c r="M744" s="23">
        <f ca="1"/>
        <v>1923.2730440669875</v>
      </c>
      <c r="N744" s="25">
        <f t="shared" si="33"/>
        <v>1106.9630000000002</v>
      </c>
      <c r="O744" s="25">
        <f t="shared" ca="1" si="34"/>
        <v>0</v>
      </c>
      <c r="P744" s="25">
        <f t="shared" ca="1" si="35"/>
        <v>0</v>
      </c>
    </row>
    <row r="745" spans="12:16" s="23" customFormat="1" ht="13.8">
      <c r="L745" s="23">
        <v>742</v>
      </c>
      <c r="M745" s="23">
        <f ca="1"/>
        <v>1840.6164286831672</v>
      </c>
      <c r="N745" s="25">
        <f t="shared" si="33"/>
        <v>1106.9630000000002</v>
      </c>
      <c r="O745" s="25">
        <f t="shared" ca="1" si="34"/>
        <v>0</v>
      </c>
      <c r="P745" s="25">
        <f t="shared" ca="1" si="35"/>
        <v>0</v>
      </c>
    </row>
    <row r="746" spans="12:16" s="23" customFormat="1" ht="13.8">
      <c r="L746" s="33">
        <v>743</v>
      </c>
      <c r="M746" s="23">
        <f ca="1"/>
        <v>1486.5664204959705</v>
      </c>
      <c r="N746" s="25">
        <f t="shared" si="33"/>
        <v>1106.9630000000002</v>
      </c>
      <c r="O746" s="25">
        <f t="shared" ca="1" si="34"/>
        <v>0</v>
      </c>
      <c r="P746" s="25">
        <f t="shared" ca="1" si="35"/>
        <v>0</v>
      </c>
    </row>
    <row r="747" spans="12:16" s="23" customFormat="1" ht="13.8">
      <c r="L747" s="23">
        <v>744</v>
      </c>
      <c r="M747" s="23">
        <f ca="1"/>
        <v>1925.9916740989006</v>
      </c>
      <c r="N747" s="25">
        <f t="shared" si="33"/>
        <v>1106.9630000000002</v>
      </c>
      <c r="O747" s="25">
        <f t="shared" ca="1" si="34"/>
        <v>0</v>
      </c>
      <c r="P747" s="25">
        <f t="shared" ca="1" si="35"/>
        <v>0</v>
      </c>
    </row>
    <row r="748" spans="12:16" s="23" customFormat="1" ht="13.8">
      <c r="L748" s="33">
        <v>745</v>
      </c>
      <c r="M748" s="23">
        <f ca="1"/>
        <v>1315.0649667775715</v>
      </c>
      <c r="N748" s="25">
        <f t="shared" si="33"/>
        <v>1106.9630000000002</v>
      </c>
      <c r="O748" s="25">
        <f t="shared" ca="1" si="34"/>
        <v>0</v>
      </c>
      <c r="P748" s="25">
        <f t="shared" ca="1" si="35"/>
        <v>0</v>
      </c>
    </row>
    <row r="749" spans="12:16" s="23" customFormat="1" ht="13.8">
      <c r="L749" s="23">
        <v>746</v>
      </c>
      <c r="M749" s="23">
        <f ca="1"/>
        <v>1662.2152450634228</v>
      </c>
      <c r="N749" s="25">
        <f t="shared" si="33"/>
        <v>1106.9630000000002</v>
      </c>
      <c r="O749" s="25">
        <f t="shared" ca="1" si="34"/>
        <v>0</v>
      </c>
      <c r="P749" s="25">
        <f t="shared" ca="1" si="35"/>
        <v>0</v>
      </c>
    </row>
    <row r="750" spans="12:16" s="23" customFormat="1" ht="13.8">
      <c r="L750" s="33">
        <v>747</v>
      </c>
      <c r="M750" s="23">
        <f ca="1"/>
        <v>1463.1138158744131</v>
      </c>
      <c r="N750" s="25">
        <f t="shared" si="33"/>
        <v>1106.9630000000002</v>
      </c>
      <c r="O750" s="25">
        <f t="shared" ca="1" si="34"/>
        <v>0</v>
      </c>
      <c r="P750" s="25">
        <f t="shared" ca="1" si="35"/>
        <v>0</v>
      </c>
    </row>
    <row r="751" spans="12:16" s="23" customFormat="1" ht="13.8">
      <c r="L751" s="23">
        <v>748</v>
      </c>
      <c r="M751" s="23">
        <f ca="1"/>
        <v>1233.1113217400282</v>
      </c>
      <c r="N751" s="25">
        <f t="shared" si="33"/>
        <v>1106.9630000000002</v>
      </c>
      <c r="O751" s="25">
        <f t="shared" ca="1" si="34"/>
        <v>0</v>
      </c>
      <c r="P751" s="25">
        <f t="shared" ca="1" si="35"/>
        <v>0</v>
      </c>
    </row>
    <row r="752" spans="12:16" s="23" customFormat="1" ht="13.8">
      <c r="L752" s="33">
        <v>749</v>
      </c>
      <c r="M752" s="23">
        <f ca="1"/>
        <v>1679.3920379899637</v>
      </c>
      <c r="N752" s="25">
        <f t="shared" si="33"/>
        <v>1106.9630000000002</v>
      </c>
      <c r="O752" s="25">
        <f t="shared" ca="1" si="34"/>
        <v>0</v>
      </c>
      <c r="P752" s="25">
        <f t="shared" ca="1" si="35"/>
        <v>0</v>
      </c>
    </row>
    <row r="753" spans="12:16" s="23" customFormat="1" ht="13.8">
      <c r="L753" s="23">
        <v>750</v>
      </c>
      <c r="M753" s="23">
        <f ca="1"/>
        <v>1921.2581467823811</v>
      </c>
      <c r="N753" s="25">
        <f t="shared" si="33"/>
        <v>1106.9630000000002</v>
      </c>
      <c r="O753" s="25">
        <f t="shared" ca="1" si="34"/>
        <v>0</v>
      </c>
      <c r="P753" s="25">
        <f t="shared" ca="1" si="35"/>
        <v>0</v>
      </c>
    </row>
    <row r="754" spans="12:16" s="23" customFormat="1" ht="13.8">
      <c r="L754" s="33">
        <v>751</v>
      </c>
      <c r="M754" s="23">
        <f ca="1"/>
        <v>1582.3453954332615</v>
      </c>
      <c r="N754" s="25">
        <f t="shared" si="33"/>
        <v>1106.9630000000002</v>
      </c>
      <c r="O754" s="25">
        <f t="shared" ca="1" si="34"/>
        <v>0</v>
      </c>
      <c r="P754" s="25">
        <f t="shared" ca="1" si="35"/>
        <v>0</v>
      </c>
    </row>
    <row r="755" spans="12:16" s="23" customFormat="1" ht="13.8">
      <c r="L755" s="23">
        <v>752</v>
      </c>
      <c r="M755" s="23">
        <f ca="1"/>
        <v>1379.1275890703184</v>
      </c>
      <c r="N755" s="25">
        <f t="shared" si="33"/>
        <v>1106.9630000000002</v>
      </c>
      <c r="O755" s="25">
        <f t="shared" ca="1" si="34"/>
        <v>0</v>
      </c>
      <c r="P755" s="25">
        <f t="shared" ca="1" si="35"/>
        <v>0</v>
      </c>
    </row>
    <row r="756" spans="12:16" s="23" customFormat="1" ht="13.8">
      <c r="L756" s="33">
        <v>753</v>
      </c>
      <c r="M756" s="23">
        <f ca="1"/>
        <v>1870.7826818001058</v>
      </c>
      <c r="N756" s="25">
        <f t="shared" si="33"/>
        <v>1106.9630000000002</v>
      </c>
      <c r="O756" s="25">
        <f t="shared" ca="1" si="34"/>
        <v>0</v>
      </c>
      <c r="P756" s="25">
        <f t="shared" ca="1" si="35"/>
        <v>0</v>
      </c>
    </row>
    <row r="757" spans="12:16" s="23" customFormat="1" ht="13.8">
      <c r="L757" s="23">
        <v>754</v>
      </c>
      <c r="M757" s="23">
        <f ca="1"/>
        <v>1994.2679250515655</v>
      </c>
      <c r="N757" s="25">
        <f t="shared" si="33"/>
        <v>1106.9630000000002</v>
      </c>
      <c r="O757" s="25">
        <f t="shared" ca="1" si="34"/>
        <v>0</v>
      </c>
      <c r="P757" s="25">
        <f t="shared" ca="1" si="35"/>
        <v>0</v>
      </c>
    </row>
    <row r="758" spans="12:16" s="23" customFormat="1" ht="13.8">
      <c r="L758" s="33">
        <v>755</v>
      </c>
      <c r="M758" s="23">
        <f ca="1"/>
        <v>1520.3084180572462</v>
      </c>
      <c r="N758" s="25">
        <f t="shared" si="33"/>
        <v>1106.9630000000002</v>
      </c>
      <c r="O758" s="25">
        <f t="shared" ca="1" si="34"/>
        <v>0</v>
      </c>
      <c r="P758" s="25">
        <f t="shared" ca="1" si="35"/>
        <v>0</v>
      </c>
    </row>
    <row r="759" spans="12:16" s="23" customFormat="1" ht="13.8">
      <c r="L759" s="23">
        <v>756</v>
      </c>
      <c r="M759" s="23">
        <f ca="1"/>
        <v>1245.3604429472512</v>
      </c>
      <c r="N759" s="25">
        <f t="shared" si="33"/>
        <v>1106.9630000000002</v>
      </c>
      <c r="O759" s="25">
        <f t="shared" ca="1" si="34"/>
        <v>0</v>
      </c>
      <c r="P759" s="25">
        <f t="shared" ca="1" si="35"/>
        <v>0</v>
      </c>
    </row>
    <row r="760" spans="12:16" s="23" customFormat="1" ht="13.8">
      <c r="L760" s="33">
        <v>757</v>
      </c>
      <c r="M760" s="23">
        <f ca="1"/>
        <v>2136.7057881650985</v>
      </c>
      <c r="N760" s="25">
        <f t="shared" si="33"/>
        <v>1106.9630000000002</v>
      </c>
      <c r="O760" s="25">
        <f t="shared" ca="1" si="34"/>
        <v>0</v>
      </c>
      <c r="P760" s="25">
        <f t="shared" ca="1" si="35"/>
        <v>0</v>
      </c>
    </row>
    <row r="761" spans="12:16" s="23" customFormat="1" ht="13.8">
      <c r="L761" s="23">
        <v>758</v>
      </c>
      <c r="M761" s="23">
        <f ca="1"/>
        <v>1782.8365592911</v>
      </c>
      <c r="N761" s="25">
        <f t="shared" si="33"/>
        <v>1106.9630000000002</v>
      </c>
      <c r="O761" s="25">
        <f t="shared" ca="1" si="34"/>
        <v>0</v>
      </c>
      <c r="P761" s="25">
        <f t="shared" ca="1" si="35"/>
        <v>0</v>
      </c>
    </row>
    <row r="762" spans="12:16" s="23" customFormat="1" ht="13.8">
      <c r="L762" s="33">
        <v>759</v>
      </c>
      <c r="M762" s="23">
        <f ca="1"/>
        <v>1615.5740036322732</v>
      </c>
      <c r="N762" s="25">
        <f t="shared" si="33"/>
        <v>1106.9630000000002</v>
      </c>
      <c r="O762" s="25">
        <f t="shared" ca="1" si="34"/>
        <v>0</v>
      </c>
      <c r="P762" s="25">
        <f t="shared" ca="1" si="35"/>
        <v>0</v>
      </c>
    </row>
    <row r="763" spans="12:16" s="23" customFormat="1" ht="13.8">
      <c r="L763" s="23">
        <v>760</v>
      </c>
      <c r="M763" s="23">
        <f ca="1"/>
        <v>1481.6340624982986</v>
      </c>
      <c r="N763" s="25">
        <f t="shared" si="33"/>
        <v>1106.9630000000002</v>
      </c>
      <c r="O763" s="25">
        <f t="shared" ca="1" si="34"/>
        <v>0</v>
      </c>
      <c r="P763" s="25">
        <f t="shared" ca="1" si="35"/>
        <v>0</v>
      </c>
    </row>
    <row r="764" spans="12:16" s="23" customFormat="1" ht="13.8">
      <c r="L764" s="33">
        <v>761</v>
      </c>
      <c r="M764" s="23">
        <f ca="1"/>
        <v>1790.5066371365649</v>
      </c>
      <c r="N764" s="25">
        <f t="shared" si="33"/>
        <v>1106.9630000000002</v>
      </c>
      <c r="O764" s="25">
        <f t="shared" ca="1" si="34"/>
        <v>0</v>
      </c>
      <c r="P764" s="25">
        <f t="shared" ca="1" si="35"/>
        <v>0</v>
      </c>
    </row>
    <row r="765" spans="12:16" s="23" customFormat="1" ht="13.8">
      <c r="L765" s="23">
        <v>762</v>
      </c>
      <c r="M765" s="23">
        <f ca="1"/>
        <v>1208.9106788657646</v>
      </c>
      <c r="N765" s="25">
        <f t="shared" si="33"/>
        <v>1106.9630000000002</v>
      </c>
      <c r="O765" s="25">
        <f t="shared" ca="1" si="34"/>
        <v>0</v>
      </c>
      <c r="P765" s="25">
        <f t="shared" ca="1" si="35"/>
        <v>0</v>
      </c>
    </row>
    <row r="766" spans="12:16" s="23" customFormat="1" ht="13.8">
      <c r="L766" s="33">
        <v>763</v>
      </c>
      <c r="M766" s="23">
        <f ca="1"/>
        <v>1272.7460139990819</v>
      </c>
      <c r="N766" s="25">
        <f t="shared" si="33"/>
        <v>1106.9630000000002</v>
      </c>
      <c r="O766" s="25">
        <f t="shared" ca="1" si="34"/>
        <v>0</v>
      </c>
      <c r="P766" s="25">
        <f t="shared" ca="1" si="35"/>
        <v>0</v>
      </c>
    </row>
    <row r="767" spans="12:16" s="23" customFormat="1" ht="13.8">
      <c r="L767" s="23">
        <v>764</v>
      </c>
      <c r="M767" s="23">
        <f ca="1"/>
        <v>1779.7963791679917</v>
      </c>
      <c r="N767" s="25">
        <f t="shared" si="33"/>
        <v>1106.9630000000002</v>
      </c>
      <c r="O767" s="25">
        <f t="shared" ca="1" si="34"/>
        <v>0</v>
      </c>
      <c r="P767" s="25">
        <f t="shared" ca="1" si="35"/>
        <v>0</v>
      </c>
    </row>
    <row r="768" spans="12:16" s="23" customFormat="1" ht="13.8">
      <c r="L768" s="33">
        <v>765</v>
      </c>
      <c r="M768" s="23">
        <f ca="1"/>
        <v>1984.399740538269</v>
      </c>
      <c r="N768" s="25">
        <f t="shared" si="33"/>
        <v>1106.9630000000002</v>
      </c>
      <c r="O768" s="25">
        <f t="shared" ca="1" si="34"/>
        <v>0</v>
      </c>
      <c r="P768" s="25">
        <f t="shared" ca="1" si="35"/>
        <v>0</v>
      </c>
    </row>
    <row r="769" spans="12:16" s="23" customFormat="1" ht="13.8">
      <c r="L769" s="23">
        <v>766</v>
      </c>
      <c r="M769" s="23">
        <f ca="1"/>
        <v>1075.8137446178193</v>
      </c>
      <c r="N769" s="25">
        <f t="shared" si="33"/>
        <v>1106.9630000000002</v>
      </c>
      <c r="O769" s="25">
        <f t="shared" ca="1" si="34"/>
        <v>1</v>
      </c>
      <c r="P769" s="25">
        <f t="shared" ca="1" si="35"/>
        <v>2.813938260102718E-2</v>
      </c>
    </row>
    <row r="770" spans="12:16" s="23" customFormat="1" ht="13.8">
      <c r="L770" s="33">
        <v>767</v>
      </c>
      <c r="M770" s="23">
        <f ca="1"/>
        <v>2099.7906500433046</v>
      </c>
      <c r="N770" s="25">
        <f t="shared" si="33"/>
        <v>1106.9630000000002</v>
      </c>
      <c r="O770" s="25">
        <f t="shared" ca="1" si="34"/>
        <v>0</v>
      </c>
      <c r="P770" s="25">
        <f t="shared" ca="1" si="35"/>
        <v>0</v>
      </c>
    </row>
    <row r="771" spans="12:16" s="23" customFormat="1" ht="13.8">
      <c r="L771" s="23">
        <v>768</v>
      </c>
      <c r="M771" s="23">
        <f ca="1"/>
        <v>1227.4353078432</v>
      </c>
      <c r="N771" s="25">
        <f t="shared" si="33"/>
        <v>1106.9630000000002</v>
      </c>
      <c r="O771" s="25">
        <f t="shared" ca="1" si="34"/>
        <v>0</v>
      </c>
      <c r="P771" s="25">
        <f t="shared" ca="1" si="35"/>
        <v>0</v>
      </c>
    </row>
    <row r="772" spans="12:16" s="23" customFormat="1" ht="13.8">
      <c r="L772" s="33">
        <v>769</v>
      </c>
      <c r="M772" s="23">
        <f ca="1"/>
        <v>1508.557121187411</v>
      </c>
      <c r="N772" s="25">
        <f t="shared" ref="N772:N835" si="36">($C$21+$E$21)*1.1</f>
        <v>1106.9630000000002</v>
      </c>
      <c r="O772" s="25">
        <f t="shared" ca="1" si="34"/>
        <v>0</v>
      </c>
      <c r="P772" s="25">
        <f t="shared" ca="1" si="35"/>
        <v>0</v>
      </c>
    </row>
    <row r="773" spans="12:16" s="23" customFormat="1" ht="13.8">
      <c r="L773" s="23">
        <v>770</v>
      </c>
      <c r="M773" s="23">
        <f ca="1"/>
        <v>1819.7580737257701</v>
      </c>
      <c r="N773" s="25">
        <f t="shared" si="36"/>
        <v>1106.9630000000002</v>
      </c>
      <c r="O773" s="25">
        <f t="shared" ref="O773:O836" ca="1" si="37">IF(M773&lt;N773,1,0)</f>
        <v>0</v>
      </c>
      <c r="P773" s="25">
        <f t="shared" ref="P773:P836" ca="1" si="38">MAX((N773-M773)/N773,0)</f>
        <v>0</v>
      </c>
    </row>
    <row r="774" spans="12:16" s="23" customFormat="1" ht="13.8">
      <c r="L774" s="33">
        <v>771</v>
      </c>
      <c r="M774" s="23">
        <f ca="1"/>
        <v>1973.8022240694379</v>
      </c>
      <c r="N774" s="25">
        <f t="shared" si="36"/>
        <v>1106.9630000000002</v>
      </c>
      <c r="O774" s="25">
        <f t="shared" ca="1" si="37"/>
        <v>0</v>
      </c>
      <c r="P774" s="25">
        <f t="shared" ca="1" si="38"/>
        <v>0</v>
      </c>
    </row>
    <row r="775" spans="12:16" s="23" customFormat="1" ht="13.8">
      <c r="L775" s="23">
        <v>772</v>
      </c>
      <c r="M775" s="23">
        <f ca="1"/>
        <v>1507.5233114183077</v>
      </c>
      <c r="N775" s="25">
        <f t="shared" si="36"/>
        <v>1106.9630000000002</v>
      </c>
      <c r="O775" s="25">
        <f t="shared" ca="1" si="37"/>
        <v>0</v>
      </c>
      <c r="P775" s="25">
        <f t="shared" ca="1" si="38"/>
        <v>0</v>
      </c>
    </row>
    <row r="776" spans="12:16" s="23" customFormat="1" ht="13.8">
      <c r="L776" s="33">
        <v>773</v>
      </c>
      <c r="M776" s="23">
        <f ca="1"/>
        <v>1088.4416749102875</v>
      </c>
      <c r="N776" s="25">
        <f t="shared" si="36"/>
        <v>1106.9630000000002</v>
      </c>
      <c r="O776" s="25">
        <f t="shared" ca="1" si="37"/>
        <v>1</v>
      </c>
      <c r="P776" s="25">
        <f t="shared" ca="1" si="38"/>
        <v>1.6731656875354203E-2</v>
      </c>
    </row>
    <row r="777" spans="12:16" s="23" customFormat="1" ht="13.8">
      <c r="L777" s="23">
        <v>774</v>
      </c>
      <c r="M777" s="23">
        <f ca="1"/>
        <v>1654.4141262147982</v>
      </c>
      <c r="N777" s="25">
        <f t="shared" si="36"/>
        <v>1106.9630000000002</v>
      </c>
      <c r="O777" s="25">
        <f t="shared" ca="1" si="37"/>
        <v>0</v>
      </c>
      <c r="P777" s="25">
        <f t="shared" ca="1" si="38"/>
        <v>0</v>
      </c>
    </row>
    <row r="778" spans="12:16" s="23" customFormat="1" ht="13.8">
      <c r="L778" s="33">
        <v>775</v>
      </c>
      <c r="M778" s="23">
        <f ca="1"/>
        <v>1073.3731071678069</v>
      </c>
      <c r="N778" s="25">
        <f t="shared" si="36"/>
        <v>1106.9630000000002</v>
      </c>
      <c r="O778" s="25">
        <f t="shared" ca="1" si="37"/>
        <v>1</v>
      </c>
      <c r="P778" s="25">
        <f t="shared" ca="1" si="38"/>
        <v>3.0344187504183332E-2</v>
      </c>
    </row>
    <row r="779" spans="12:16" s="23" customFormat="1" ht="13.8">
      <c r="L779" s="23">
        <v>776</v>
      </c>
      <c r="M779" s="23">
        <f ca="1"/>
        <v>1356.5984498535299</v>
      </c>
      <c r="N779" s="25">
        <f t="shared" si="36"/>
        <v>1106.9630000000002</v>
      </c>
      <c r="O779" s="25">
        <f t="shared" ca="1" si="37"/>
        <v>0</v>
      </c>
      <c r="P779" s="25">
        <f t="shared" ca="1" si="38"/>
        <v>0</v>
      </c>
    </row>
    <row r="780" spans="12:16" s="23" customFormat="1" ht="13.8">
      <c r="L780" s="33">
        <v>777</v>
      </c>
      <c r="M780" s="23">
        <f ca="1"/>
        <v>1660.8972529617495</v>
      </c>
      <c r="N780" s="25">
        <f t="shared" si="36"/>
        <v>1106.9630000000002</v>
      </c>
      <c r="O780" s="25">
        <f t="shared" ca="1" si="37"/>
        <v>0</v>
      </c>
      <c r="P780" s="25">
        <f t="shared" ca="1" si="38"/>
        <v>0</v>
      </c>
    </row>
    <row r="781" spans="12:16" s="23" customFormat="1" ht="13.8">
      <c r="L781" s="23">
        <v>778</v>
      </c>
      <c r="M781" s="23">
        <f ca="1"/>
        <v>873.24734307702181</v>
      </c>
      <c r="N781" s="25">
        <f t="shared" si="36"/>
        <v>1106.9630000000002</v>
      </c>
      <c r="O781" s="25">
        <f t="shared" ca="1" si="37"/>
        <v>1</v>
      </c>
      <c r="P781" s="25">
        <f t="shared" ca="1" si="38"/>
        <v>0.211132311489163</v>
      </c>
    </row>
    <row r="782" spans="12:16" s="23" customFormat="1" ht="13.8">
      <c r="L782" s="33">
        <v>779</v>
      </c>
      <c r="M782" s="23">
        <f ca="1"/>
        <v>1372.5596191018742</v>
      </c>
      <c r="N782" s="25">
        <f t="shared" si="36"/>
        <v>1106.9630000000002</v>
      </c>
      <c r="O782" s="25">
        <f t="shared" ca="1" si="37"/>
        <v>0</v>
      </c>
      <c r="P782" s="25">
        <f t="shared" ca="1" si="38"/>
        <v>0</v>
      </c>
    </row>
    <row r="783" spans="12:16" s="23" customFormat="1" ht="13.8">
      <c r="L783" s="23">
        <v>780</v>
      </c>
      <c r="M783" s="23">
        <f ca="1"/>
        <v>2277.6576606524895</v>
      </c>
      <c r="N783" s="25">
        <f t="shared" si="36"/>
        <v>1106.9630000000002</v>
      </c>
      <c r="O783" s="25">
        <f t="shared" ca="1" si="37"/>
        <v>0</v>
      </c>
      <c r="P783" s="25">
        <f t="shared" ca="1" si="38"/>
        <v>0</v>
      </c>
    </row>
    <row r="784" spans="12:16" s="23" customFormat="1" ht="13.8">
      <c r="L784" s="33">
        <v>781</v>
      </c>
      <c r="M784" s="23">
        <f ca="1"/>
        <v>1120.043900240119</v>
      </c>
      <c r="N784" s="25">
        <f t="shared" si="36"/>
        <v>1106.9630000000002</v>
      </c>
      <c r="O784" s="25">
        <f t="shared" ca="1" si="37"/>
        <v>0</v>
      </c>
      <c r="P784" s="25">
        <f t="shared" ca="1" si="38"/>
        <v>0</v>
      </c>
    </row>
    <row r="785" spans="12:16" s="23" customFormat="1" ht="13.8">
      <c r="L785" s="23">
        <v>782</v>
      </c>
      <c r="M785" s="23">
        <f ca="1"/>
        <v>1837.129640419055</v>
      </c>
      <c r="N785" s="25">
        <f t="shared" si="36"/>
        <v>1106.9630000000002</v>
      </c>
      <c r="O785" s="25">
        <f t="shared" ca="1" si="37"/>
        <v>0</v>
      </c>
      <c r="P785" s="25">
        <f t="shared" ca="1" si="38"/>
        <v>0</v>
      </c>
    </row>
    <row r="786" spans="12:16" s="23" customFormat="1" ht="13.8">
      <c r="L786" s="33">
        <v>783</v>
      </c>
      <c r="M786" s="23">
        <f ca="1"/>
        <v>944.47507604311863</v>
      </c>
      <c r="N786" s="25">
        <f t="shared" si="36"/>
        <v>1106.9630000000002</v>
      </c>
      <c r="O786" s="25">
        <f t="shared" ca="1" si="37"/>
        <v>1</v>
      </c>
      <c r="P786" s="25">
        <f t="shared" ca="1" si="38"/>
        <v>0.14678713196094317</v>
      </c>
    </row>
    <row r="787" spans="12:16" s="23" customFormat="1" ht="13.8">
      <c r="L787" s="23">
        <v>784</v>
      </c>
      <c r="M787" s="23">
        <f ca="1"/>
        <v>1611.2959557642575</v>
      </c>
      <c r="N787" s="25">
        <f t="shared" si="36"/>
        <v>1106.9630000000002</v>
      </c>
      <c r="O787" s="25">
        <f t="shared" ca="1" si="37"/>
        <v>0</v>
      </c>
      <c r="P787" s="25">
        <f t="shared" ca="1" si="38"/>
        <v>0</v>
      </c>
    </row>
    <row r="788" spans="12:16" s="23" customFormat="1" ht="13.8">
      <c r="L788" s="33">
        <v>785</v>
      </c>
      <c r="M788" s="23">
        <f ca="1"/>
        <v>1546.8150352879854</v>
      </c>
      <c r="N788" s="25">
        <f t="shared" si="36"/>
        <v>1106.9630000000002</v>
      </c>
      <c r="O788" s="25">
        <f t="shared" ca="1" si="37"/>
        <v>0</v>
      </c>
      <c r="P788" s="25">
        <f t="shared" ca="1" si="38"/>
        <v>0</v>
      </c>
    </row>
    <row r="789" spans="12:16" s="23" customFormat="1" ht="13.8">
      <c r="L789" s="23">
        <v>786</v>
      </c>
      <c r="M789" s="23">
        <f ca="1"/>
        <v>1955.413557917999</v>
      </c>
      <c r="N789" s="25">
        <f t="shared" si="36"/>
        <v>1106.9630000000002</v>
      </c>
      <c r="O789" s="25">
        <f t="shared" ca="1" si="37"/>
        <v>0</v>
      </c>
      <c r="P789" s="25">
        <f t="shared" ca="1" si="38"/>
        <v>0</v>
      </c>
    </row>
    <row r="790" spans="12:16" s="23" customFormat="1" ht="13.8">
      <c r="L790" s="33">
        <v>787</v>
      </c>
      <c r="M790" s="23">
        <f ca="1"/>
        <v>948.36241691761961</v>
      </c>
      <c r="N790" s="25">
        <f t="shared" si="36"/>
        <v>1106.9630000000002</v>
      </c>
      <c r="O790" s="25">
        <f t="shared" ca="1" si="37"/>
        <v>1</v>
      </c>
      <c r="P790" s="25">
        <f t="shared" ca="1" si="38"/>
        <v>0.14327541488051593</v>
      </c>
    </row>
    <row r="791" spans="12:16" s="23" customFormat="1" ht="13.8">
      <c r="L791" s="23">
        <v>788</v>
      </c>
      <c r="M791" s="23">
        <f ca="1"/>
        <v>1510.4341317538267</v>
      </c>
      <c r="N791" s="25">
        <f t="shared" si="36"/>
        <v>1106.9630000000002</v>
      </c>
      <c r="O791" s="25">
        <f t="shared" ca="1" si="37"/>
        <v>0</v>
      </c>
      <c r="P791" s="25">
        <f t="shared" ca="1" si="38"/>
        <v>0</v>
      </c>
    </row>
    <row r="792" spans="12:16" s="23" customFormat="1" ht="13.8">
      <c r="L792" s="33">
        <v>789</v>
      </c>
      <c r="M792" s="23">
        <f ca="1"/>
        <v>2431.812568496659</v>
      </c>
      <c r="N792" s="25">
        <f t="shared" si="36"/>
        <v>1106.9630000000002</v>
      </c>
      <c r="O792" s="25">
        <f t="shared" ca="1" si="37"/>
        <v>0</v>
      </c>
      <c r="P792" s="25">
        <f t="shared" ca="1" si="38"/>
        <v>0</v>
      </c>
    </row>
    <row r="793" spans="12:16" s="23" customFormat="1" ht="13.8">
      <c r="L793" s="23">
        <v>790</v>
      </c>
      <c r="M793" s="23">
        <f ca="1"/>
        <v>1348.0170614175847</v>
      </c>
      <c r="N793" s="25">
        <f t="shared" si="36"/>
        <v>1106.9630000000002</v>
      </c>
      <c r="O793" s="25">
        <f t="shared" ca="1" si="37"/>
        <v>0</v>
      </c>
      <c r="P793" s="25">
        <f t="shared" ca="1" si="38"/>
        <v>0</v>
      </c>
    </row>
    <row r="794" spans="12:16" s="23" customFormat="1" ht="13.8">
      <c r="L794" s="33">
        <v>791</v>
      </c>
      <c r="M794" s="23">
        <f ca="1"/>
        <v>1383.4764859154302</v>
      </c>
      <c r="N794" s="25">
        <f t="shared" si="36"/>
        <v>1106.9630000000002</v>
      </c>
      <c r="O794" s="25">
        <f t="shared" ca="1" si="37"/>
        <v>0</v>
      </c>
      <c r="P794" s="25">
        <f t="shared" ca="1" si="38"/>
        <v>0</v>
      </c>
    </row>
    <row r="795" spans="12:16" s="23" customFormat="1" ht="13.8">
      <c r="L795" s="23">
        <v>792</v>
      </c>
      <c r="M795" s="23">
        <f ca="1"/>
        <v>1766.3773448141608</v>
      </c>
      <c r="N795" s="25">
        <f t="shared" si="36"/>
        <v>1106.9630000000002</v>
      </c>
      <c r="O795" s="25">
        <f t="shared" ca="1" si="37"/>
        <v>0</v>
      </c>
      <c r="P795" s="25">
        <f t="shared" ca="1" si="38"/>
        <v>0</v>
      </c>
    </row>
    <row r="796" spans="12:16" s="23" customFormat="1" ht="13.8">
      <c r="L796" s="33">
        <v>793</v>
      </c>
      <c r="M796" s="23">
        <f ca="1"/>
        <v>1921.1411608027263</v>
      </c>
      <c r="N796" s="25">
        <f t="shared" si="36"/>
        <v>1106.9630000000002</v>
      </c>
      <c r="O796" s="25">
        <f t="shared" ca="1" si="37"/>
        <v>0</v>
      </c>
      <c r="P796" s="25">
        <f t="shared" ca="1" si="38"/>
        <v>0</v>
      </c>
    </row>
    <row r="797" spans="12:16" s="23" customFormat="1" ht="13.8">
      <c r="L797" s="23">
        <v>794</v>
      </c>
      <c r="M797" s="23">
        <f ca="1"/>
        <v>1877.1317932136112</v>
      </c>
      <c r="N797" s="25">
        <f t="shared" si="36"/>
        <v>1106.9630000000002</v>
      </c>
      <c r="O797" s="25">
        <f t="shared" ca="1" si="37"/>
        <v>0</v>
      </c>
      <c r="P797" s="25">
        <f t="shared" ca="1" si="38"/>
        <v>0</v>
      </c>
    </row>
    <row r="798" spans="12:16" s="23" customFormat="1" ht="13.8">
      <c r="L798" s="33">
        <v>795</v>
      </c>
      <c r="M798" s="23">
        <f ca="1"/>
        <v>1651.8177921264125</v>
      </c>
      <c r="N798" s="25">
        <f t="shared" si="36"/>
        <v>1106.9630000000002</v>
      </c>
      <c r="O798" s="25">
        <f t="shared" ca="1" si="37"/>
        <v>0</v>
      </c>
      <c r="P798" s="25">
        <f t="shared" ca="1" si="38"/>
        <v>0</v>
      </c>
    </row>
    <row r="799" spans="12:16" s="23" customFormat="1" ht="13.8">
      <c r="L799" s="23">
        <v>796</v>
      </c>
      <c r="M799" s="23">
        <f ca="1"/>
        <v>1751.8487385332239</v>
      </c>
      <c r="N799" s="25">
        <f t="shared" si="36"/>
        <v>1106.9630000000002</v>
      </c>
      <c r="O799" s="25">
        <f t="shared" ca="1" si="37"/>
        <v>0</v>
      </c>
      <c r="P799" s="25">
        <f t="shared" ca="1" si="38"/>
        <v>0</v>
      </c>
    </row>
    <row r="800" spans="12:16" s="23" customFormat="1" ht="13.8">
      <c r="L800" s="33">
        <v>797</v>
      </c>
      <c r="M800" s="23">
        <f ca="1"/>
        <v>1854.9785216597527</v>
      </c>
      <c r="N800" s="25">
        <f t="shared" si="36"/>
        <v>1106.9630000000002</v>
      </c>
      <c r="O800" s="25">
        <f t="shared" ca="1" si="37"/>
        <v>0</v>
      </c>
      <c r="P800" s="25">
        <f t="shared" ca="1" si="38"/>
        <v>0</v>
      </c>
    </row>
    <row r="801" spans="12:16" s="23" customFormat="1" ht="13.8">
      <c r="L801" s="23">
        <v>798</v>
      </c>
      <c r="M801" s="23">
        <f ca="1"/>
        <v>2110.5857360043224</v>
      </c>
      <c r="N801" s="25">
        <f t="shared" si="36"/>
        <v>1106.9630000000002</v>
      </c>
      <c r="O801" s="25">
        <f t="shared" ca="1" si="37"/>
        <v>0</v>
      </c>
      <c r="P801" s="25">
        <f t="shared" ca="1" si="38"/>
        <v>0</v>
      </c>
    </row>
    <row r="802" spans="12:16" s="23" customFormat="1" ht="13.8">
      <c r="L802" s="33">
        <v>799</v>
      </c>
      <c r="M802" s="23">
        <f ca="1"/>
        <v>1368.5384985901219</v>
      </c>
      <c r="N802" s="25">
        <f t="shared" si="36"/>
        <v>1106.9630000000002</v>
      </c>
      <c r="O802" s="25">
        <f t="shared" ca="1" si="37"/>
        <v>0</v>
      </c>
      <c r="P802" s="25">
        <f t="shared" ca="1" si="38"/>
        <v>0</v>
      </c>
    </row>
    <row r="803" spans="12:16" s="23" customFormat="1" ht="13.8">
      <c r="L803" s="23">
        <v>800</v>
      </c>
      <c r="M803" s="23">
        <f ca="1"/>
        <v>2163.2428670482368</v>
      </c>
      <c r="N803" s="25">
        <f t="shared" si="36"/>
        <v>1106.9630000000002</v>
      </c>
      <c r="O803" s="25">
        <f t="shared" ca="1" si="37"/>
        <v>0</v>
      </c>
      <c r="P803" s="25">
        <f t="shared" ca="1" si="38"/>
        <v>0</v>
      </c>
    </row>
    <row r="804" spans="12:16" s="23" customFormat="1" ht="13.8">
      <c r="L804" s="33">
        <v>801</v>
      </c>
      <c r="M804" s="23">
        <f ca="1"/>
        <v>1717.2204273629804</v>
      </c>
      <c r="N804" s="25">
        <f t="shared" si="36"/>
        <v>1106.9630000000002</v>
      </c>
      <c r="O804" s="25">
        <f t="shared" ca="1" si="37"/>
        <v>0</v>
      </c>
      <c r="P804" s="25">
        <f t="shared" ca="1" si="38"/>
        <v>0</v>
      </c>
    </row>
    <row r="805" spans="12:16" s="23" customFormat="1" ht="13.8">
      <c r="L805" s="23">
        <v>802</v>
      </c>
      <c r="M805" s="23">
        <f ca="1"/>
        <v>1584.009728439331</v>
      </c>
      <c r="N805" s="25">
        <f t="shared" si="36"/>
        <v>1106.9630000000002</v>
      </c>
      <c r="O805" s="25">
        <f t="shared" ca="1" si="37"/>
        <v>0</v>
      </c>
      <c r="P805" s="25">
        <f t="shared" ca="1" si="38"/>
        <v>0</v>
      </c>
    </row>
    <row r="806" spans="12:16" s="23" customFormat="1" ht="13.8">
      <c r="L806" s="33">
        <v>803</v>
      </c>
      <c r="M806" s="23">
        <f ca="1"/>
        <v>1136.6771517467616</v>
      </c>
      <c r="N806" s="25">
        <f t="shared" si="36"/>
        <v>1106.9630000000002</v>
      </c>
      <c r="O806" s="25">
        <f t="shared" ca="1" si="37"/>
        <v>0</v>
      </c>
      <c r="P806" s="25">
        <f t="shared" ca="1" si="38"/>
        <v>0</v>
      </c>
    </row>
    <row r="807" spans="12:16" s="23" customFormat="1" ht="13.8">
      <c r="L807" s="23">
        <v>804</v>
      </c>
      <c r="M807" s="23">
        <f ca="1"/>
        <v>936.17502334644905</v>
      </c>
      <c r="N807" s="25">
        <f t="shared" si="36"/>
        <v>1106.9630000000002</v>
      </c>
      <c r="O807" s="25">
        <f t="shared" ca="1" si="37"/>
        <v>1</v>
      </c>
      <c r="P807" s="25">
        <f t="shared" ca="1" si="38"/>
        <v>0.15428517182015217</v>
      </c>
    </row>
    <row r="808" spans="12:16" s="23" customFormat="1" ht="13.8">
      <c r="L808" s="33">
        <v>805</v>
      </c>
      <c r="M808" s="23">
        <f ca="1"/>
        <v>1253.1387145168756</v>
      </c>
      <c r="N808" s="25">
        <f t="shared" si="36"/>
        <v>1106.9630000000002</v>
      </c>
      <c r="O808" s="25">
        <f t="shared" ca="1" si="37"/>
        <v>0</v>
      </c>
      <c r="P808" s="25">
        <f t="shared" ca="1" si="38"/>
        <v>0</v>
      </c>
    </row>
    <row r="809" spans="12:16" s="23" customFormat="1" ht="13.8">
      <c r="L809" s="23">
        <v>806</v>
      </c>
      <c r="M809" s="23">
        <f ca="1"/>
        <v>1804.8535987559781</v>
      </c>
      <c r="N809" s="25">
        <f t="shared" si="36"/>
        <v>1106.9630000000002</v>
      </c>
      <c r="O809" s="25">
        <f t="shared" ca="1" si="37"/>
        <v>0</v>
      </c>
      <c r="P809" s="25">
        <f t="shared" ca="1" si="38"/>
        <v>0</v>
      </c>
    </row>
    <row r="810" spans="12:16" s="23" customFormat="1" ht="13.8">
      <c r="L810" s="33">
        <v>807</v>
      </c>
      <c r="M810" s="23">
        <f ca="1"/>
        <v>1567.7252616299024</v>
      </c>
      <c r="N810" s="25">
        <f t="shared" si="36"/>
        <v>1106.9630000000002</v>
      </c>
      <c r="O810" s="25">
        <f t="shared" ca="1" si="37"/>
        <v>0</v>
      </c>
      <c r="P810" s="25">
        <f t="shared" ca="1" si="38"/>
        <v>0</v>
      </c>
    </row>
    <row r="811" spans="12:16" s="23" customFormat="1" ht="13.8">
      <c r="L811" s="23">
        <v>808</v>
      </c>
      <c r="M811" s="23">
        <f ca="1"/>
        <v>1542.5190917433131</v>
      </c>
      <c r="N811" s="25">
        <f t="shared" si="36"/>
        <v>1106.9630000000002</v>
      </c>
      <c r="O811" s="25">
        <f t="shared" ca="1" si="37"/>
        <v>0</v>
      </c>
      <c r="P811" s="25">
        <f t="shared" ca="1" si="38"/>
        <v>0</v>
      </c>
    </row>
    <row r="812" spans="12:16" s="23" customFormat="1" ht="13.8">
      <c r="L812" s="33">
        <v>809</v>
      </c>
      <c r="M812" s="23">
        <f ca="1"/>
        <v>1281.2792315666902</v>
      </c>
      <c r="N812" s="25">
        <f t="shared" si="36"/>
        <v>1106.9630000000002</v>
      </c>
      <c r="O812" s="25">
        <f t="shared" ca="1" si="37"/>
        <v>0</v>
      </c>
      <c r="P812" s="25">
        <f t="shared" ca="1" si="38"/>
        <v>0</v>
      </c>
    </row>
    <row r="813" spans="12:16" s="23" customFormat="1" ht="13.8">
      <c r="L813" s="23">
        <v>810</v>
      </c>
      <c r="M813" s="23">
        <f ca="1"/>
        <v>866.99466254120762</v>
      </c>
      <c r="N813" s="25">
        <f t="shared" si="36"/>
        <v>1106.9630000000002</v>
      </c>
      <c r="O813" s="25">
        <f t="shared" ca="1" si="37"/>
        <v>1</v>
      </c>
      <c r="P813" s="25">
        <f t="shared" ca="1" si="38"/>
        <v>0.21678081151654802</v>
      </c>
    </row>
    <row r="814" spans="12:16" s="23" customFormat="1" ht="13.8">
      <c r="L814" s="33">
        <v>811</v>
      </c>
      <c r="M814" s="23">
        <f ca="1"/>
        <v>2356.9398946507986</v>
      </c>
      <c r="N814" s="25">
        <f t="shared" si="36"/>
        <v>1106.9630000000002</v>
      </c>
      <c r="O814" s="25">
        <f t="shared" ca="1" si="37"/>
        <v>0</v>
      </c>
      <c r="P814" s="25">
        <f t="shared" ca="1" si="38"/>
        <v>0</v>
      </c>
    </row>
    <row r="815" spans="12:16" s="23" customFormat="1" ht="13.8">
      <c r="L815" s="23">
        <v>812</v>
      </c>
      <c r="M815" s="23">
        <f ca="1"/>
        <v>783.70036573638401</v>
      </c>
      <c r="N815" s="25">
        <f t="shared" si="36"/>
        <v>1106.9630000000002</v>
      </c>
      <c r="O815" s="25">
        <f t="shared" ca="1" si="37"/>
        <v>1</v>
      </c>
      <c r="P815" s="25">
        <f t="shared" ca="1" si="38"/>
        <v>0.29202659371958783</v>
      </c>
    </row>
    <row r="816" spans="12:16" s="23" customFormat="1" ht="13.8">
      <c r="L816" s="33">
        <v>813</v>
      </c>
      <c r="M816" s="23">
        <f ca="1"/>
        <v>1797.1706118975751</v>
      </c>
      <c r="N816" s="25">
        <f t="shared" si="36"/>
        <v>1106.9630000000002</v>
      </c>
      <c r="O816" s="25">
        <f t="shared" ca="1" si="37"/>
        <v>0</v>
      </c>
      <c r="P816" s="25">
        <f t="shared" ca="1" si="38"/>
        <v>0</v>
      </c>
    </row>
    <row r="817" spans="12:16" s="23" customFormat="1" ht="13.8">
      <c r="L817" s="23">
        <v>814</v>
      </c>
      <c r="M817" s="23">
        <f ca="1"/>
        <v>1169.6301224460926</v>
      </c>
      <c r="N817" s="25">
        <f t="shared" si="36"/>
        <v>1106.9630000000002</v>
      </c>
      <c r="O817" s="25">
        <f t="shared" ca="1" si="37"/>
        <v>0</v>
      </c>
      <c r="P817" s="25">
        <f t="shared" ca="1" si="38"/>
        <v>0</v>
      </c>
    </row>
    <row r="818" spans="12:16" s="23" customFormat="1" ht="13.8">
      <c r="L818" s="33">
        <v>815</v>
      </c>
      <c r="M818" s="23">
        <f ca="1"/>
        <v>1701.0965071446119</v>
      </c>
      <c r="N818" s="25">
        <f t="shared" si="36"/>
        <v>1106.9630000000002</v>
      </c>
      <c r="O818" s="25">
        <f t="shared" ca="1" si="37"/>
        <v>0</v>
      </c>
      <c r="P818" s="25">
        <f t="shared" ca="1" si="38"/>
        <v>0</v>
      </c>
    </row>
    <row r="819" spans="12:16" s="23" customFormat="1" ht="13.8">
      <c r="L819" s="23">
        <v>816</v>
      </c>
      <c r="M819" s="23">
        <f ca="1"/>
        <v>1856.9278750009516</v>
      </c>
      <c r="N819" s="25">
        <f t="shared" si="36"/>
        <v>1106.9630000000002</v>
      </c>
      <c r="O819" s="25">
        <f t="shared" ca="1" si="37"/>
        <v>0</v>
      </c>
      <c r="P819" s="25">
        <f t="shared" ca="1" si="38"/>
        <v>0</v>
      </c>
    </row>
    <row r="820" spans="12:16" s="23" customFormat="1" ht="13.8">
      <c r="L820" s="33">
        <v>817</v>
      </c>
      <c r="M820" s="23">
        <f ca="1"/>
        <v>1201.0332128533837</v>
      </c>
      <c r="N820" s="25">
        <f t="shared" si="36"/>
        <v>1106.9630000000002</v>
      </c>
      <c r="O820" s="25">
        <f t="shared" ca="1" si="37"/>
        <v>0</v>
      </c>
      <c r="P820" s="25">
        <f t="shared" ca="1" si="38"/>
        <v>0</v>
      </c>
    </row>
    <row r="821" spans="12:16" s="23" customFormat="1" ht="13.8">
      <c r="L821" s="23">
        <v>818</v>
      </c>
      <c r="M821" s="23">
        <f ca="1"/>
        <v>1934.6805210425837</v>
      </c>
      <c r="N821" s="25">
        <f t="shared" si="36"/>
        <v>1106.9630000000002</v>
      </c>
      <c r="O821" s="25">
        <f t="shared" ca="1" si="37"/>
        <v>0</v>
      </c>
      <c r="P821" s="25">
        <f t="shared" ca="1" si="38"/>
        <v>0</v>
      </c>
    </row>
    <row r="822" spans="12:16" s="23" customFormat="1" ht="13.8">
      <c r="L822" s="33">
        <v>819</v>
      </c>
      <c r="M822" s="23">
        <f ca="1"/>
        <v>1030.4613385178782</v>
      </c>
      <c r="N822" s="25">
        <f t="shared" si="36"/>
        <v>1106.9630000000002</v>
      </c>
      <c r="O822" s="25">
        <f t="shared" ca="1" si="37"/>
        <v>1</v>
      </c>
      <c r="P822" s="25">
        <f t="shared" ca="1" si="38"/>
        <v>6.9109501837118323E-2</v>
      </c>
    </row>
    <row r="823" spans="12:16" s="23" customFormat="1" ht="13.8">
      <c r="L823" s="23">
        <v>820</v>
      </c>
      <c r="M823" s="23">
        <f ca="1"/>
        <v>1711.5382616629822</v>
      </c>
      <c r="N823" s="25">
        <f t="shared" si="36"/>
        <v>1106.9630000000002</v>
      </c>
      <c r="O823" s="25">
        <f t="shared" ca="1" si="37"/>
        <v>0</v>
      </c>
      <c r="P823" s="25">
        <f t="shared" ca="1" si="38"/>
        <v>0</v>
      </c>
    </row>
    <row r="824" spans="12:16" s="23" customFormat="1" ht="13.8">
      <c r="L824" s="33">
        <v>821</v>
      </c>
      <c r="M824" s="23">
        <f ca="1"/>
        <v>1994.9342236058603</v>
      </c>
      <c r="N824" s="25">
        <f t="shared" si="36"/>
        <v>1106.9630000000002</v>
      </c>
      <c r="O824" s="25">
        <f t="shared" ca="1" si="37"/>
        <v>0</v>
      </c>
      <c r="P824" s="25">
        <f t="shared" ca="1" si="38"/>
        <v>0</v>
      </c>
    </row>
    <row r="825" spans="12:16" s="23" customFormat="1" ht="13.8">
      <c r="L825" s="23">
        <v>822</v>
      </c>
      <c r="M825" s="23">
        <f ca="1"/>
        <v>1718.80748524872</v>
      </c>
      <c r="N825" s="25">
        <f t="shared" si="36"/>
        <v>1106.9630000000002</v>
      </c>
      <c r="O825" s="25">
        <f t="shared" ca="1" si="37"/>
        <v>0</v>
      </c>
      <c r="P825" s="25">
        <f t="shared" ca="1" si="38"/>
        <v>0</v>
      </c>
    </row>
    <row r="826" spans="12:16" s="23" customFormat="1" ht="13.8">
      <c r="L826" s="33">
        <v>823</v>
      </c>
      <c r="M826" s="23">
        <f ca="1"/>
        <v>1459.1771028344367</v>
      </c>
      <c r="N826" s="25">
        <f t="shared" si="36"/>
        <v>1106.9630000000002</v>
      </c>
      <c r="O826" s="25">
        <f t="shared" ca="1" si="37"/>
        <v>0</v>
      </c>
      <c r="P826" s="25">
        <f t="shared" ca="1" si="38"/>
        <v>0</v>
      </c>
    </row>
    <row r="827" spans="12:16" s="23" customFormat="1" ht="13.8">
      <c r="L827" s="23">
        <v>824</v>
      </c>
      <c r="M827" s="23">
        <f ca="1"/>
        <v>1207.3068027724921</v>
      </c>
      <c r="N827" s="25">
        <f t="shared" si="36"/>
        <v>1106.9630000000002</v>
      </c>
      <c r="O827" s="25">
        <f t="shared" ca="1" si="37"/>
        <v>0</v>
      </c>
      <c r="P827" s="25">
        <f t="shared" ca="1" si="38"/>
        <v>0</v>
      </c>
    </row>
    <row r="828" spans="12:16" s="23" customFormat="1" ht="13.8">
      <c r="L828" s="33">
        <v>825</v>
      </c>
      <c r="M828" s="23">
        <f ca="1"/>
        <v>1586.3495223186478</v>
      </c>
      <c r="N828" s="25">
        <f t="shared" si="36"/>
        <v>1106.9630000000002</v>
      </c>
      <c r="O828" s="25">
        <f t="shared" ca="1" si="37"/>
        <v>0</v>
      </c>
      <c r="P828" s="25">
        <f t="shared" ca="1" si="38"/>
        <v>0</v>
      </c>
    </row>
    <row r="829" spans="12:16" s="23" customFormat="1" ht="13.8">
      <c r="L829" s="23">
        <v>826</v>
      </c>
      <c r="M829" s="23">
        <f ca="1"/>
        <v>1735.7214241558795</v>
      </c>
      <c r="N829" s="25">
        <f t="shared" si="36"/>
        <v>1106.9630000000002</v>
      </c>
      <c r="O829" s="25">
        <f t="shared" ca="1" si="37"/>
        <v>0</v>
      </c>
      <c r="P829" s="25">
        <f t="shared" ca="1" si="38"/>
        <v>0</v>
      </c>
    </row>
    <row r="830" spans="12:16" s="23" customFormat="1" ht="13.8">
      <c r="L830" s="33">
        <v>827</v>
      </c>
      <c r="M830" s="23">
        <f ca="1"/>
        <v>1340.9510506579857</v>
      </c>
      <c r="N830" s="25">
        <f t="shared" si="36"/>
        <v>1106.9630000000002</v>
      </c>
      <c r="O830" s="25">
        <f t="shared" ca="1" si="37"/>
        <v>0</v>
      </c>
      <c r="P830" s="25">
        <f t="shared" ca="1" si="38"/>
        <v>0</v>
      </c>
    </row>
    <row r="831" spans="12:16" s="23" customFormat="1" ht="13.8">
      <c r="L831" s="23">
        <v>828</v>
      </c>
      <c r="M831" s="23">
        <f ca="1"/>
        <v>2228.6585711986017</v>
      </c>
      <c r="N831" s="25">
        <f t="shared" si="36"/>
        <v>1106.9630000000002</v>
      </c>
      <c r="O831" s="25">
        <f t="shared" ca="1" si="37"/>
        <v>0</v>
      </c>
      <c r="P831" s="25">
        <f t="shared" ca="1" si="38"/>
        <v>0</v>
      </c>
    </row>
    <row r="832" spans="12:16" s="23" customFormat="1" ht="13.8">
      <c r="L832" s="33">
        <v>829</v>
      </c>
      <c r="M832" s="23">
        <f ca="1"/>
        <v>1430.7822035268796</v>
      </c>
      <c r="N832" s="25">
        <f t="shared" si="36"/>
        <v>1106.9630000000002</v>
      </c>
      <c r="O832" s="25">
        <f t="shared" ca="1" si="37"/>
        <v>0</v>
      </c>
      <c r="P832" s="25">
        <f t="shared" ca="1" si="38"/>
        <v>0</v>
      </c>
    </row>
    <row r="833" spans="12:16" s="23" customFormat="1" ht="13.8">
      <c r="L833" s="23">
        <v>830</v>
      </c>
      <c r="M833" s="23">
        <f ca="1"/>
        <v>1011.0279100045889</v>
      </c>
      <c r="N833" s="25">
        <f t="shared" si="36"/>
        <v>1106.9630000000002</v>
      </c>
      <c r="O833" s="25">
        <f t="shared" ca="1" si="37"/>
        <v>1</v>
      </c>
      <c r="P833" s="25">
        <f t="shared" ca="1" si="38"/>
        <v>8.666512791792616E-2</v>
      </c>
    </row>
    <row r="834" spans="12:16" s="23" customFormat="1" ht="13.8">
      <c r="L834" s="33">
        <v>831</v>
      </c>
      <c r="M834" s="23">
        <f ca="1"/>
        <v>1977.7240855640123</v>
      </c>
      <c r="N834" s="25">
        <f t="shared" si="36"/>
        <v>1106.9630000000002</v>
      </c>
      <c r="O834" s="25">
        <f t="shared" ca="1" si="37"/>
        <v>0</v>
      </c>
      <c r="P834" s="25">
        <f t="shared" ca="1" si="38"/>
        <v>0</v>
      </c>
    </row>
    <row r="835" spans="12:16" s="23" customFormat="1" ht="13.8">
      <c r="L835" s="23">
        <v>832</v>
      </c>
      <c r="M835" s="23">
        <f ca="1"/>
        <v>2354.3723778758558</v>
      </c>
      <c r="N835" s="25">
        <f t="shared" si="36"/>
        <v>1106.9630000000002</v>
      </c>
      <c r="O835" s="25">
        <f t="shared" ca="1" si="37"/>
        <v>0</v>
      </c>
      <c r="P835" s="25">
        <f t="shared" ca="1" si="38"/>
        <v>0</v>
      </c>
    </row>
    <row r="836" spans="12:16" s="23" customFormat="1" ht="13.8">
      <c r="L836" s="33">
        <v>833</v>
      </c>
      <c r="M836" s="23">
        <f ca="1"/>
        <v>438.35730729502313</v>
      </c>
      <c r="N836" s="25">
        <f t="shared" ref="N836:N899" si="39">($C$21+$E$21)*1.1</f>
        <v>1106.9630000000002</v>
      </c>
      <c r="O836" s="25">
        <f t="shared" ca="1" si="37"/>
        <v>1</v>
      </c>
      <c r="P836" s="25">
        <f t="shared" ca="1" si="38"/>
        <v>0.60400003677175929</v>
      </c>
    </row>
    <row r="837" spans="12:16" s="23" customFormat="1" ht="13.8">
      <c r="L837" s="23">
        <v>834</v>
      </c>
      <c r="M837" s="23">
        <f ca="1"/>
        <v>843.88078596869332</v>
      </c>
      <c r="N837" s="25">
        <f t="shared" si="39"/>
        <v>1106.9630000000002</v>
      </c>
      <c r="O837" s="25">
        <f t="shared" ref="O837:O900" ca="1" si="40">IF(M837&lt;N837,1,0)</f>
        <v>1</v>
      </c>
      <c r="P837" s="25">
        <f t="shared" ref="P837:P900" ca="1" si="41">MAX((N837-M837)/N837,0)</f>
        <v>0.23766125338544</v>
      </c>
    </row>
    <row r="838" spans="12:16" s="23" customFormat="1" ht="13.8">
      <c r="L838" s="33">
        <v>835</v>
      </c>
      <c r="M838" s="23">
        <f ca="1"/>
        <v>2295.3771495950455</v>
      </c>
      <c r="N838" s="25">
        <f t="shared" si="39"/>
        <v>1106.9630000000002</v>
      </c>
      <c r="O838" s="25">
        <f t="shared" ca="1" si="40"/>
        <v>0</v>
      </c>
      <c r="P838" s="25">
        <f t="shared" ca="1" si="41"/>
        <v>0</v>
      </c>
    </row>
    <row r="839" spans="12:16" s="23" customFormat="1" ht="13.8">
      <c r="L839" s="23">
        <v>836</v>
      </c>
      <c r="M839" s="23">
        <f ca="1"/>
        <v>2563.4935152488861</v>
      </c>
      <c r="N839" s="25">
        <f t="shared" si="39"/>
        <v>1106.9630000000002</v>
      </c>
      <c r="O839" s="25">
        <f t="shared" ca="1" si="40"/>
        <v>0</v>
      </c>
      <c r="P839" s="25">
        <f t="shared" ca="1" si="41"/>
        <v>0</v>
      </c>
    </row>
    <row r="840" spans="12:16" s="23" customFormat="1" ht="13.8">
      <c r="L840" s="33">
        <v>837</v>
      </c>
      <c r="M840" s="23">
        <f ca="1"/>
        <v>1548.2751629813233</v>
      </c>
      <c r="N840" s="25">
        <f t="shared" si="39"/>
        <v>1106.9630000000002</v>
      </c>
      <c r="O840" s="25">
        <f t="shared" ca="1" si="40"/>
        <v>0</v>
      </c>
      <c r="P840" s="25">
        <f t="shared" ca="1" si="41"/>
        <v>0</v>
      </c>
    </row>
    <row r="841" spans="12:16" s="23" customFormat="1" ht="13.8">
      <c r="L841" s="23">
        <v>838</v>
      </c>
      <c r="M841" s="23">
        <f ca="1"/>
        <v>1055.9010947304259</v>
      </c>
      <c r="N841" s="25">
        <f t="shared" si="39"/>
        <v>1106.9630000000002</v>
      </c>
      <c r="O841" s="25">
        <f t="shared" ca="1" si="40"/>
        <v>1</v>
      </c>
      <c r="P841" s="25">
        <f t="shared" ca="1" si="41"/>
        <v>4.6127924121740514E-2</v>
      </c>
    </row>
    <row r="842" spans="12:16" s="23" customFormat="1" ht="13.8">
      <c r="L842" s="33">
        <v>839</v>
      </c>
      <c r="M842" s="23">
        <f ca="1"/>
        <v>1980.1552879549185</v>
      </c>
      <c r="N842" s="25">
        <f t="shared" si="39"/>
        <v>1106.9630000000002</v>
      </c>
      <c r="O842" s="25">
        <f t="shared" ca="1" si="40"/>
        <v>0</v>
      </c>
      <c r="P842" s="25">
        <f t="shared" ca="1" si="41"/>
        <v>0</v>
      </c>
    </row>
    <row r="843" spans="12:16" s="23" customFormat="1" ht="13.8">
      <c r="L843" s="23">
        <v>840</v>
      </c>
      <c r="M843" s="23">
        <f ca="1"/>
        <v>2414.7094815848491</v>
      </c>
      <c r="N843" s="25">
        <f t="shared" si="39"/>
        <v>1106.9630000000002</v>
      </c>
      <c r="O843" s="25">
        <f t="shared" ca="1" si="40"/>
        <v>0</v>
      </c>
      <c r="P843" s="25">
        <f t="shared" ca="1" si="41"/>
        <v>0</v>
      </c>
    </row>
    <row r="844" spans="12:16" s="23" customFormat="1" ht="13.8">
      <c r="L844" s="33">
        <v>841</v>
      </c>
      <c r="M844" s="23">
        <f ca="1"/>
        <v>1561.638259567404</v>
      </c>
      <c r="N844" s="25">
        <f t="shared" si="39"/>
        <v>1106.9630000000002</v>
      </c>
      <c r="O844" s="25">
        <f t="shared" ca="1" si="40"/>
        <v>0</v>
      </c>
      <c r="P844" s="25">
        <f t="shared" ca="1" si="41"/>
        <v>0</v>
      </c>
    </row>
    <row r="845" spans="12:16" s="23" customFormat="1" ht="13.8">
      <c r="L845" s="23">
        <v>842</v>
      </c>
      <c r="M845" s="23">
        <f ca="1"/>
        <v>1533.7999152421228</v>
      </c>
      <c r="N845" s="25">
        <f t="shared" si="39"/>
        <v>1106.9630000000002</v>
      </c>
      <c r="O845" s="25">
        <f t="shared" ca="1" si="40"/>
        <v>0</v>
      </c>
      <c r="P845" s="25">
        <f t="shared" ca="1" si="41"/>
        <v>0</v>
      </c>
    </row>
    <row r="846" spans="12:16" s="23" customFormat="1" ht="13.8">
      <c r="L846" s="33">
        <v>843</v>
      </c>
      <c r="M846" s="23">
        <f ca="1"/>
        <v>1629.6960967194279</v>
      </c>
      <c r="N846" s="25">
        <f t="shared" si="39"/>
        <v>1106.9630000000002</v>
      </c>
      <c r="O846" s="25">
        <f t="shared" ca="1" si="40"/>
        <v>0</v>
      </c>
      <c r="P846" s="25">
        <f t="shared" ca="1" si="41"/>
        <v>0</v>
      </c>
    </row>
    <row r="847" spans="12:16" s="23" customFormat="1" ht="13.8">
      <c r="L847" s="23">
        <v>844</v>
      </c>
      <c r="M847" s="23">
        <f ca="1"/>
        <v>1903.8542663886526</v>
      </c>
      <c r="N847" s="25">
        <f t="shared" si="39"/>
        <v>1106.9630000000002</v>
      </c>
      <c r="O847" s="25">
        <f t="shared" ca="1" si="40"/>
        <v>0</v>
      </c>
      <c r="P847" s="25">
        <f t="shared" ca="1" si="41"/>
        <v>0</v>
      </c>
    </row>
    <row r="848" spans="12:16" s="23" customFormat="1" ht="13.8">
      <c r="L848" s="33">
        <v>845</v>
      </c>
      <c r="M848" s="23">
        <f ca="1"/>
        <v>1470.7493197891392</v>
      </c>
      <c r="N848" s="25">
        <f t="shared" si="39"/>
        <v>1106.9630000000002</v>
      </c>
      <c r="O848" s="25">
        <f t="shared" ca="1" si="40"/>
        <v>0</v>
      </c>
      <c r="P848" s="25">
        <f t="shared" ca="1" si="41"/>
        <v>0</v>
      </c>
    </row>
    <row r="849" spans="12:16" s="23" customFormat="1" ht="13.8">
      <c r="L849" s="23">
        <v>846</v>
      </c>
      <c r="M849" s="23">
        <f ca="1"/>
        <v>2482.8713564898403</v>
      </c>
      <c r="N849" s="25">
        <f t="shared" si="39"/>
        <v>1106.9630000000002</v>
      </c>
      <c r="O849" s="25">
        <f t="shared" ca="1" si="40"/>
        <v>0</v>
      </c>
      <c r="P849" s="25">
        <f t="shared" ca="1" si="41"/>
        <v>0</v>
      </c>
    </row>
    <row r="850" spans="12:16" s="23" customFormat="1" ht="13.8">
      <c r="L850" s="33">
        <v>847</v>
      </c>
      <c r="M850" s="23">
        <f ca="1"/>
        <v>2315.8222511307163</v>
      </c>
      <c r="N850" s="25">
        <f t="shared" si="39"/>
        <v>1106.9630000000002</v>
      </c>
      <c r="O850" s="25">
        <f t="shared" ca="1" si="40"/>
        <v>0</v>
      </c>
      <c r="P850" s="25">
        <f t="shared" ca="1" si="41"/>
        <v>0</v>
      </c>
    </row>
    <row r="851" spans="12:16" s="23" customFormat="1" ht="13.8">
      <c r="L851" s="23">
        <v>848</v>
      </c>
      <c r="M851" s="23">
        <f ca="1"/>
        <v>2104.1873985280554</v>
      </c>
      <c r="N851" s="25">
        <f t="shared" si="39"/>
        <v>1106.9630000000002</v>
      </c>
      <c r="O851" s="25">
        <f t="shared" ca="1" si="40"/>
        <v>0</v>
      </c>
      <c r="P851" s="25">
        <f t="shared" ca="1" si="41"/>
        <v>0</v>
      </c>
    </row>
    <row r="852" spans="12:16" s="23" customFormat="1" ht="13.8">
      <c r="L852" s="33">
        <v>849</v>
      </c>
      <c r="M852" s="23">
        <f ca="1"/>
        <v>1753.0847281037127</v>
      </c>
      <c r="N852" s="25">
        <f t="shared" si="39"/>
        <v>1106.9630000000002</v>
      </c>
      <c r="O852" s="25">
        <f t="shared" ca="1" si="40"/>
        <v>0</v>
      </c>
      <c r="P852" s="25">
        <f t="shared" ca="1" si="41"/>
        <v>0</v>
      </c>
    </row>
    <row r="853" spans="12:16" s="23" customFormat="1" ht="13.8">
      <c r="L853" s="23">
        <v>850</v>
      </c>
      <c r="M853" s="23">
        <f ca="1"/>
        <v>2347.6920363475565</v>
      </c>
      <c r="N853" s="25">
        <f t="shared" si="39"/>
        <v>1106.9630000000002</v>
      </c>
      <c r="O853" s="25">
        <f t="shared" ca="1" si="40"/>
        <v>0</v>
      </c>
      <c r="P853" s="25">
        <f t="shared" ca="1" si="41"/>
        <v>0</v>
      </c>
    </row>
    <row r="854" spans="12:16" s="23" customFormat="1" ht="13.8">
      <c r="L854" s="33">
        <v>851</v>
      </c>
      <c r="M854" s="23">
        <f ca="1"/>
        <v>1038.0927679690867</v>
      </c>
      <c r="N854" s="25">
        <f t="shared" si="39"/>
        <v>1106.9630000000002</v>
      </c>
      <c r="O854" s="25">
        <f t="shared" ca="1" si="40"/>
        <v>1</v>
      </c>
      <c r="P854" s="25">
        <f t="shared" ca="1" si="41"/>
        <v>6.2215477871359268E-2</v>
      </c>
    </row>
    <row r="855" spans="12:16" s="23" customFormat="1" ht="13.8">
      <c r="L855" s="23">
        <v>852</v>
      </c>
      <c r="M855" s="23">
        <f ca="1"/>
        <v>565.58948649304273</v>
      </c>
      <c r="N855" s="25">
        <f t="shared" si="39"/>
        <v>1106.9630000000002</v>
      </c>
      <c r="O855" s="25">
        <f t="shared" ca="1" si="40"/>
        <v>1</v>
      </c>
      <c r="P855" s="25">
        <f t="shared" ca="1" si="41"/>
        <v>0.48906197723587636</v>
      </c>
    </row>
    <row r="856" spans="12:16" s="23" customFormat="1" ht="13.8">
      <c r="L856" s="33">
        <v>853</v>
      </c>
      <c r="M856" s="23">
        <f ca="1"/>
        <v>1950.7493162909802</v>
      </c>
      <c r="N856" s="25">
        <f t="shared" si="39"/>
        <v>1106.9630000000002</v>
      </c>
      <c r="O856" s="25">
        <f t="shared" ca="1" si="40"/>
        <v>0</v>
      </c>
      <c r="P856" s="25">
        <f t="shared" ca="1" si="41"/>
        <v>0</v>
      </c>
    </row>
    <row r="857" spans="12:16" s="23" customFormat="1" ht="13.8">
      <c r="L857" s="23">
        <v>854</v>
      </c>
      <c r="M857" s="23">
        <f ca="1"/>
        <v>1320.1729970843753</v>
      </c>
      <c r="N857" s="25">
        <f t="shared" si="39"/>
        <v>1106.9630000000002</v>
      </c>
      <c r="O857" s="25">
        <f t="shared" ca="1" si="40"/>
        <v>0</v>
      </c>
      <c r="P857" s="25">
        <f t="shared" ca="1" si="41"/>
        <v>0</v>
      </c>
    </row>
    <row r="858" spans="12:16" s="23" customFormat="1" ht="13.8">
      <c r="L858" s="33">
        <v>855</v>
      </c>
      <c r="M858" s="23">
        <f ca="1"/>
        <v>1890.6794697441217</v>
      </c>
      <c r="N858" s="25">
        <f t="shared" si="39"/>
        <v>1106.9630000000002</v>
      </c>
      <c r="O858" s="25">
        <f t="shared" ca="1" si="40"/>
        <v>0</v>
      </c>
      <c r="P858" s="25">
        <f t="shared" ca="1" si="41"/>
        <v>0</v>
      </c>
    </row>
    <row r="859" spans="12:16" s="23" customFormat="1" ht="13.8">
      <c r="L859" s="23">
        <v>856</v>
      </c>
      <c r="M859" s="23">
        <f ca="1"/>
        <v>1700.6001345000461</v>
      </c>
      <c r="N859" s="25">
        <f t="shared" si="39"/>
        <v>1106.9630000000002</v>
      </c>
      <c r="O859" s="25">
        <f t="shared" ca="1" si="40"/>
        <v>0</v>
      </c>
      <c r="P859" s="25">
        <f t="shared" ca="1" si="41"/>
        <v>0</v>
      </c>
    </row>
    <row r="860" spans="12:16" s="23" customFormat="1" ht="13.8">
      <c r="L860" s="33">
        <v>857</v>
      </c>
      <c r="M860" s="23">
        <f ca="1"/>
        <v>1861.4996499281415</v>
      </c>
      <c r="N860" s="25">
        <f t="shared" si="39"/>
        <v>1106.9630000000002</v>
      </c>
      <c r="O860" s="25">
        <f t="shared" ca="1" si="40"/>
        <v>0</v>
      </c>
      <c r="P860" s="25">
        <f t="shared" ca="1" si="41"/>
        <v>0</v>
      </c>
    </row>
    <row r="861" spans="12:16" s="23" customFormat="1" ht="13.8">
      <c r="L861" s="23">
        <v>858</v>
      </c>
      <c r="M861" s="23">
        <f ca="1"/>
        <v>1724.0264387333159</v>
      </c>
      <c r="N861" s="25">
        <f t="shared" si="39"/>
        <v>1106.9630000000002</v>
      </c>
      <c r="O861" s="25">
        <f t="shared" ca="1" si="40"/>
        <v>0</v>
      </c>
      <c r="P861" s="25">
        <f t="shared" ca="1" si="41"/>
        <v>0</v>
      </c>
    </row>
    <row r="862" spans="12:16" s="23" customFormat="1" ht="13.8">
      <c r="L862" s="33">
        <v>859</v>
      </c>
      <c r="M862" s="23">
        <f ca="1"/>
        <v>790.7996982073073</v>
      </c>
      <c r="N862" s="25">
        <f t="shared" si="39"/>
        <v>1106.9630000000002</v>
      </c>
      <c r="O862" s="25">
        <f t="shared" ca="1" si="40"/>
        <v>1</v>
      </c>
      <c r="P862" s="25">
        <f t="shared" ca="1" si="41"/>
        <v>0.285613251565493</v>
      </c>
    </row>
    <row r="863" spans="12:16" s="23" customFormat="1" ht="13.8">
      <c r="L863" s="23">
        <v>860</v>
      </c>
      <c r="M863" s="23">
        <f ca="1"/>
        <v>1900.4582963843088</v>
      </c>
      <c r="N863" s="25">
        <f t="shared" si="39"/>
        <v>1106.9630000000002</v>
      </c>
      <c r="O863" s="25">
        <f t="shared" ca="1" si="40"/>
        <v>0</v>
      </c>
      <c r="P863" s="25">
        <f t="shared" ca="1" si="41"/>
        <v>0</v>
      </c>
    </row>
    <row r="864" spans="12:16" s="23" customFormat="1" ht="13.8">
      <c r="L864" s="33">
        <v>861</v>
      </c>
      <c r="M864" s="23">
        <f ca="1"/>
        <v>560.00124038197441</v>
      </c>
      <c r="N864" s="25">
        <f t="shared" si="39"/>
        <v>1106.9630000000002</v>
      </c>
      <c r="O864" s="25">
        <f t="shared" ca="1" si="40"/>
        <v>1</v>
      </c>
      <c r="P864" s="25">
        <f t="shared" ca="1" si="41"/>
        <v>0.49411024543550752</v>
      </c>
    </row>
    <row r="865" spans="12:16" s="23" customFormat="1" ht="13.8">
      <c r="L865" s="23">
        <v>862</v>
      </c>
      <c r="M865" s="23">
        <f ca="1"/>
        <v>2339.2260069898034</v>
      </c>
      <c r="N865" s="25">
        <f t="shared" si="39"/>
        <v>1106.9630000000002</v>
      </c>
      <c r="O865" s="25">
        <f t="shared" ca="1" si="40"/>
        <v>0</v>
      </c>
      <c r="P865" s="25">
        <f t="shared" ca="1" si="41"/>
        <v>0</v>
      </c>
    </row>
    <row r="866" spans="12:16" s="23" customFormat="1" ht="13.8">
      <c r="L866" s="33">
        <v>863</v>
      </c>
      <c r="M866" s="23">
        <f ca="1"/>
        <v>1198.4501742567543</v>
      </c>
      <c r="N866" s="25">
        <f t="shared" si="39"/>
        <v>1106.9630000000002</v>
      </c>
      <c r="O866" s="25">
        <f t="shared" ca="1" si="40"/>
        <v>0</v>
      </c>
      <c r="P866" s="25">
        <f t="shared" ca="1" si="41"/>
        <v>0</v>
      </c>
    </row>
    <row r="867" spans="12:16" s="23" customFormat="1" ht="13.8">
      <c r="L867" s="23">
        <v>864</v>
      </c>
      <c r="M867" s="23">
        <f ca="1"/>
        <v>1522.465028103227</v>
      </c>
      <c r="N867" s="25">
        <f t="shared" si="39"/>
        <v>1106.9630000000002</v>
      </c>
      <c r="O867" s="25">
        <f t="shared" ca="1" si="40"/>
        <v>0</v>
      </c>
      <c r="P867" s="25">
        <f t="shared" ca="1" si="41"/>
        <v>0</v>
      </c>
    </row>
    <row r="868" spans="12:16" s="23" customFormat="1" ht="13.8">
      <c r="L868" s="33">
        <v>865</v>
      </c>
      <c r="M868" s="23">
        <f ca="1"/>
        <v>1727.808282037533</v>
      </c>
      <c r="N868" s="25">
        <f t="shared" si="39"/>
        <v>1106.9630000000002</v>
      </c>
      <c r="O868" s="25">
        <f t="shared" ca="1" si="40"/>
        <v>0</v>
      </c>
      <c r="P868" s="25">
        <f t="shared" ca="1" si="41"/>
        <v>0</v>
      </c>
    </row>
    <row r="869" spans="12:16" s="23" customFormat="1" ht="13.8">
      <c r="L869" s="23">
        <v>866</v>
      </c>
      <c r="M869" s="23">
        <f ca="1"/>
        <v>2424.5681807594037</v>
      </c>
      <c r="N869" s="25">
        <f t="shared" si="39"/>
        <v>1106.9630000000002</v>
      </c>
      <c r="O869" s="25">
        <f t="shared" ca="1" si="40"/>
        <v>0</v>
      </c>
      <c r="P869" s="25">
        <f t="shared" ca="1" si="41"/>
        <v>0</v>
      </c>
    </row>
    <row r="870" spans="12:16" s="23" customFormat="1" ht="13.8">
      <c r="L870" s="33">
        <v>867</v>
      </c>
      <c r="M870" s="23">
        <f ca="1"/>
        <v>952.51838823784306</v>
      </c>
      <c r="N870" s="25">
        <f t="shared" si="39"/>
        <v>1106.9630000000002</v>
      </c>
      <c r="O870" s="25">
        <f t="shared" ca="1" si="40"/>
        <v>1</v>
      </c>
      <c r="P870" s="25">
        <f t="shared" ca="1" si="41"/>
        <v>0.1395210244264326</v>
      </c>
    </row>
    <row r="871" spans="12:16" s="23" customFormat="1" ht="13.8">
      <c r="L871" s="23">
        <v>868</v>
      </c>
      <c r="M871" s="23">
        <f ca="1"/>
        <v>1591.5091862217214</v>
      </c>
      <c r="N871" s="25">
        <f t="shared" si="39"/>
        <v>1106.9630000000002</v>
      </c>
      <c r="O871" s="25">
        <f t="shared" ca="1" si="40"/>
        <v>0</v>
      </c>
      <c r="P871" s="25">
        <f t="shared" ca="1" si="41"/>
        <v>0</v>
      </c>
    </row>
    <row r="872" spans="12:16" s="23" customFormat="1" ht="13.8">
      <c r="L872" s="33">
        <v>869</v>
      </c>
      <c r="M872" s="23">
        <f ca="1"/>
        <v>1391.2376475659789</v>
      </c>
      <c r="N872" s="25">
        <f t="shared" si="39"/>
        <v>1106.9630000000002</v>
      </c>
      <c r="O872" s="25">
        <f t="shared" ca="1" si="40"/>
        <v>0</v>
      </c>
      <c r="P872" s="25">
        <f t="shared" ca="1" si="41"/>
        <v>0</v>
      </c>
    </row>
    <row r="873" spans="12:16" s="23" customFormat="1" ht="13.8">
      <c r="L873" s="23">
        <v>870</v>
      </c>
      <c r="M873" s="23">
        <f ca="1"/>
        <v>1523.8813472650165</v>
      </c>
      <c r="N873" s="25">
        <f t="shared" si="39"/>
        <v>1106.9630000000002</v>
      </c>
      <c r="O873" s="25">
        <f t="shared" ca="1" si="40"/>
        <v>0</v>
      </c>
      <c r="P873" s="25">
        <f t="shared" ca="1" si="41"/>
        <v>0</v>
      </c>
    </row>
    <row r="874" spans="12:16" s="23" customFormat="1" ht="13.8">
      <c r="L874" s="33">
        <v>871</v>
      </c>
      <c r="M874" s="23">
        <f ca="1"/>
        <v>1178.4791233931041</v>
      </c>
      <c r="N874" s="25">
        <f t="shared" si="39"/>
        <v>1106.9630000000002</v>
      </c>
      <c r="O874" s="25">
        <f t="shared" ca="1" si="40"/>
        <v>0</v>
      </c>
      <c r="P874" s="25">
        <f t="shared" ca="1" si="41"/>
        <v>0</v>
      </c>
    </row>
    <row r="875" spans="12:16" s="23" customFormat="1" ht="13.8">
      <c r="L875" s="23">
        <v>872</v>
      </c>
      <c r="M875" s="23">
        <f ca="1"/>
        <v>1318.030988127774</v>
      </c>
      <c r="N875" s="25">
        <f t="shared" si="39"/>
        <v>1106.9630000000002</v>
      </c>
      <c r="O875" s="25">
        <f t="shared" ca="1" si="40"/>
        <v>0</v>
      </c>
      <c r="P875" s="25">
        <f t="shared" ca="1" si="41"/>
        <v>0</v>
      </c>
    </row>
    <row r="876" spans="12:16" s="23" customFormat="1" ht="13.8">
      <c r="L876" s="33">
        <v>873</v>
      </c>
      <c r="M876" s="23">
        <f ca="1"/>
        <v>1600.1861838591233</v>
      </c>
      <c r="N876" s="25">
        <f t="shared" si="39"/>
        <v>1106.9630000000002</v>
      </c>
      <c r="O876" s="25">
        <f t="shared" ca="1" si="40"/>
        <v>0</v>
      </c>
      <c r="P876" s="25">
        <f t="shared" ca="1" si="41"/>
        <v>0</v>
      </c>
    </row>
    <row r="877" spans="12:16" s="23" customFormat="1" ht="13.8">
      <c r="L877" s="23">
        <v>874</v>
      </c>
      <c r="M877" s="23">
        <f ca="1"/>
        <v>1857.1081238333288</v>
      </c>
      <c r="N877" s="25">
        <f t="shared" si="39"/>
        <v>1106.9630000000002</v>
      </c>
      <c r="O877" s="25">
        <f t="shared" ca="1" si="40"/>
        <v>0</v>
      </c>
      <c r="P877" s="25">
        <f t="shared" ca="1" si="41"/>
        <v>0</v>
      </c>
    </row>
    <row r="878" spans="12:16" s="23" customFormat="1" ht="13.8">
      <c r="L878" s="33">
        <v>875</v>
      </c>
      <c r="M878" s="23">
        <f ca="1"/>
        <v>890.56392919772588</v>
      </c>
      <c r="N878" s="25">
        <f t="shared" si="39"/>
        <v>1106.9630000000002</v>
      </c>
      <c r="O878" s="25">
        <f t="shared" ca="1" si="40"/>
        <v>1</v>
      </c>
      <c r="P878" s="25">
        <f t="shared" ca="1" si="41"/>
        <v>0.19548898274131499</v>
      </c>
    </row>
    <row r="879" spans="12:16" s="23" customFormat="1" ht="13.8">
      <c r="L879" s="23">
        <v>876</v>
      </c>
      <c r="M879" s="23">
        <f ca="1"/>
        <v>2193.3196474513111</v>
      </c>
      <c r="N879" s="25">
        <f t="shared" si="39"/>
        <v>1106.9630000000002</v>
      </c>
      <c r="O879" s="25">
        <f t="shared" ca="1" si="40"/>
        <v>0</v>
      </c>
      <c r="P879" s="25">
        <f t="shared" ca="1" si="41"/>
        <v>0</v>
      </c>
    </row>
    <row r="880" spans="12:16" s="23" customFormat="1" ht="13.8">
      <c r="L880" s="33">
        <v>877</v>
      </c>
      <c r="M880" s="23">
        <f ca="1"/>
        <v>1725.0915629340936</v>
      </c>
      <c r="N880" s="25">
        <f t="shared" si="39"/>
        <v>1106.9630000000002</v>
      </c>
      <c r="O880" s="25">
        <f t="shared" ca="1" si="40"/>
        <v>0</v>
      </c>
      <c r="P880" s="25">
        <f t="shared" ca="1" si="41"/>
        <v>0</v>
      </c>
    </row>
    <row r="881" spans="12:16" s="23" customFormat="1" ht="13.8">
      <c r="L881" s="23">
        <v>878</v>
      </c>
      <c r="M881" s="23">
        <f ca="1"/>
        <v>1699.1543522512375</v>
      </c>
      <c r="N881" s="25">
        <f t="shared" si="39"/>
        <v>1106.9630000000002</v>
      </c>
      <c r="O881" s="25">
        <f t="shared" ca="1" si="40"/>
        <v>0</v>
      </c>
      <c r="P881" s="25">
        <f t="shared" ca="1" si="41"/>
        <v>0</v>
      </c>
    </row>
    <row r="882" spans="12:16" s="23" customFormat="1" ht="13.8">
      <c r="L882" s="33">
        <v>879</v>
      </c>
      <c r="M882" s="23">
        <f ca="1"/>
        <v>2346.8634938471405</v>
      </c>
      <c r="N882" s="25">
        <f t="shared" si="39"/>
        <v>1106.9630000000002</v>
      </c>
      <c r="O882" s="25">
        <f t="shared" ca="1" si="40"/>
        <v>0</v>
      </c>
      <c r="P882" s="25">
        <f t="shared" ca="1" si="41"/>
        <v>0</v>
      </c>
    </row>
    <row r="883" spans="12:16" s="23" customFormat="1" ht="13.8">
      <c r="L883" s="23">
        <v>880</v>
      </c>
      <c r="M883" s="23">
        <f ca="1"/>
        <v>1159.1581852532272</v>
      </c>
      <c r="N883" s="25">
        <f t="shared" si="39"/>
        <v>1106.9630000000002</v>
      </c>
      <c r="O883" s="25">
        <f t="shared" ca="1" si="40"/>
        <v>0</v>
      </c>
      <c r="P883" s="25">
        <f t="shared" ca="1" si="41"/>
        <v>0</v>
      </c>
    </row>
    <row r="884" spans="12:16" s="23" customFormat="1" ht="13.8">
      <c r="L884" s="33">
        <v>881</v>
      </c>
      <c r="M884" s="23">
        <f ca="1"/>
        <v>1640.069036588498</v>
      </c>
      <c r="N884" s="25">
        <f t="shared" si="39"/>
        <v>1106.9630000000002</v>
      </c>
      <c r="O884" s="25">
        <f t="shared" ca="1" si="40"/>
        <v>0</v>
      </c>
      <c r="P884" s="25">
        <f t="shared" ca="1" si="41"/>
        <v>0</v>
      </c>
    </row>
    <row r="885" spans="12:16" s="23" customFormat="1" ht="13.8">
      <c r="L885" s="23">
        <v>882</v>
      </c>
      <c r="M885" s="23">
        <f ca="1"/>
        <v>2027.9977823726269</v>
      </c>
      <c r="N885" s="25">
        <f t="shared" si="39"/>
        <v>1106.9630000000002</v>
      </c>
      <c r="O885" s="25">
        <f t="shared" ca="1" si="40"/>
        <v>0</v>
      </c>
      <c r="P885" s="25">
        <f t="shared" ca="1" si="41"/>
        <v>0</v>
      </c>
    </row>
    <row r="886" spans="12:16" s="23" customFormat="1" ht="13.8">
      <c r="L886" s="33">
        <v>883</v>
      </c>
      <c r="M886" s="23">
        <f ca="1"/>
        <v>1994.7020349589884</v>
      </c>
      <c r="N886" s="25">
        <f t="shared" si="39"/>
        <v>1106.9630000000002</v>
      </c>
      <c r="O886" s="25">
        <f t="shared" ca="1" si="40"/>
        <v>0</v>
      </c>
      <c r="P886" s="25">
        <f t="shared" ca="1" si="41"/>
        <v>0</v>
      </c>
    </row>
    <row r="887" spans="12:16" s="23" customFormat="1" ht="13.8">
      <c r="L887" s="23">
        <v>884</v>
      </c>
      <c r="M887" s="23">
        <f ca="1"/>
        <v>1561.2811118375055</v>
      </c>
      <c r="N887" s="25">
        <f t="shared" si="39"/>
        <v>1106.9630000000002</v>
      </c>
      <c r="O887" s="25">
        <f t="shared" ca="1" si="40"/>
        <v>0</v>
      </c>
      <c r="P887" s="25">
        <f t="shared" ca="1" si="41"/>
        <v>0</v>
      </c>
    </row>
    <row r="888" spans="12:16" s="23" customFormat="1" ht="13.8">
      <c r="L888" s="33">
        <v>885</v>
      </c>
      <c r="M888" s="23">
        <f ca="1"/>
        <v>1286.4179761378043</v>
      </c>
      <c r="N888" s="25">
        <f t="shared" si="39"/>
        <v>1106.9630000000002</v>
      </c>
      <c r="O888" s="25">
        <f t="shared" ca="1" si="40"/>
        <v>0</v>
      </c>
      <c r="P888" s="25">
        <f t="shared" ca="1" si="41"/>
        <v>0</v>
      </c>
    </row>
    <row r="889" spans="12:16" s="23" customFormat="1" ht="13.8">
      <c r="L889" s="23">
        <v>886</v>
      </c>
      <c r="M889" s="23">
        <f ca="1"/>
        <v>1838.0110695355484</v>
      </c>
      <c r="N889" s="25">
        <f t="shared" si="39"/>
        <v>1106.9630000000002</v>
      </c>
      <c r="O889" s="25">
        <f t="shared" ca="1" si="40"/>
        <v>0</v>
      </c>
      <c r="P889" s="25">
        <f t="shared" ca="1" si="41"/>
        <v>0</v>
      </c>
    </row>
    <row r="890" spans="12:16" s="23" customFormat="1" ht="13.8">
      <c r="L890" s="33">
        <v>887</v>
      </c>
      <c r="M890" s="23">
        <f ca="1"/>
        <v>1414.7426379679373</v>
      </c>
      <c r="N890" s="25">
        <f t="shared" si="39"/>
        <v>1106.9630000000002</v>
      </c>
      <c r="O890" s="25">
        <f t="shared" ca="1" si="40"/>
        <v>0</v>
      </c>
      <c r="P890" s="25">
        <f t="shared" ca="1" si="41"/>
        <v>0</v>
      </c>
    </row>
    <row r="891" spans="12:16" s="23" customFormat="1" ht="13.8">
      <c r="L891" s="23">
        <v>888</v>
      </c>
      <c r="M891" s="23">
        <f ca="1"/>
        <v>2030.0359530374506</v>
      </c>
      <c r="N891" s="25">
        <f t="shared" si="39"/>
        <v>1106.9630000000002</v>
      </c>
      <c r="O891" s="25">
        <f t="shared" ca="1" si="40"/>
        <v>0</v>
      </c>
      <c r="P891" s="25">
        <f t="shared" ca="1" si="41"/>
        <v>0</v>
      </c>
    </row>
    <row r="892" spans="12:16" s="23" customFormat="1" ht="13.8">
      <c r="L892" s="33">
        <v>889</v>
      </c>
      <c r="M892" s="23">
        <f ca="1"/>
        <v>1636.7957292848919</v>
      </c>
      <c r="N892" s="25">
        <f t="shared" si="39"/>
        <v>1106.9630000000002</v>
      </c>
      <c r="O892" s="25">
        <f t="shared" ca="1" si="40"/>
        <v>0</v>
      </c>
      <c r="P892" s="25">
        <f t="shared" ca="1" si="41"/>
        <v>0</v>
      </c>
    </row>
    <row r="893" spans="12:16" s="23" customFormat="1" ht="13.8">
      <c r="L893" s="23">
        <v>890</v>
      </c>
      <c r="M893" s="23">
        <f ca="1"/>
        <v>2644.3525302534981</v>
      </c>
      <c r="N893" s="25">
        <f t="shared" si="39"/>
        <v>1106.9630000000002</v>
      </c>
      <c r="O893" s="25">
        <f t="shared" ca="1" si="40"/>
        <v>0</v>
      </c>
      <c r="P893" s="25">
        <f t="shared" ca="1" si="41"/>
        <v>0</v>
      </c>
    </row>
    <row r="894" spans="12:16" s="23" customFormat="1" ht="13.8">
      <c r="L894" s="33">
        <v>891</v>
      </c>
      <c r="M894" s="23">
        <f ca="1"/>
        <v>566.91496398331731</v>
      </c>
      <c r="N894" s="25">
        <f t="shared" si="39"/>
        <v>1106.9630000000002</v>
      </c>
      <c r="O894" s="25">
        <f t="shared" ca="1" si="40"/>
        <v>1</v>
      </c>
      <c r="P894" s="25">
        <f t="shared" ca="1" si="41"/>
        <v>0.48786457724122917</v>
      </c>
    </row>
    <row r="895" spans="12:16" s="23" customFormat="1" ht="13.8">
      <c r="L895" s="23">
        <v>892</v>
      </c>
      <c r="M895" s="23">
        <f ca="1"/>
        <v>631.29782888093939</v>
      </c>
      <c r="N895" s="25">
        <f t="shared" si="39"/>
        <v>1106.9630000000002</v>
      </c>
      <c r="O895" s="25">
        <f t="shared" ca="1" si="40"/>
        <v>1</v>
      </c>
      <c r="P895" s="25">
        <f t="shared" ca="1" si="41"/>
        <v>0.42970286370823663</v>
      </c>
    </row>
    <row r="896" spans="12:16" s="23" customFormat="1" ht="13.8">
      <c r="L896" s="33">
        <v>893</v>
      </c>
      <c r="M896" s="23">
        <f ca="1"/>
        <v>762.03920412466596</v>
      </c>
      <c r="N896" s="25">
        <f t="shared" si="39"/>
        <v>1106.9630000000002</v>
      </c>
      <c r="O896" s="25">
        <f t="shared" ca="1" si="40"/>
        <v>1</v>
      </c>
      <c r="P896" s="25">
        <f t="shared" ca="1" si="41"/>
        <v>0.31159469275426022</v>
      </c>
    </row>
    <row r="897" spans="12:16" s="23" customFormat="1" ht="13.8">
      <c r="L897" s="23">
        <v>894</v>
      </c>
      <c r="M897" s="23">
        <f ca="1"/>
        <v>1679.0646167767932</v>
      </c>
      <c r="N897" s="25">
        <f t="shared" si="39"/>
        <v>1106.9630000000002</v>
      </c>
      <c r="O897" s="25">
        <f t="shared" ca="1" si="40"/>
        <v>0</v>
      </c>
      <c r="P897" s="25">
        <f t="shared" ca="1" si="41"/>
        <v>0</v>
      </c>
    </row>
    <row r="898" spans="12:16" s="23" customFormat="1" ht="13.8">
      <c r="L898" s="33">
        <v>895</v>
      </c>
      <c r="M898" s="23">
        <f ca="1"/>
        <v>851.78479405187898</v>
      </c>
      <c r="N898" s="25">
        <f t="shared" si="39"/>
        <v>1106.9630000000002</v>
      </c>
      <c r="O898" s="25">
        <f t="shared" ca="1" si="40"/>
        <v>1</v>
      </c>
      <c r="P898" s="25">
        <f t="shared" ca="1" si="41"/>
        <v>0.23052098936289755</v>
      </c>
    </row>
    <row r="899" spans="12:16" s="23" customFormat="1" ht="13.8">
      <c r="L899" s="23">
        <v>896</v>
      </c>
      <c r="M899" s="23">
        <f ca="1"/>
        <v>1166.211415456245</v>
      </c>
      <c r="N899" s="25">
        <f t="shared" si="39"/>
        <v>1106.9630000000002</v>
      </c>
      <c r="O899" s="25">
        <f t="shared" ca="1" si="40"/>
        <v>0</v>
      </c>
      <c r="P899" s="25">
        <f t="shared" ca="1" si="41"/>
        <v>0</v>
      </c>
    </row>
    <row r="900" spans="12:16" s="23" customFormat="1" ht="13.8">
      <c r="L900" s="33">
        <v>897</v>
      </c>
      <c r="M900" s="23">
        <f ca="1"/>
        <v>2222.5654809895577</v>
      </c>
      <c r="N900" s="25">
        <f t="shared" ref="N900:N963" si="42">($C$21+$E$21)*1.1</f>
        <v>1106.9630000000002</v>
      </c>
      <c r="O900" s="25">
        <f t="shared" ca="1" si="40"/>
        <v>0</v>
      </c>
      <c r="P900" s="25">
        <f t="shared" ca="1" si="41"/>
        <v>0</v>
      </c>
    </row>
    <row r="901" spans="12:16" s="23" customFormat="1" ht="13.8">
      <c r="L901" s="23">
        <v>898</v>
      </c>
      <c r="M901" s="23">
        <f ca="1"/>
        <v>2103.1438033431673</v>
      </c>
      <c r="N901" s="25">
        <f t="shared" si="42"/>
        <v>1106.9630000000002</v>
      </c>
      <c r="O901" s="25">
        <f t="shared" ref="O901:O964" ca="1" si="43">IF(M901&lt;N901,1,0)</f>
        <v>0</v>
      </c>
      <c r="P901" s="25">
        <f t="shared" ref="P901:P964" ca="1" si="44">MAX((N901-M901)/N901,0)</f>
        <v>0</v>
      </c>
    </row>
    <row r="902" spans="12:16" s="23" customFormat="1" ht="13.8">
      <c r="L902" s="33">
        <v>899</v>
      </c>
      <c r="M902" s="23">
        <f ca="1"/>
        <v>1615.6970063557483</v>
      </c>
      <c r="N902" s="25">
        <f t="shared" si="42"/>
        <v>1106.9630000000002</v>
      </c>
      <c r="O902" s="25">
        <f t="shared" ca="1" si="43"/>
        <v>0</v>
      </c>
      <c r="P902" s="25">
        <f t="shared" ca="1" si="44"/>
        <v>0</v>
      </c>
    </row>
    <row r="903" spans="12:16" s="23" customFormat="1" ht="13.8">
      <c r="L903" s="23">
        <v>900</v>
      </c>
      <c r="M903" s="23">
        <f ca="1"/>
        <v>1159.2829057150011</v>
      </c>
      <c r="N903" s="25">
        <f t="shared" si="42"/>
        <v>1106.9630000000002</v>
      </c>
      <c r="O903" s="25">
        <f t="shared" ca="1" si="43"/>
        <v>0</v>
      </c>
      <c r="P903" s="25">
        <f t="shared" ca="1" si="44"/>
        <v>0</v>
      </c>
    </row>
    <row r="904" spans="12:16" s="23" customFormat="1" ht="13.8">
      <c r="L904" s="33">
        <v>901</v>
      </c>
      <c r="M904" s="23">
        <f ca="1"/>
        <v>868.92780905060738</v>
      </c>
      <c r="N904" s="25">
        <f t="shared" si="42"/>
        <v>1106.9630000000002</v>
      </c>
      <c r="O904" s="25">
        <f t="shared" ca="1" si="43"/>
        <v>1</v>
      </c>
      <c r="P904" s="25">
        <f t="shared" ca="1" si="44"/>
        <v>0.21503446000398638</v>
      </c>
    </row>
    <row r="905" spans="12:16" s="23" customFormat="1" ht="13.8">
      <c r="L905" s="23">
        <v>902</v>
      </c>
      <c r="M905" s="23">
        <f ca="1"/>
        <v>1235.5025617322303</v>
      </c>
      <c r="N905" s="25">
        <f t="shared" si="42"/>
        <v>1106.9630000000002</v>
      </c>
      <c r="O905" s="25">
        <f t="shared" ca="1" si="43"/>
        <v>0</v>
      </c>
      <c r="P905" s="25">
        <f t="shared" ca="1" si="44"/>
        <v>0</v>
      </c>
    </row>
    <row r="906" spans="12:16" s="23" customFormat="1" ht="13.8">
      <c r="L906" s="33">
        <v>903</v>
      </c>
      <c r="M906" s="23">
        <f ca="1"/>
        <v>1349.4111220886941</v>
      </c>
      <c r="N906" s="25">
        <f t="shared" si="42"/>
        <v>1106.9630000000002</v>
      </c>
      <c r="O906" s="25">
        <f t="shared" ca="1" si="43"/>
        <v>0</v>
      </c>
      <c r="P906" s="25">
        <f t="shared" ca="1" si="44"/>
        <v>0</v>
      </c>
    </row>
    <row r="907" spans="12:16" s="23" customFormat="1" ht="13.8">
      <c r="L907" s="23">
        <v>904</v>
      </c>
      <c r="M907" s="23">
        <f ca="1"/>
        <v>1374.1614209893467</v>
      </c>
      <c r="N907" s="25">
        <f t="shared" si="42"/>
        <v>1106.9630000000002</v>
      </c>
      <c r="O907" s="25">
        <f t="shared" ca="1" si="43"/>
        <v>0</v>
      </c>
      <c r="P907" s="25">
        <f t="shared" ca="1" si="44"/>
        <v>0</v>
      </c>
    </row>
    <row r="908" spans="12:16" s="23" customFormat="1" ht="13.8">
      <c r="L908" s="33">
        <v>905</v>
      </c>
      <c r="M908" s="23">
        <f ca="1"/>
        <v>1577.8996078641319</v>
      </c>
      <c r="N908" s="25">
        <f t="shared" si="42"/>
        <v>1106.9630000000002</v>
      </c>
      <c r="O908" s="25">
        <f t="shared" ca="1" si="43"/>
        <v>0</v>
      </c>
      <c r="P908" s="25">
        <f t="shared" ca="1" si="44"/>
        <v>0</v>
      </c>
    </row>
    <row r="909" spans="12:16" s="23" customFormat="1" ht="13.8">
      <c r="L909" s="23">
        <v>906</v>
      </c>
      <c r="M909" s="23">
        <f ca="1"/>
        <v>1748.3700424521985</v>
      </c>
      <c r="N909" s="25">
        <f t="shared" si="42"/>
        <v>1106.9630000000002</v>
      </c>
      <c r="O909" s="25">
        <f t="shared" ca="1" si="43"/>
        <v>0</v>
      </c>
      <c r="P909" s="25">
        <f t="shared" ca="1" si="44"/>
        <v>0</v>
      </c>
    </row>
    <row r="910" spans="12:16" s="23" customFormat="1" ht="13.8">
      <c r="L910" s="33">
        <v>907</v>
      </c>
      <c r="M910" s="23">
        <f ca="1"/>
        <v>2355.7250097681112</v>
      </c>
      <c r="N910" s="25">
        <f t="shared" si="42"/>
        <v>1106.9630000000002</v>
      </c>
      <c r="O910" s="25">
        <f t="shared" ca="1" si="43"/>
        <v>0</v>
      </c>
      <c r="P910" s="25">
        <f t="shared" ca="1" si="44"/>
        <v>0</v>
      </c>
    </row>
    <row r="911" spans="12:16" s="23" customFormat="1" ht="13.8">
      <c r="L911" s="23">
        <v>908</v>
      </c>
      <c r="M911" s="23">
        <f ca="1"/>
        <v>1972.7990493042687</v>
      </c>
      <c r="N911" s="25">
        <f t="shared" si="42"/>
        <v>1106.9630000000002</v>
      </c>
      <c r="O911" s="25">
        <f t="shared" ca="1" si="43"/>
        <v>0</v>
      </c>
      <c r="P911" s="25">
        <f t="shared" ca="1" si="44"/>
        <v>0</v>
      </c>
    </row>
    <row r="912" spans="12:16" s="23" customFormat="1" ht="13.8">
      <c r="L912" s="33">
        <v>909</v>
      </c>
      <c r="M912" s="23">
        <f ca="1"/>
        <v>1300.1545380167172</v>
      </c>
      <c r="N912" s="25">
        <f t="shared" si="42"/>
        <v>1106.9630000000002</v>
      </c>
      <c r="O912" s="25">
        <f t="shared" ca="1" si="43"/>
        <v>0</v>
      </c>
      <c r="P912" s="25">
        <f t="shared" ca="1" si="44"/>
        <v>0</v>
      </c>
    </row>
    <row r="913" spans="12:16" s="23" customFormat="1" ht="13.8">
      <c r="L913" s="23">
        <v>910</v>
      </c>
      <c r="M913" s="23">
        <f ca="1"/>
        <v>2600.4422322418168</v>
      </c>
      <c r="N913" s="25">
        <f t="shared" si="42"/>
        <v>1106.9630000000002</v>
      </c>
      <c r="O913" s="25">
        <f t="shared" ca="1" si="43"/>
        <v>0</v>
      </c>
      <c r="P913" s="25">
        <f t="shared" ca="1" si="44"/>
        <v>0</v>
      </c>
    </row>
    <row r="914" spans="12:16" s="23" customFormat="1" ht="13.8">
      <c r="L914" s="33">
        <v>911</v>
      </c>
      <c r="M914" s="23">
        <f ca="1"/>
        <v>2296.5711488171023</v>
      </c>
      <c r="N914" s="25">
        <f t="shared" si="42"/>
        <v>1106.9630000000002</v>
      </c>
      <c r="O914" s="25">
        <f t="shared" ca="1" si="43"/>
        <v>0</v>
      </c>
      <c r="P914" s="25">
        <f t="shared" ca="1" si="44"/>
        <v>0</v>
      </c>
    </row>
    <row r="915" spans="12:16" s="23" customFormat="1" ht="13.8">
      <c r="L915" s="23">
        <v>912</v>
      </c>
      <c r="M915" s="23">
        <f ca="1"/>
        <v>2174.3212367184033</v>
      </c>
      <c r="N915" s="25">
        <f t="shared" si="42"/>
        <v>1106.9630000000002</v>
      </c>
      <c r="O915" s="25">
        <f t="shared" ca="1" si="43"/>
        <v>0</v>
      </c>
      <c r="P915" s="25">
        <f t="shared" ca="1" si="44"/>
        <v>0</v>
      </c>
    </row>
    <row r="916" spans="12:16" s="23" customFormat="1" ht="13.8">
      <c r="L916" s="33">
        <v>913</v>
      </c>
      <c r="M916" s="23">
        <f ca="1"/>
        <v>1381.0844999859351</v>
      </c>
      <c r="N916" s="25">
        <f t="shared" si="42"/>
        <v>1106.9630000000002</v>
      </c>
      <c r="O916" s="25">
        <f t="shared" ca="1" si="43"/>
        <v>0</v>
      </c>
      <c r="P916" s="25">
        <f t="shared" ca="1" si="44"/>
        <v>0</v>
      </c>
    </row>
    <row r="917" spans="12:16" s="23" customFormat="1" ht="13.8">
      <c r="L917" s="23">
        <v>914</v>
      </c>
      <c r="M917" s="23">
        <f ca="1"/>
        <v>1638.7296531552706</v>
      </c>
      <c r="N917" s="25">
        <f t="shared" si="42"/>
        <v>1106.9630000000002</v>
      </c>
      <c r="O917" s="25">
        <f t="shared" ca="1" si="43"/>
        <v>0</v>
      </c>
      <c r="P917" s="25">
        <f t="shared" ca="1" si="44"/>
        <v>0</v>
      </c>
    </row>
    <row r="918" spans="12:16" s="23" customFormat="1" ht="13.8">
      <c r="L918" s="33">
        <v>915</v>
      </c>
      <c r="M918" s="23">
        <f ca="1"/>
        <v>1394.2015683610084</v>
      </c>
      <c r="N918" s="25">
        <f t="shared" si="42"/>
        <v>1106.9630000000002</v>
      </c>
      <c r="O918" s="25">
        <f t="shared" ca="1" si="43"/>
        <v>0</v>
      </c>
      <c r="P918" s="25">
        <f t="shared" ca="1" si="44"/>
        <v>0</v>
      </c>
    </row>
    <row r="919" spans="12:16" s="23" customFormat="1" ht="13.8">
      <c r="L919" s="23">
        <v>916</v>
      </c>
      <c r="M919" s="23">
        <f ca="1"/>
        <v>2072.2472889786573</v>
      </c>
      <c r="N919" s="25">
        <f t="shared" si="42"/>
        <v>1106.9630000000002</v>
      </c>
      <c r="O919" s="25">
        <f t="shared" ca="1" si="43"/>
        <v>0</v>
      </c>
      <c r="P919" s="25">
        <f t="shared" ca="1" si="44"/>
        <v>0</v>
      </c>
    </row>
    <row r="920" spans="12:16" s="23" customFormat="1" ht="13.8">
      <c r="L920" s="33">
        <v>917</v>
      </c>
      <c r="M920" s="23">
        <f ca="1"/>
        <v>1419.7454060619439</v>
      </c>
      <c r="N920" s="25">
        <f t="shared" si="42"/>
        <v>1106.9630000000002</v>
      </c>
      <c r="O920" s="25">
        <f t="shared" ca="1" si="43"/>
        <v>0</v>
      </c>
      <c r="P920" s="25">
        <f t="shared" ca="1" si="44"/>
        <v>0</v>
      </c>
    </row>
    <row r="921" spans="12:16" s="23" customFormat="1" ht="13.8">
      <c r="L921" s="23">
        <v>918</v>
      </c>
      <c r="M921" s="23">
        <f ca="1"/>
        <v>1208.8848301642986</v>
      </c>
      <c r="N921" s="25">
        <f t="shared" si="42"/>
        <v>1106.9630000000002</v>
      </c>
      <c r="O921" s="25">
        <f t="shared" ca="1" si="43"/>
        <v>0</v>
      </c>
      <c r="P921" s="25">
        <f t="shared" ca="1" si="44"/>
        <v>0</v>
      </c>
    </row>
    <row r="922" spans="12:16" s="23" customFormat="1" ht="13.8">
      <c r="L922" s="33">
        <v>919</v>
      </c>
      <c r="M922" s="23">
        <f ca="1"/>
        <v>933.05005752579359</v>
      </c>
      <c r="N922" s="25">
        <f t="shared" si="42"/>
        <v>1106.9630000000002</v>
      </c>
      <c r="O922" s="25">
        <f t="shared" ca="1" si="43"/>
        <v>1</v>
      </c>
      <c r="P922" s="25">
        <f t="shared" ca="1" si="44"/>
        <v>0.1571081801959113</v>
      </c>
    </row>
    <row r="923" spans="12:16" s="23" customFormat="1" ht="13.8">
      <c r="L923" s="23">
        <v>920</v>
      </c>
      <c r="M923" s="23">
        <f ca="1"/>
        <v>1274.9616017697772</v>
      </c>
      <c r="N923" s="25">
        <f t="shared" si="42"/>
        <v>1106.9630000000002</v>
      </c>
      <c r="O923" s="25">
        <f t="shared" ca="1" si="43"/>
        <v>0</v>
      </c>
      <c r="P923" s="25">
        <f t="shared" ca="1" si="44"/>
        <v>0</v>
      </c>
    </row>
    <row r="924" spans="12:16" s="23" customFormat="1" ht="13.8">
      <c r="L924" s="33">
        <v>921</v>
      </c>
      <c r="M924" s="23">
        <f ca="1"/>
        <v>1159.639650266952</v>
      </c>
      <c r="N924" s="25">
        <f t="shared" si="42"/>
        <v>1106.9630000000002</v>
      </c>
      <c r="O924" s="25">
        <f t="shared" ca="1" si="43"/>
        <v>0</v>
      </c>
      <c r="P924" s="25">
        <f t="shared" ca="1" si="44"/>
        <v>0</v>
      </c>
    </row>
    <row r="925" spans="12:16" s="23" customFormat="1" ht="13.8">
      <c r="L925" s="23">
        <v>922</v>
      </c>
      <c r="M925" s="23">
        <f ca="1"/>
        <v>1717.2949136064344</v>
      </c>
      <c r="N925" s="25">
        <f t="shared" si="42"/>
        <v>1106.9630000000002</v>
      </c>
      <c r="O925" s="25">
        <f t="shared" ca="1" si="43"/>
        <v>0</v>
      </c>
      <c r="P925" s="25">
        <f t="shared" ca="1" si="44"/>
        <v>0</v>
      </c>
    </row>
    <row r="926" spans="12:16" s="23" customFormat="1" ht="13.8">
      <c r="L926" s="33">
        <v>923</v>
      </c>
      <c r="M926" s="23">
        <f ca="1"/>
        <v>1473.5547868688675</v>
      </c>
      <c r="N926" s="25">
        <f t="shared" si="42"/>
        <v>1106.9630000000002</v>
      </c>
      <c r="O926" s="25">
        <f t="shared" ca="1" si="43"/>
        <v>0</v>
      </c>
      <c r="P926" s="25">
        <f t="shared" ca="1" si="44"/>
        <v>0</v>
      </c>
    </row>
    <row r="927" spans="12:16" s="23" customFormat="1" ht="13.8">
      <c r="L927" s="23">
        <v>924</v>
      </c>
      <c r="M927" s="23">
        <f ca="1"/>
        <v>1605.5718393127797</v>
      </c>
      <c r="N927" s="25">
        <f t="shared" si="42"/>
        <v>1106.9630000000002</v>
      </c>
      <c r="O927" s="25">
        <f t="shared" ca="1" si="43"/>
        <v>0</v>
      </c>
      <c r="P927" s="25">
        <f t="shared" ca="1" si="44"/>
        <v>0</v>
      </c>
    </row>
    <row r="928" spans="12:16" s="23" customFormat="1" ht="13.8">
      <c r="L928" s="33">
        <v>925</v>
      </c>
      <c r="M928" s="23">
        <f ca="1"/>
        <v>1704.3153551055066</v>
      </c>
      <c r="N928" s="25">
        <f t="shared" si="42"/>
        <v>1106.9630000000002</v>
      </c>
      <c r="O928" s="25">
        <f t="shared" ca="1" si="43"/>
        <v>0</v>
      </c>
      <c r="P928" s="25">
        <f t="shared" ca="1" si="44"/>
        <v>0</v>
      </c>
    </row>
    <row r="929" spans="12:16" s="23" customFormat="1" ht="13.8">
      <c r="L929" s="23">
        <v>926</v>
      </c>
      <c r="M929" s="23">
        <f ca="1"/>
        <v>1763.6762577275479</v>
      </c>
      <c r="N929" s="25">
        <f t="shared" si="42"/>
        <v>1106.9630000000002</v>
      </c>
      <c r="O929" s="25">
        <f t="shared" ca="1" si="43"/>
        <v>0</v>
      </c>
      <c r="P929" s="25">
        <f t="shared" ca="1" si="44"/>
        <v>0</v>
      </c>
    </row>
    <row r="930" spans="12:16" s="23" customFormat="1" ht="13.8">
      <c r="L930" s="33">
        <v>927</v>
      </c>
      <c r="M930" s="23">
        <f ca="1"/>
        <v>1529.0400482210396</v>
      </c>
      <c r="N930" s="25">
        <f t="shared" si="42"/>
        <v>1106.9630000000002</v>
      </c>
      <c r="O930" s="25">
        <f t="shared" ca="1" si="43"/>
        <v>0</v>
      </c>
      <c r="P930" s="25">
        <f t="shared" ca="1" si="44"/>
        <v>0</v>
      </c>
    </row>
    <row r="931" spans="12:16" s="23" customFormat="1" ht="13.8">
      <c r="L931" s="23">
        <v>928</v>
      </c>
      <c r="M931" s="23">
        <f ca="1"/>
        <v>1425.6931216349342</v>
      </c>
      <c r="N931" s="25">
        <f t="shared" si="42"/>
        <v>1106.9630000000002</v>
      </c>
      <c r="O931" s="25">
        <f t="shared" ca="1" si="43"/>
        <v>0</v>
      </c>
      <c r="P931" s="25">
        <f t="shared" ca="1" si="44"/>
        <v>0</v>
      </c>
    </row>
    <row r="932" spans="12:16" s="23" customFormat="1" ht="13.8">
      <c r="L932" s="33">
        <v>929</v>
      </c>
      <c r="M932" s="23">
        <f ca="1"/>
        <v>2005.8401263455048</v>
      </c>
      <c r="N932" s="25">
        <f t="shared" si="42"/>
        <v>1106.9630000000002</v>
      </c>
      <c r="O932" s="25">
        <f t="shared" ca="1" si="43"/>
        <v>0</v>
      </c>
      <c r="P932" s="25">
        <f t="shared" ca="1" si="44"/>
        <v>0</v>
      </c>
    </row>
    <row r="933" spans="12:16" s="23" customFormat="1" ht="13.8">
      <c r="L933" s="23">
        <v>930</v>
      </c>
      <c r="M933" s="23">
        <f ca="1"/>
        <v>2419.614681710867</v>
      </c>
      <c r="N933" s="25">
        <f t="shared" si="42"/>
        <v>1106.9630000000002</v>
      </c>
      <c r="O933" s="25">
        <f t="shared" ca="1" si="43"/>
        <v>0</v>
      </c>
      <c r="P933" s="25">
        <f t="shared" ca="1" si="44"/>
        <v>0</v>
      </c>
    </row>
    <row r="934" spans="12:16" s="23" customFormat="1" ht="13.8">
      <c r="L934" s="33">
        <v>931</v>
      </c>
      <c r="M934" s="23">
        <f ca="1"/>
        <v>1756.5295840241427</v>
      </c>
      <c r="N934" s="25">
        <f t="shared" si="42"/>
        <v>1106.9630000000002</v>
      </c>
      <c r="O934" s="25">
        <f t="shared" ca="1" si="43"/>
        <v>0</v>
      </c>
      <c r="P934" s="25">
        <f t="shared" ca="1" si="44"/>
        <v>0</v>
      </c>
    </row>
    <row r="935" spans="12:16" s="23" customFormat="1" ht="13.8">
      <c r="L935" s="23">
        <v>932</v>
      </c>
      <c r="M935" s="23">
        <f ca="1"/>
        <v>1750.1423544078475</v>
      </c>
      <c r="N935" s="25">
        <f t="shared" si="42"/>
        <v>1106.9630000000002</v>
      </c>
      <c r="O935" s="25">
        <f t="shared" ca="1" si="43"/>
        <v>0</v>
      </c>
      <c r="P935" s="25">
        <f t="shared" ca="1" si="44"/>
        <v>0</v>
      </c>
    </row>
    <row r="936" spans="12:16" s="23" customFormat="1" ht="13.8">
      <c r="L936" s="33">
        <v>933</v>
      </c>
      <c r="M936" s="23">
        <f ca="1"/>
        <v>1560.1694829625242</v>
      </c>
      <c r="N936" s="25">
        <f t="shared" si="42"/>
        <v>1106.9630000000002</v>
      </c>
      <c r="O936" s="25">
        <f t="shared" ca="1" si="43"/>
        <v>0</v>
      </c>
      <c r="P936" s="25">
        <f t="shared" ca="1" si="44"/>
        <v>0</v>
      </c>
    </row>
    <row r="937" spans="12:16" s="23" customFormat="1" ht="13.8">
      <c r="L937" s="23">
        <v>934</v>
      </c>
      <c r="M937" s="23">
        <f ca="1"/>
        <v>467.34815301626259</v>
      </c>
      <c r="N937" s="25">
        <f t="shared" si="42"/>
        <v>1106.9630000000002</v>
      </c>
      <c r="O937" s="25">
        <f t="shared" ca="1" si="43"/>
        <v>1</v>
      </c>
      <c r="P937" s="25">
        <f t="shared" ca="1" si="44"/>
        <v>0.57781050223335151</v>
      </c>
    </row>
    <row r="938" spans="12:16" s="23" customFormat="1" ht="13.8">
      <c r="L938" s="33">
        <v>935</v>
      </c>
      <c r="M938" s="23">
        <f ca="1"/>
        <v>1570.0680012419109</v>
      </c>
      <c r="N938" s="25">
        <f t="shared" si="42"/>
        <v>1106.9630000000002</v>
      </c>
      <c r="O938" s="25">
        <f t="shared" ca="1" si="43"/>
        <v>0</v>
      </c>
      <c r="P938" s="25">
        <f t="shared" ca="1" si="44"/>
        <v>0</v>
      </c>
    </row>
    <row r="939" spans="12:16" s="23" customFormat="1" ht="13.8">
      <c r="L939" s="23">
        <v>936</v>
      </c>
      <c r="M939" s="23">
        <f ca="1"/>
        <v>1126.2023128775747</v>
      </c>
      <c r="N939" s="25">
        <f t="shared" si="42"/>
        <v>1106.9630000000002</v>
      </c>
      <c r="O939" s="25">
        <f t="shared" ca="1" si="43"/>
        <v>0</v>
      </c>
      <c r="P939" s="25">
        <f t="shared" ca="1" si="44"/>
        <v>0</v>
      </c>
    </row>
    <row r="940" spans="12:16" s="23" customFormat="1" ht="13.8">
      <c r="L940" s="33">
        <v>937</v>
      </c>
      <c r="M940" s="23">
        <f ca="1"/>
        <v>1828.6443272188596</v>
      </c>
      <c r="N940" s="25">
        <f t="shared" si="42"/>
        <v>1106.9630000000002</v>
      </c>
      <c r="O940" s="25">
        <f t="shared" ca="1" si="43"/>
        <v>0</v>
      </c>
      <c r="P940" s="25">
        <f t="shared" ca="1" si="44"/>
        <v>0</v>
      </c>
    </row>
    <row r="941" spans="12:16" s="23" customFormat="1" ht="13.8">
      <c r="L941" s="23">
        <v>938</v>
      </c>
      <c r="M941" s="23">
        <f ca="1"/>
        <v>1318.1541574039929</v>
      </c>
      <c r="N941" s="25">
        <f t="shared" si="42"/>
        <v>1106.9630000000002</v>
      </c>
      <c r="O941" s="25">
        <f t="shared" ca="1" si="43"/>
        <v>0</v>
      </c>
      <c r="P941" s="25">
        <f t="shared" ca="1" si="44"/>
        <v>0</v>
      </c>
    </row>
    <row r="942" spans="12:16" s="23" customFormat="1" ht="13.8">
      <c r="L942" s="33">
        <v>939</v>
      </c>
      <c r="M942" s="23">
        <f ca="1"/>
        <v>2364.9939601671449</v>
      </c>
      <c r="N942" s="25">
        <f t="shared" si="42"/>
        <v>1106.9630000000002</v>
      </c>
      <c r="O942" s="25">
        <f t="shared" ca="1" si="43"/>
        <v>0</v>
      </c>
      <c r="P942" s="25">
        <f t="shared" ca="1" si="44"/>
        <v>0</v>
      </c>
    </row>
    <row r="943" spans="12:16" s="23" customFormat="1" ht="13.8">
      <c r="L943" s="23">
        <v>940</v>
      </c>
      <c r="M943" s="23">
        <f ca="1"/>
        <v>1732.4373272024761</v>
      </c>
      <c r="N943" s="25">
        <f t="shared" si="42"/>
        <v>1106.9630000000002</v>
      </c>
      <c r="O943" s="25">
        <f t="shared" ca="1" si="43"/>
        <v>0</v>
      </c>
      <c r="P943" s="25">
        <f t="shared" ca="1" si="44"/>
        <v>0</v>
      </c>
    </row>
    <row r="944" spans="12:16" s="23" customFormat="1" ht="13.8">
      <c r="L944" s="33">
        <v>941</v>
      </c>
      <c r="M944" s="23">
        <f ca="1"/>
        <v>1764.1627870694424</v>
      </c>
      <c r="N944" s="25">
        <f t="shared" si="42"/>
        <v>1106.9630000000002</v>
      </c>
      <c r="O944" s="25">
        <f t="shared" ca="1" si="43"/>
        <v>0</v>
      </c>
      <c r="P944" s="25">
        <f t="shared" ca="1" si="44"/>
        <v>0</v>
      </c>
    </row>
    <row r="945" spans="12:16" s="23" customFormat="1" ht="13.8">
      <c r="L945" s="23">
        <v>942</v>
      </c>
      <c r="M945" s="23">
        <f ca="1"/>
        <v>960.25788571721887</v>
      </c>
      <c r="N945" s="25">
        <f t="shared" si="42"/>
        <v>1106.9630000000002</v>
      </c>
      <c r="O945" s="25">
        <f t="shared" ca="1" si="43"/>
        <v>1</v>
      </c>
      <c r="P945" s="25">
        <f t="shared" ca="1" si="44"/>
        <v>0.13252937476932949</v>
      </c>
    </row>
    <row r="946" spans="12:16" s="23" customFormat="1" ht="13.8">
      <c r="L946" s="33">
        <v>943</v>
      </c>
      <c r="M946" s="23">
        <f ca="1"/>
        <v>1580.6052443657613</v>
      </c>
      <c r="N946" s="25">
        <f t="shared" si="42"/>
        <v>1106.9630000000002</v>
      </c>
      <c r="O946" s="25">
        <f t="shared" ca="1" si="43"/>
        <v>0</v>
      </c>
      <c r="P946" s="25">
        <f t="shared" ca="1" si="44"/>
        <v>0</v>
      </c>
    </row>
    <row r="947" spans="12:16" s="23" customFormat="1" ht="13.8">
      <c r="L947" s="23">
        <v>944</v>
      </c>
      <c r="M947" s="23">
        <f ca="1"/>
        <v>2220.207232266956</v>
      </c>
      <c r="N947" s="25">
        <f t="shared" si="42"/>
        <v>1106.9630000000002</v>
      </c>
      <c r="O947" s="25">
        <f t="shared" ca="1" si="43"/>
        <v>0</v>
      </c>
      <c r="P947" s="25">
        <f t="shared" ca="1" si="44"/>
        <v>0</v>
      </c>
    </row>
    <row r="948" spans="12:16" s="23" customFormat="1" ht="13.8">
      <c r="L948" s="33">
        <v>945</v>
      </c>
      <c r="M948" s="23">
        <f ca="1"/>
        <v>723.32060252217877</v>
      </c>
      <c r="N948" s="25">
        <f t="shared" si="42"/>
        <v>1106.9630000000002</v>
      </c>
      <c r="O948" s="25">
        <f t="shared" ca="1" si="43"/>
        <v>1</v>
      </c>
      <c r="P948" s="25">
        <f t="shared" ca="1" si="44"/>
        <v>0.34657201503376478</v>
      </c>
    </row>
    <row r="949" spans="12:16" s="23" customFormat="1" ht="13.8">
      <c r="L949" s="23">
        <v>946</v>
      </c>
      <c r="M949" s="23">
        <f ca="1"/>
        <v>1572.9501735996191</v>
      </c>
      <c r="N949" s="25">
        <f t="shared" si="42"/>
        <v>1106.9630000000002</v>
      </c>
      <c r="O949" s="25">
        <f t="shared" ca="1" si="43"/>
        <v>0</v>
      </c>
      <c r="P949" s="25">
        <f t="shared" ca="1" si="44"/>
        <v>0</v>
      </c>
    </row>
    <row r="950" spans="12:16" s="23" customFormat="1" ht="13.8">
      <c r="L950" s="33">
        <v>947</v>
      </c>
      <c r="M950" s="23">
        <f ca="1"/>
        <v>1051.4738466238312</v>
      </c>
      <c r="N950" s="25">
        <f t="shared" si="42"/>
        <v>1106.9630000000002</v>
      </c>
      <c r="O950" s="25">
        <f t="shared" ca="1" si="43"/>
        <v>1</v>
      </c>
      <c r="P950" s="25">
        <f t="shared" ca="1" si="44"/>
        <v>5.0127378581008609E-2</v>
      </c>
    </row>
    <row r="951" spans="12:16" s="23" customFormat="1" ht="13.8">
      <c r="L951" s="23">
        <v>948</v>
      </c>
      <c r="M951" s="23">
        <f ca="1"/>
        <v>1952.2591420208639</v>
      </c>
      <c r="N951" s="25">
        <f t="shared" si="42"/>
        <v>1106.9630000000002</v>
      </c>
      <c r="O951" s="25">
        <f t="shared" ca="1" si="43"/>
        <v>0</v>
      </c>
      <c r="P951" s="25">
        <f t="shared" ca="1" si="44"/>
        <v>0</v>
      </c>
    </row>
    <row r="952" spans="12:16" s="23" customFormat="1" ht="13.8">
      <c r="L952" s="33">
        <v>949</v>
      </c>
      <c r="M952" s="23">
        <f ca="1"/>
        <v>863.09792544087566</v>
      </c>
      <c r="N952" s="25">
        <f t="shared" si="42"/>
        <v>1106.9630000000002</v>
      </c>
      <c r="O952" s="25">
        <f t="shared" ca="1" si="43"/>
        <v>1</v>
      </c>
      <c r="P952" s="25">
        <f t="shared" ca="1" si="44"/>
        <v>0.22030101688956585</v>
      </c>
    </row>
    <row r="953" spans="12:16" s="23" customFormat="1" ht="13.8">
      <c r="L953" s="23">
        <v>950</v>
      </c>
      <c r="M953" s="23">
        <f ca="1"/>
        <v>2271.8420969226495</v>
      </c>
      <c r="N953" s="25">
        <f t="shared" si="42"/>
        <v>1106.9630000000002</v>
      </c>
      <c r="O953" s="25">
        <f t="shared" ca="1" si="43"/>
        <v>0</v>
      </c>
      <c r="P953" s="25">
        <f t="shared" ca="1" si="44"/>
        <v>0</v>
      </c>
    </row>
    <row r="954" spans="12:16" s="23" customFormat="1" ht="13.8">
      <c r="L954" s="33">
        <v>951</v>
      </c>
      <c r="M954" s="23">
        <f ca="1"/>
        <v>2151.5125674581072</v>
      </c>
      <c r="N954" s="25">
        <f t="shared" si="42"/>
        <v>1106.9630000000002</v>
      </c>
      <c r="O954" s="25">
        <f t="shared" ca="1" si="43"/>
        <v>0</v>
      </c>
      <c r="P954" s="25">
        <f t="shared" ca="1" si="44"/>
        <v>0</v>
      </c>
    </row>
    <row r="955" spans="12:16" s="23" customFormat="1" ht="13.8">
      <c r="L955" s="23">
        <v>952</v>
      </c>
      <c r="M955" s="23">
        <f ca="1"/>
        <v>554.15564488875395</v>
      </c>
      <c r="N955" s="25">
        <f t="shared" si="42"/>
        <v>1106.9630000000002</v>
      </c>
      <c r="O955" s="25">
        <f t="shared" ca="1" si="43"/>
        <v>1</v>
      </c>
      <c r="P955" s="25">
        <f t="shared" ca="1" si="44"/>
        <v>0.4993909960055089</v>
      </c>
    </row>
    <row r="956" spans="12:16" s="23" customFormat="1" ht="13.8">
      <c r="L956" s="33">
        <v>953</v>
      </c>
      <c r="M956" s="23">
        <f ca="1"/>
        <v>1119.769766822626</v>
      </c>
      <c r="N956" s="25">
        <f t="shared" si="42"/>
        <v>1106.9630000000002</v>
      </c>
      <c r="O956" s="25">
        <f t="shared" ca="1" si="43"/>
        <v>0</v>
      </c>
      <c r="P956" s="25">
        <f t="shared" ca="1" si="44"/>
        <v>0</v>
      </c>
    </row>
    <row r="957" spans="12:16" s="23" customFormat="1" ht="13.8">
      <c r="L957" s="23">
        <v>954</v>
      </c>
      <c r="M957" s="23">
        <f ca="1"/>
        <v>1688.217591500349</v>
      </c>
      <c r="N957" s="25">
        <f t="shared" si="42"/>
        <v>1106.9630000000002</v>
      </c>
      <c r="O957" s="25">
        <f t="shared" ca="1" si="43"/>
        <v>0</v>
      </c>
      <c r="P957" s="25">
        <f t="shared" ca="1" si="44"/>
        <v>0</v>
      </c>
    </row>
    <row r="958" spans="12:16" s="23" customFormat="1" ht="13.8">
      <c r="L958" s="33">
        <v>955</v>
      </c>
      <c r="M958" s="23">
        <f ca="1"/>
        <v>1793.2913230714514</v>
      </c>
      <c r="N958" s="25">
        <f t="shared" si="42"/>
        <v>1106.9630000000002</v>
      </c>
      <c r="O958" s="25">
        <f t="shared" ca="1" si="43"/>
        <v>0</v>
      </c>
      <c r="P958" s="25">
        <f t="shared" ca="1" si="44"/>
        <v>0</v>
      </c>
    </row>
    <row r="959" spans="12:16" s="23" customFormat="1" ht="13.8">
      <c r="L959" s="23">
        <v>956</v>
      </c>
      <c r="M959" s="23">
        <f ca="1"/>
        <v>809.44853568532301</v>
      </c>
      <c r="N959" s="25">
        <f t="shared" si="42"/>
        <v>1106.9630000000002</v>
      </c>
      <c r="O959" s="25">
        <f t="shared" ca="1" si="43"/>
        <v>1</v>
      </c>
      <c r="P959" s="25">
        <f t="shared" ca="1" si="44"/>
        <v>0.26876640349738623</v>
      </c>
    </row>
    <row r="960" spans="12:16" s="23" customFormat="1" ht="13.8">
      <c r="L960" s="33">
        <v>957</v>
      </c>
      <c r="M960" s="23">
        <f ca="1"/>
        <v>1858.9742520895595</v>
      </c>
      <c r="N960" s="25">
        <f t="shared" si="42"/>
        <v>1106.9630000000002</v>
      </c>
      <c r="O960" s="25">
        <f t="shared" ca="1" si="43"/>
        <v>0</v>
      </c>
      <c r="P960" s="25">
        <f t="shared" ca="1" si="44"/>
        <v>0</v>
      </c>
    </row>
    <row r="961" spans="12:16" s="23" customFormat="1" ht="13.8">
      <c r="L961" s="23">
        <v>958</v>
      </c>
      <c r="M961" s="23">
        <f ca="1"/>
        <v>2926.6932476212987</v>
      </c>
      <c r="N961" s="25">
        <f t="shared" si="42"/>
        <v>1106.9630000000002</v>
      </c>
      <c r="O961" s="25">
        <f t="shared" ca="1" si="43"/>
        <v>0</v>
      </c>
      <c r="P961" s="25">
        <f t="shared" ca="1" si="44"/>
        <v>0</v>
      </c>
    </row>
    <row r="962" spans="12:16" s="23" customFormat="1" ht="13.8">
      <c r="L962" s="33">
        <v>959</v>
      </c>
      <c r="M962" s="23">
        <f ca="1"/>
        <v>2149.5014577895295</v>
      </c>
      <c r="N962" s="25">
        <f t="shared" si="42"/>
        <v>1106.9630000000002</v>
      </c>
      <c r="O962" s="25">
        <f t="shared" ca="1" si="43"/>
        <v>0</v>
      </c>
      <c r="P962" s="25">
        <f t="shared" ca="1" si="44"/>
        <v>0</v>
      </c>
    </row>
    <row r="963" spans="12:16" s="23" customFormat="1" ht="13.8">
      <c r="L963" s="23">
        <v>960</v>
      </c>
      <c r="M963" s="23">
        <f ca="1"/>
        <v>2069.4157475226725</v>
      </c>
      <c r="N963" s="25">
        <f t="shared" si="42"/>
        <v>1106.9630000000002</v>
      </c>
      <c r="O963" s="25">
        <f t="shared" ca="1" si="43"/>
        <v>0</v>
      </c>
      <c r="P963" s="25">
        <f t="shared" ca="1" si="44"/>
        <v>0</v>
      </c>
    </row>
    <row r="964" spans="12:16" s="23" customFormat="1" ht="13.8">
      <c r="L964" s="33">
        <v>961</v>
      </c>
      <c r="M964" s="23">
        <f ca="1"/>
        <v>1193.6567024228827</v>
      </c>
      <c r="N964" s="25">
        <f t="shared" ref="N964:N1003" si="45">($C$21+$E$21)*1.1</f>
        <v>1106.9630000000002</v>
      </c>
      <c r="O964" s="25">
        <f t="shared" ca="1" si="43"/>
        <v>0</v>
      </c>
      <c r="P964" s="25">
        <f t="shared" ca="1" si="44"/>
        <v>0</v>
      </c>
    </row>
    <row r="965" spans="12:16" s="23" customFormat="1" ht="13.8">
      <c r="L965" s="23">
        <v>962</v>
      </c>
      <c r="M965" s="23">
        <f ca="1"/>
        <v>2075.149361107789</v>
      </c>
      <c r="N965" s="25">
        <f t="shared" si="45"/>
        <v>1106.9630000000002</v>
      </c>
      <c r="O965" s="25">
        <f t="shared" ref="O965:O1003" ca="1" si="46">IF(M965&lt;N965,1,0)</f>
        <v>0</v>
      </c>
      <c r="P965" s="25">
        <f t="shared" ref="P965:P1003" ca="1" si="47">MAX((N965-M965)/N965,0)</f>
        <v>0</v>
      </c>
    </row>
    <row r="966" spans="12:16" s="23" customFormat="1" ht="13.8">
      <c r="L966" s="33">
        <v>963</v>
      </c>
      <c r="M966" s="23">
        <f ca="1"/>
        <v>1336.7394118757566</v>
      </c>
      <c r="N966" s="25">
        <f t="shared" si="45"/>
        <v>1106.9630000000002</v>
      </c>
      <c r="O966" s="25">
        <f t="shared" ca="1" si="46"/>
        <v>0</v>
      </c>
      <c r="P966" s="25">
        <f t="shared" ca="1" si="47"/>
        <v>0</v>
      </c>
    </row>
    <row r="967" spans="12:16" s="23" customFormat="1" ht="13.8">
      <c r="L967" s="23">
        <v>964</v>
      </c>
      <c r="M967" s="23">
        <f ca="1"/>
        <v>1585.8023392339289</v>
      </c>
      <c r="N967" s="25">
        <f t="shared" si="45"/>
        <v>1106.9630000000002</v>
      </c>
      <c r="O967" s="25">
        <f t="shared" ca="1" si="46"/>
        <v>0</v>
      </c>
      <c r="P967" s="25">
        <f t="shared" ca="1" si="47"/>
        <v>0</v>
      </c>
    </row>
    <row r="968" spans="12:16" s="23" customFormat="1" ht="13.8">
      <c r="L968" s="33">
        <v>965</v>
      </c>
      <c r="M968" s="23">
        <f ca="1"/>
        <v>1947.9978512831626</v>
      </c>
      <c r="N968" s="25">
        <f t="shared" si="45"/>
        <v>1106.9630000000002</v>
      </c>
      <c r="O968" s="25">
        <f t="shared" ca="1" si="46"/>
        <v>0</v>
      </c>
      <c r="P968" s="25">
        <f t="shared" ca="1" si="47"/>
        <v>0</v>
      </c>
    </row>
    <row r="969" spans="12:16" s="23" customFormat="1" ht="13.8">
      <c r="L969" s="23">
        <v>966</v>
      </c>
      <c r="M969" s="23">
        <f ca="1"/>
        <v>1427.1796239299103</v>
      </c>
      <c r="N969" s="25">
        <f t="shared" si="45"/>
        <v>1106.9630000000002</v>
      </c>
      <c r="O969" s="25">
        <f t="shared" ca="1" si="46"/>
        <v>0</v>
      </c>
      <c r="P969" s="25">
        <f t="shared" ca="1" si="47"/>
        <v>0</v>
      </c>
    </row>
    <row r="970" spans="12:16" s="23" customFormat="1" ht="13.8">
      <c r="L970" s="33">
        <v>967</v>
      </c>
      <c r="M970" s="23">
        <f ca="1"/>
        <v>1538.2894273208892</v>
      </c>
      <c r="N970" s="25">
        <f t="shared" si="45"/>
        <v>1106.9630000000002</v>
      </c>
      <c r="O970" s="25">
        <f t="shared" ca="1" si="46"/>
        <v>0</v>
      </c>
      <c r="P970" s="25">
        <f t="shared" ca="1" si="47"/>
        <v>0</v>
      </c>
    </row>
    <row r="971" spans="12:16" s="23" customFormat="1" ht="13.8">
      <c r="L971" s="23">
        <v>968</v>
      </c>
      <c r="M971" s="23">
        <f ca="1"/>
        <v>1488.8853863211623</v>
      </c>
      <c r="N971" s="25">
        <f t="shared" si="45"/>
        <v>1106.9630000000002</v>
      </c>
      <c r="O971" s="25">
        <f t="shared" ca="1" si="46"/>
        <v>0</v>
      </c>
      <c r="P971" s="25">
        <f t="shared" ca="1" si="47"/>
        <v>0</v>
      </c>
    </row>
    <row r="972" spans="12:16" s="23" customFormat="1" ht="13.8">
      <c r="L972" s="33">
        <v>969</v>
      </c>
      <c r="M972" s="23">
        <f ca="1"/>
        <v>1479.3938514804206</v>
      </c>
      <c r="N972" s="25">
        <f t="shared" si="45"/>
        <v>1106.9630000000002</v>
      </c>
      <c r="O972" s="25">
        <f t="shared" ca="1" si="46"/>
        <v>0</v>
      </c>
      <c r="P972" s="25">
        <f t="shared" ca="1" si="47"/>
        <v>0</v>
      </c>
    </row>
    <row r="973" spans="12:16" s="23" customFormat="1" ht="13.8">
      <c r="L973" s="23">
        <v>970</v>
      </c>
      <c r="M973" s="23">
        <f ca="1"/>
        <v>2460.3922714180994</v>
      </c>
      <c r="N973" s="25">
        <f t="shared" si="45"/>
        <v>1106.9630000000002</v>
      </c>
      <c r="O973" s="25">
        <f t="shared" ca="1" si="46"/>
        <v>0</v>
      </c>
      <c r="P973" s="25">
        <f t="shared" ca="1" si="47"/>
        <v>0</v>
      </c>
    </row>
    <row r="974" spans="12:16" s="23" customFormat="1" ht="13.8">
      <c r="L974" s="33">
        <v>971</v>
      </c>
      <c r="M974" s="23">
        <f ca="1"/>
        <v>1129.8352681919237</v>
      </c>
      <c r="N974" s="25">
        <f t="shared" si="45"/>
        <v>1106.9630000000002</v>
      </c>
      <c r="O974" s="25">
        <f t="shared" ca="1" si="46"/>
        <v>0</v>
      </c>
      <c r="P974" s="25">
        <f t="shared" ca="1" si="47"/>
        <v>0</v>
      </c>
    </row>
    <row r="975" spans="12:16" s="23" customFormat="1" ht="13.8">
      <c r="L975" s="23">
        <v>972</v>
      </c>
      <c r="M975" s="23">
        <f ca="1"/>
        <v>2366.9791260423262</v>
      </c>
      <c r="N975" s="25">
        <f t="shared" si="45"/>
        <v>1106.9630000000002</v>
      </c>
      <c r="O975" s="25">
        <f t="shared" ca="1" si="46"/>
        <v>0</v>
      </c>
      <c r="P975" s="25">
        <f t="shared" ca="1" si="47"/>
        <v>0</v>
      </c>
    </row>
    <row r="976" spans="12:16" s="23" customFormat="1" ht="13.8">
      <c r="L976" s="33">
        <v>973</v>
      </c>
      <c r="M976" s="23">
        <f ca="1"/>
        <v>728.61488796286983</v>
      </c>
      <c r="N976" s="25">
        <f t="shared" si="45"/>
        <v>1106.9630000000002</v>
      </c>
      <c r="O976" s="25">
        <f t="shared" ca="1" si="46"/>
        <v>1</v>
      </c>
      <c r="P976" s="25">
        <f t="shared" ca="1" si="47"/>
        <v>0.34178930283770126</v>
      </c>
    </row>
    <row r="977" spans="12:16" s="23" customFormat="1" ht="13.8">
      <c r="L977" s="23">
        <v>974</v>
      </c>
      <c r="M977" s="23">
        <f ca="1"/>
        <v>2099.7991452613473</v>
      </c>
      <c r="N977" s="25">
        <f t="shared" si="45"/>
        <v>1106.9630000000002</v>
      </c>
      <c r="O977" s="25">
        <f t="shared" ca="1" si="46"/>
        <v>0</v>
      </c>
      <c r="P977" s="25">
        <f t="shared" ca="1" si="47"/>
        <v>0</v>
      </c>
    </row>
    <row r="978" spans="12:16" s="23" customFormat="1" ht="13.8">
      <c r="L978" s="33">
        <v>975</v>
      </c>
      <c r="M978" s="23">
        <f ca="1"/>
        <v>975.00986181551741</v>
      </c>
      <c r="N978" s="25">
        <f t="shared" si="45"/>
        <v>1106.9630000000002</v>
      </c>
      <c r="O978" s="25">
        <f t="shared" ca="1" si="46"/>
        <v>1</v>
      </c>
      <c r="P978" s="25">
        <f t="shared" ca="1" si="47"/>
        <v>0.11920284434482703</v>
      </c>
    </row>
    <row r="979" spans="12:16" s="23" customFormat="1" ht="13.8">
      <c r="L979" s="23">
        <v>976</v>
      </c>
      <c r="M979" s="23">
        <f ca="1"/>
        <v>1896.3198419597691</v>
      </c>
      <c r="N979" s="25">
        <f t="shared" si="45"/>
        <v>1106.9630000000002</v>
      </c>
      <c r="O979" s="25">
        <f t="shared" ca="1" si="46"/>
        <v>0</v>
      </c>
      <c r="P979" s="25">
        <f t="shared" ca="1" si="47"/>
        <v>0</v>
      </c>
    </row>
    <row r="980" spans="12:16" s="23" customFormat="1" ht="13.8">
      <c r="L980" s="33">
        <v>977</v>
      </c>
      <c r="M980" s="23">
        <f ca="1"/>
        <v>894.24721839854362</v>
      </c>
      <c r="N980" s="25">
        <f t="shared" si="45"/>
        <v>1106.9630000000002</v>
      </c>
      <c r="O980" s="25">
        <f t="shared" ca="1" si="46"/>
        <v>1</v>
      </c>
      <c r="P980" s="25">
        <f t="shared" ca="1" si="47"/>
        <v>0.19216160034387467</v>
      </c>
    </row>
    <row r="981" spans="12:16" s="23" customFormat="1" ht="13.8">
      <c r="L981" s="23">
        <v>978</v>
      </c>
      <c r="M981" s="23">
        <f ca="1"/>
        <v>1555.3456208549444</v>
      </c>
      <c r="N981" s="25">
        <f t="shared" si="45"/>
        <v>1106.9630000000002</v>
      </c>
      <c r="O981" s="25">
        <f t="shared" ca="1" si="46"/>
        <v>0</v>
      </c>
      <c r="P981" s="25">
        <f t="shared" ca="1" si="47"/>
        <v>0</v>
      </c>
    </row>
    <row r="982" spans="12:16" s="23" customFormat="1" ht="13.8">
      <c r="L982" s="33">
        <v>979</v>
      </c>
      <c r="M982" s="23">
        <f ca="1"/>
        <v>758.76082844114512</v>
      </c>
      <c r="N982" s="25">
        <f t="shared" si="45"/>
        <v>1106.9630000000002</v>
      </c>
      <c r="O982" s="25">
        <f t="shared" ca="1" si="46"/>
        <v>1</v>
      </c>
      <c r="P982" s="25">
        <f t="shared" ca="1" si="47"/>
        <v>0.31455628739068514</v>
      </c>
    </row>
    <row r="983" spans="12:16" s="23" customFormat="1" ht="13.8">
      <c r="L983" s="23">
        <v>980</v>
      </c>
      <c r="M983" s="23">
        <f ca="1"/>
        <v>1683.9637859564707</v>
      </c>
      <c r="N983" s="25">
        <f t="shared" si="45"/>
        <v>1106.9630000000002</v>
      </c>
      <c r="O983" s="25">
        <f t="shared" ca="1" si="46"/>
        <v>0</v>
      </c>
      <c r="P983" s="25">
        <f t="shared" ca="1" si="47"/>
        <v>0</v>
      </c>
    </row>
    <row r="984" spans="12:16" s="23" customFormat="1" ht="13.8">
      <c r="L984" s="33">
        <v>981</v>
      </c>
      <c r="M984" s="23">
        <f ca="1"/>
        <v>994.83294135327037</v>
      </c>
      <c r="N984" s="25">
        <f t="shared" si="45"/>
        <v>1106.9630000000002</v>
      </c>
      <c r="O984" s="25">
        <f t="shared" ca="1" si="46"/>
        <v>1</v>
      </c>
      <c r="P984" s="25">
        <f t="shared" ca="1" si="47"/>
        <v>0.10129521822023844</v>
      </c>
    </row>
    <row r="985" spans="12:16" s="23" customFormat="1" ht="13.8">
      <c r="L985" s="23">
        <v>982</v>
      </c>
      <c r="M985" s="23">
        <f ca="1"/>
        <v>1346.7323105186147</v>
      </c>
      <c r="N985" s="25">
        <f t="shared" si="45"/>
        <v>1106.9630000000002</v>
      </c>
      <c r="O985" s="25">
        <f t="shared" ca="1" si="46"/>
        <v>0</v>
      </c>
      <c r="P985" s="25">
        <f t="shared" ca="1" si="47"/>
        <v>0</v>
      </c>
    </row>
    <row r="986" spans="12:16" s="23" customFormat="1" ht="13.8">
      <c r="L986" s="33">
        <v>983</v>
      </c>
      <c r="M986" s="23">
        <f ca="1"/>
        <v>93.462508355703932</v>
      </c>
      <c r="N986" s="25">
        <f t="shared" si="45"/>
        <v>1106.9630000000002</v>
      </c>
      <c r="O986" s="25">
        <f t="shared" ca="1" si="46"/>
        <v>1</v>
      </c>
      <c r="P986" s="25">
        <f t="shared" ca="1" si="47"/>
        <v>0.91556853448967679</v>
      </c>
    </row>
    <row r="987" spans="12:16" s="23" customFormat="1" ht="13.8">
      <c r="L987" s="23">
        <v>984</v>
      </c>
      <c r="M987" s="23">
        <f ca="1"/>
        <v>1471.4413208498745</v>
      </c>
      <c r="N987" s="25">
        <f t="shared" si="45"/>
        <v>1106.9630000000002</v>
      </c>
      <c r="O987" s="25">
        <f t="shared" ca="1" si="46"/>
        <v>0</v>
      </c>
      <c r="P987" s="25">
        <f t="shared" ca="1" si="47"/>
        <v>0</v>
      </c>
    </row>
    <row r="988" spans="12:16" s="23" customFormat="1" ht="13.8">
      <c r="L988" s="33">
        <v>985</v>
      </c>
      <c r="M988" s="23">
        <f ca="1"/>
        <v>2307.276474489599</v>
      </c>
      <c r="N988" s="25">
        <f t="shared" si="45"/>
        <v>1106.9630000000002</v>
      </c>
      <c r="O988" s="25">
        <f t="shared" ca="1" si="46"/>
        <v>0</v>
      </c>
      <c r="P988" s="25">
        <f t="shared" ca="1" si="47"/>
        <v>0</v>
      </c>
    </row>
    <row r="989" spans="12:16" s="23" customFormat="1" ht="13.8">
      <c r="L989" s="23">
        <v>986</v>
      </c>
      <c r="M989" s="23">
        <f ca="1"/>
        <v>984.08062299326264</v>
      </c>
      <c r="N989" s="25">
        <f t="shared" si="45"/>
        <v>1106.9630000000002</v>
      </c>
      <c r="O989" s="25">
        <f t="shared" ca="1" si="46"/>
        <v>1</v>
      </c>
      <c r="P989" s="25">
        <f t="shared" ca="1" si="47"/>
        <v>0.11100856759145296</v>
      </c>
    </row>
    <row r="990" spans="12:16" s="23" customFormat="1" ht="13.8">
      <c r="L990" s="33">
        <v>987</v>
      </c>
      <c r="M990" s="23">
        <f ca="1"/>
        <v>985.3967487348325</v>
      </c>
      <c r="N990" s="25">
        <f t="shared" si="45"/>
        <v>1106.9630000000002</v>
      </c>
      <c r="O990" s="25">
        <f t="shared" ca="1" si="46"/>
        <v>1</v>
      </c>
      <c r="P990" s="25">
        <f t="shared" ca="1" si="47"/>
        <v>0.10981961570998097</v>
      </c>
    </row>
    <row r="991" spans="12:16" s="23" customFormat="1" ht="13.8">
      <c r="L991" s="23">
        <v>988</v>
      </c>
      <c r="M991" s="23">
        <f ca="1"/>
        <v>1288.1060511768969</v>
      </c>
      <c r="N991" s="25">
        <f t="shared" si="45"/>
        <v>1106.9630000000002</v>
      </c>
      <c r="O991" s="25">
        <f t="shared" ca="1" si="46"/>
        <v>0</v>
      </c>
      <c r="P991" s="25">
        <f t="shared" ca="1" si="47"/>
        <v>0</v>
      </c>
    </row>
    <row r="992" spans="12:16" s="23" customFormat="1" ht="13.8">
      <c r="L992" s="33">
        <v>989</v>
      </c>
      <c r="M992" s="23">
        <f ca="1"/>
        <v>993.79262063353849</v>
      </c>
      <c r="N992" s="25">
        <f t="shared" si="45"/>
        <v>1106.9630000000002</v>
      </c>
      <c r="O992" s="25">
        <f t="shared" ca="1" si="46"/>
        <v>1</v>
      </c>
      <c r="P992" s="25">
        <f t="shared" ca="1" si="47"/>
        <v>0.10223501541285633</v>
      </c>
    </row>
    <row r="993" spans="12:16" s="23" customFormat="1" ht="13.8">
      <c r="L993" s="23">
        <v>990</v>
      </c>
      <c r="M993" s="23">
        <f ca="1"/>
        <v>2088.1664691965188</v>
      </c>
      <c r="N993" s="25">
        <f t="shared" si="45"/>
        <v>1106.9630000000002</v>
      </c>
      <c r="O993" s="25">
        <f t="shared" ca="1" si="46"/>
        <v>0</v>
      </c>
      <c r="P993" s="25">
        <f t="shared" ca="1" si="47"/>
        <v>0</v>
      </c>
    </row>
    <row r="994" spans="12:16" s="23" customFormat="1" ht="13.8">
      <c r="L994" s="33">
        <v>991</v>
      </c>
      <c r="M994" s="23">
        <f ca="1"/>
        <v>1453.2050322257744</v>
      </c>
      <c r="N994" s="25">
        <f t="shared" si="45"/>
        <v>1106.9630000000002</v>
      </c>
      <c r="O994" s="25">
        <f t="shared" ca="1" si="46"/>
        <v>0</v>
      </c>
      <c r="P994" s="25">
        <f t="shared" ca="1" si="47"/>
        <v>0</v>
      </c>
    </row>
    <row r="995" spans="12:16" s="23" customFormat="1" ht="13.8">
      <c r="L995" s="23">
        <v>992</v>
      </c>
      <c r="M995" s="23">
        <f ca="1"/>
        <v>808.93495849465103</v>
      </c>
      <c r="N995" s="25">
        <f t="shared" si="45"/>
        <v>1106.9630000000002</v>
      </c>
      <c r="O995" s="25">
        <f t="shared" ca="1" si="46"/>
        <v>1</v>
      </c>
      <c r="P995" s="25">
        <f t="shared" ca="1" si="47"/>
        <v>0.26923035503928233</v>
      </c>
    </row>
    <row r="996" spans="12:16" s="23" customFormat="1" ht="13.8">
      <c r="L996" s="33">
        <v>993</v>
      </c>
      <c r="M996" s="23">
        <f ca="1"/>
        <v>1180.33847903113</v>
      </c>
      <c r="N996" s="25">
        <f t="shared" si="45"/>
        <v>1106.9630000000002</v>
      </c>
      <c r="O996" s="25">
        <f t="shared" ca="1" si="46"/>
        <v>0</v>
      </c>
      <c r="P996" s="25">
        <f t="shared" ca="1" si="47"/>
        <v>0</v>
      </c>
    </row>
    <row r="997" spans="12:16" s="23" customFormat="1" ht="13.8">
      <c r="L997" s="23">
        <v>994</v>
      </c>
      <c r="M997" s="23">
        <f ca="1"/>
        <v>1425.7760242905135</v>
      </c>
      <c r="N997" s="25">
        <f t="shared" si="45"/>
        <v>1106.9630000000002</v>
      </c>
      <c r="O997" s="25">
        <f t="shared" ca="1" si="46"/>
        <v>0</v>
      </c>
      <c r="P997" s="25">
        <f t="shared" ca="1" si="47"/>
        <v>0</v>
      </c>
    </row>
    <row r="998" spans="12:16" s="23" customFormat="1" ht="13.8">
      <c r="L998" s="33">
        <v>995</v>
      </c>
      <c r="M998" s="23">
        <f ca="1"/>
        <v>1056.5613199256602</v>
      </c>
      <c r="N998" s="25">
        <f t="shared" si="45"/>
        <v>1106.9630000000002</v>
      </c>
      <c r="O998" s="25">
        <f t="shared" ca="1" si="46"/>
        <v>1</v>
      </c>
      <c r="P998" s="25">
        <f t="shared" ca="1" si="47"/>
        <v>4.5531494796429497E-2</v>
      </c>
    </row>
    <row r="999" spans="12:16" s="23" customFormat="1" ht="13.8">
      <c r="L999" s="23">
        <v>996</v>
      </c>
      <c r="M999" s="23">
        <f ca="1"/>
        <v>1291.7673203819045</v>
      </c>
      <c r="N999" s="25">
        <f t="shared" si="45"/>
        <v>1106.9630000000002</v>
      </c>
      <c r="O999" s="25">
        <f t="shared" ca="1" si="46"/>
        <v>0</v>
      </c>
      <c r="P999" s="25">
        <f t="shared" ca="1" si="47"/>
        <v>0</v>
      </c>
    </row>
    <row r="1000" spans="12:16" s="23" customFormat="1" ht="13.8">
      <c r="L1000" s="33">
        <v>997</v>
      </c>
      <c r="M1000" s="23">
        <f ca="1"/>
        <v>1963.0327050013068</v>
      </c>
      <c r="N1000" s="25">
        <f t="shared" si="45"/>
        <v>1106.9630000000002</v>
      </c>
      <c r="O1000" s="25">
        <f t="shared" ca="1" si="46"/>
        <v>0</v>
      </c>
      <c r="P1000" s="25">
        <f t="shared" ca="1" si="47"/>
        <v>0</v>
      </c>
    </row>
    <row r="1001" spans="12:16" s="23" customFormat="1" ht="13.8">
      <c r="L1001" s="23">
        <v>998</v>
      </c>
      <c r="M1001" s="23">
        <f ca="1"/>
        <v>945.47918618030258</v>
      </c>
      <c r="N1001" s="25">
        <f t="shared" si="45"/>
        <v>1106.9630000000002</v>
      </c>
      <c r="O1001" s="25">
        <f t="shared" ca="1" si="46"/>
        <v>1</v>
      </c>
      <c r="P1001" s="25">
        <f t="shared" ca="1" si="47"/>
        <v>0.14588004641500898</v>
      </c>
    </row>
    <row r="1002" spans="12:16" s="23" customFormat="1" ht="13.8">
      <c r="L1002" s="33">
        <v>999</v>
      </c>
      <c r="M1002" s="23">
        <f ca="1"/>
        <v>2145.6474444607561</v>
      </c>
      <c r="N1002" s="25">
        <f t="shared" si="45"/>
        <v>1106.9630000000002</v>
      </c>
      <c r="O1002" s="25">
        <f t="shared" ca="1" si="46"/>
        <v>0</v>
      </c>
      <c r="P1002" s="25">
        <f t="shared" ca="1" si="47"/>
        <v>0</v>
      </c>
    </row>
    <row r="1003" spans="12:16" s="23" customFormat="1" ht="13.8">
      <c r="L1003" s="23">
        <v>1000</v>
      </c>
      <c r="M1003" s="23">
        <f ca="1"/>
        <v>942.3042753628763</v>
      </c>
      <c r="N1003" s="25">
        <f t="shared" si="45"/>
        <v>1106.9630000000002</v>
      </c>
      <c r="O1003" s="25">
        <f t="shared" ca="1" si="46"/>
        <v>1</v>
      </c>
      <c r="P1003" s="25">
        <f t="shared" ca="1" si="47"/>
        <v>0.14874817373039917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4B32-402F-4FD1-ADE5-ABEB0EC5C410}">
  <sheetPr codeName="Sheet7"/>
  <dimension ref="B1:V1003"/>
  <sheetViews>
    <sheetView zoomScale="80" zoomScaleNormal="80" workbookViewId="0">
      <selection activeCell="V6" sqref="V6"/>
    </sheetView>
  </sheetViews>
  <sheetFormatPr defaultColWidth="8.88671875" defaultRowHeight="14.4"/>
  <cols>
    <col min="1" max="2" width="8.88671875" style="23"/>
    <col min="3" max="4" width="11.109375" style="23" bestFit="1" customWidth="1"/>
    <col min="5" max="5" width="20.5546875" style="23" customWidth="1"/>
    <col min="6" max="6" width="11.109375" style="23" customWidth="1"/>
    <col min="7" max="7" width="10" style="23" customWidth="1"/>
    <col min="8" max="12" width="8.88671875" style="23"/>
    <col min="13" max="13" width="10.44140625" style="23" bestFit="1" customWidth="1"/>
    <col min="14" max="14" width="10.44140625" style="25" bestFit="1" customWidth="1"/>
    <col min="15" max="15" width="11.88671875" style="25" customWidth="1"/>
    <col min="16" max="16" width="10.6640625" style="23" bestFit="1" customWidth="1"/>
    <col min="17" max="20" width="8.88671875" style="23"/>
    <col min="21" max="22" width="8.88671875" style="1"/>
    <col min="23" max="16384" width="8.88671875" style="23"/>
  </cols>
  <sheetData>
    <row r="1" spans="2:20" s="23" customFormat="1" ht="13.8">
      <c r="E1" s="24">
        <v>1</v>
      </c>
      <c r="N1" s="25"/>
    </row>
    <row r="2" spans="2:20" s="23" customFormat="1" ht="13.8">
      <c r="C2" s="26" t="s">
        <v>17</v>
      </c>
      <c r="D2" s="26" t="s">
        <v>1</v>
      </c>
      <c r="E2" s="26" t="s">
        <v>0</v>
      </c>
      <c r="G2" s="26" t="s">
        <v>70</v>
      </c>
      <c r="L2" s="27" t="s">
        <v>66</v>
      </c>
      <c r="M2" s="27" t="s">
        <v>5</v>
      </c>
      <c r="N2" s="27" t="s">
        <v>19</v>
      </c>
      <c r="O2" s="28" t="s">
        <v>64</v>
      </c>
      <c r="P2" s="28" t="s">
        <v>67</v>
      </c>
    </row>
    <row r="3" spans="2:20" s="23" customFormat="1" ht="15.6">
      <c r="B3" s="23" t="s">
        <v>28</v>
      </c>
      <c r="C3" s="29">
        <v>3285.6</v>
      </c>
      <c r="D3" s="29">
        <v>4419.2</v>
      </c>
      <c r="E3" s="29">
        <v>470.57</v>
      </c>
      <c r="F3" s="30"/>
      <c r="I3" s="31" t="s">
        <v>18</v>
      </c>
      <c r="J3" s="24">
        <f>AVERAGE(_xlfn.ANCHORARRAY(G4))</f>
        <v>3.6015092607994792E-2</v>
      </c>
      <c r="K3" s="24"/>
      <c r="L3" s="23">
        <v>0</v>
      </c>
      <c r="M3" s="25">
        <f>D22</f>
        <v>125976</v>
      </c>
      <c r="N3" s="25">
        <f>($C$22+$E$22)*1.1</f>
        <v>244354.99000000005</v>
      </c>
      <c r="O3" s="25"/>
      <c r="R3" s="31" t="s">
        <v>65</v>
      </c>
      <c r="S3" s="31" t="s">
        <v>2</v>
      </c>
      <c r="T3" s="31" t="s">
        <v>67</v>
      </c>
    </row>
    <row r="4" spans="2:20" s="23" customFormat="1" ht="13.8">
      <c r="B4" s="23" t="s">
        <v>27</v>
      </c>
      <c r="C4" s="29">
        <v>4250.51</v>
      </c>
      <c r="D4" s="29">
        <v>6430.29</v>
      </c>
      <c r="E4" s="29">
        <v>1209.6500000000001</v>
      </c>
      <c r="F4" s="30"/>
      <c r="G4" s="32" cm="1">
        <f t="array" ref="G4:G22">_xlfn.LET(_xlpm.a,_xlfn.CHOOSECOLS(C3:E22,2),_xlfn.DROP(_xlpm.a,1)/_xlfn.DROP(_xlpm.a,-1)-1)</f>
        <v>0.45508010499637952</v>
      </c>
      <c r="I4" s="31" t="s">
        <v>4</v>
      </c>
      <c r="J4" s="32">
        <f>_xlfn.STDEV.S(_xlfn.ANCHORARRAY(G4))</f>
        <v>0.85486628818667965</v>
      </c>
      <c r="K4" s="32"/>
      <c r="L4" s="33">
        <v>1</v>
      </c>
      <c r="M4" s="23" cm="1">
        <f t="array" aca="1" ref="M4:M1003" ca="1">M3*(1+(_xlfn.NORM.INV(_xlfn.RANDARRAY(1000),$J$3,$J$4)))</f>
        <v>160597.86601986154</v>
      </c>
      <c r="N4" s="25">
        <f t="shared" ref="N4:N67" si="0">($C$22+$E$22)*1.1</f>
        <v>244354.99000000005</v>
      </c>
      <c r="O4" s="25">
        <f ca="1">IF(M4&lt;N4,1,0)</f>
        <v>1</v>
      </c>
      <c r="P4" s="25">
        <f ca="1">MAX((N4-M4)/N4,0)</f>
        <v>0.34276821594737433</v>
      </c>
      <c r="R4" s="25">
        <f ca="1">SUM(O4:O1003)</f>
        <v>844</v>
      </c>
      <c r="S4" s="46">
        <f ca="1">R4/1000</f>
        <v>0.84399999999999997</v>
      </c>
      <c r="T4" s="46">
        <f ca="1">AVERAGEIF(P4:P1003,"&gt;"&amp;0,P4:P1003)</f>
        <v>0.57023965746868821</v>
      </c>
    </row>
    <row r="5" spans="2:20" s="23" customFormat="1" ht="13.8">
      <c r="B5" s="23" t="s">
        <v>26</v>
      </c>
      <c r="C5" s="29">
        <v>6515.41</v>
      </c>
      <c r="D5" s="29">
        <v>10060</v>
      </c>
      <c r="E5" s="29">
        <v>2284.06</v>
      </c>
      <c r="F5" s="30"/>
      <c r="G5" s="32">
        <v>0.56447065373412397</v>
      </c>
      <c r="L5" s="23">
        <v>2</v>
      </c>
      <c r="M5" s="23">
        <f ca="1"/>
        <v>261315.22070479067</v>
      </c>
      <c r="N5" s="25">
        <f t="shared" si="0"/>
        <v>244354.99000000005</v>
      </c>
      <c r="O5" s="25">
        <f t="shared" ref="O5:O68" ca="1" si="1">IF(M5&lt;N5,1,0)</f>
        <v>0</v>
      </c>
      <c r="P5" s="25">
        <f t="shared" ref="P5:P68" ca="1" si="2">MAX((N5-M5)/N5,0)</f>
        <v>0</v>
      </c>
    </row>
    <row r="6" spans="2:20" s="23" customFormat="1" ht="13.8">
      <c r="B6" s="23" t="s">
        <v>25</v>
      </c>
      <c r="C6" s="29">
        <v>8912.23</v>
      </c>
      <c r="D6" s="29">
        <v>22177.54</v>
      </c>
      <c r="E6" s="29">
        <v>2090.5500000000002</v>
      </c>
      <c r="F6" s="30"/>
      <c r="G6" s="32">
        <v>1.2045268389662027</v>
      </c>
      <c r="L6" s="33">
        <v>3</v>
      </c>
      <c r="M6" s="23">
        <f ca="1"/>
        <v>48845.761175266038</v>
      </c>
      <c r="N6" s="25">
        <f t="shared" si="0"/>
        <v>244354.99000000005</v>
      </c>
      <c r="O6" s="25">
        <f t="shared" ca="1" si="1"/>
        <v>1</v>
      </c>
      <c r="P6" s="25">
        <f t="shared" ca="1" si="2"/>
        <v>0.80010327935080838</v>
      </c>
    </row>
    <row r="7" spans="2:20" s="23" customFormat="1" ht="13.8">
      <c r="B7" s="23" t="s">
        <v>24</v>
      </c>
      <c r="C7" s="29">
        <v>7859.3</v>
      </c>
      <c r="D7" s="29">
        <v>19231.650000000001</v>
      </c>
      <c r="E7" s="29">
        <v>2090.44</v>
      </c>
      <c r="F7" s="30"/>
      <c r="G7" s="32">
        <v>-0.13283213557500062</v>
      </c>
      <c r="J7" s="34"/>
      <c r="K7" s="34"/>
      <c r="L7" s="23">
        <v>4</v>
      </c>
      <c r="M7" s="23">
        <f ca="1"/>
        <v>95832.356765449847</v>
      </c>
      <c r="N7" s="25">
        <f t="shared" si="0"/>
        <v>244354.99000000005</v>
      </c>
      <c r="O7" s="25">
        <f t="shared" ca="1" si="1"/>
        <v>1</v>
      </c>
      <c r="P7" s="25">
        <f t="shared" ca="1" si="2"/>
        <v>0.60781502041169755</v>
      </c>
    </row>
    <row r="8" spans="2:20" s="23" customFormat="1" ht="13.8">
      <c r="B8" s="23" t="s">
        <v>23</v>
      </c>
      <c r="C8" s="29">
        <v>10785.16</v>
      </c>
      <c r="D8" s="29">
        <v>23085.08</v>
      </c>
      <c r="E8" s="29">
        <v>5364.81</v>
      </c>
      <c r="F8" s="30"/>
      <c r="G8" s="32">
        <v>0.20036918309141449</v>
      </c>
      <c r="L8" s="33">
        <v>5</v>
      </c>
      <c r="M8" s="23">
        <f ca="1"/>
        <v>285100.40009878582</v>
      </c>
      <c r="N8" s="25">
        <f t="shared" si="0"/>
        <v>244354.99000000005</v>
      </c>
      <c r="O8" s="25">
        <f t="shared" ca="1" si="1"/>
        <v>0</v>
      </c>
      <c r="P8" s="25">
        <f t="shared" ca="1" si="2"/>
        <v>0</v>
      </c>
    </row>
    <row r="9" spans="2:20" s="23" customFormat="1" ht="13.8">
      <c r="B9" s="23" t="s">
        <v>22</v>
      </c>
      <c r="C9" s="29">
        <v>11249.69</v>
      </c>
      <c r="D9" s="29">
        <v>24299.919999999998</v>
      </c>
      <c r="E9" s="29">
        <v>11364.44</v>
      </c>
      <c r="F9" s="30"/>
      <c r="G9" s="32">
        <v>5.2624465672200138E-2</v>
      </c>
      <c r="L9" s="23">
        <v>6</v>
      </c>
      <c r="M9" s="23">
        <f ca="1"/>
        <v>-21394.570069336321</v>
      </c>
      <c r="N9" s="25">
        <f t="shared" si="0"/>
        <v>244354.99000000005</v>
      </c>
      <c r="O9" s="25">
        <f t="shared" ca="1" si="1"/>
        <v>1</v>
      </c>
      <c r="P9" s="25">
        <f t="shared" ca="1" si="2"/>
        <v>1.0875552820482051</v>
      </c>
    </row>
    <row r="10" spans="2:20" s="23" customFormat="1" ht="13.8">
      <c r="B10" s="23" t="s">
        <v>21</v>
      </c>
      <c r="C10" s="29">
        <v>12263.24</v>
      </c>
      <c r="D10" s="29">
        <v>26568.55</v>
      </c>
      <c r="E10" s="29">
        <v>17641.8</v>
      </c>
      <c r="F10" s="30"/>
      <c r="G10" s="32">
        <v>9.3359566615857315E-2</v>
      </c>
      <c r="L10" s="33">
        <v>7</v>
      </c>
      <c r="M10" s="23">
        <f ca="1"/>
        <v>171464.10218997806</v>
      </c>
      <c r="N10" s="25">
        <f t="shared" si="0"/>
        <v>244354.99000000005</v>
      </c>
      <c r="O10" s="25">
        <f t="shared" ca="1" si="1"/>
        <v>1</v>
      </c>
      <c r="P10" s="25">
        <f t="shared" ca="1" si="2"/>
        <v>0.29829915816338343</v>
      </c>
    </row>
    <row r="11" spans="2:20" s="23" customFormat="1" ht="13.8">
      <c r="B11" s="23" t="s">
        <v>20</v>
      </c>
      <c r="C11" s="29">
        <v>18775.560000000001</v>
      </c>
      <c r="D11" s="29">
        <v>35302.54</v>
      </c>
      <c r="E11" s="29">
        <v>21412.94</v>
      </c>
      <c r="F11" s="30"/>
      <c r="G11" s="32">
        <v>0.328734161254566</v>
      </c>
      <c r="L11" s="23">
        <v>8</v>
      </c>
      <c r="M11" s="23">
        <f ca="1"/>
        <v>161777.33000492284</v>
      </c>
      <c r="N11" s="25">
        <f t="shared" si="0"/>
        <v>244354.99000000005</v>
      </c>
      <c r="O11" s="25">
        <f t="shared" ca="1" si="1"/>
        <v>1</v>
      </c>
      <c r="P11" s="25">
        <f t="shared" ca="1" si="2"/>
        <v>0.33794136962407517</v>
      </c>
    </row>
    <row r="12" spans="2:20" s="23" customFormat="1" ht="13.8">
      <c r="B12" s="23" t="s">
        <v>16</v>
      </c>
      <c r="C12" s="29">
        <v>16810.48</v>
      </c>
      <c r="D12" s="29">
        <v>39839.71</v>
      </c>
      <c r="E12" s="29">
        <v>58000.98</v>
      </c>
      <c r="F12" s="30"/>
      <c r="G12" s="32">
        <v>0.1285224802521292</v>
      </c>
      <c r="L12" s="33">
        <v>9</v>
      </c>
      <c r="M12" s="23">
        <f ca="1"/>
        <v>115705.49638971385</v>
      </c>
      <c r="N12" s="25">
        <f t="shared" si="0"/>
        <v>244354.99000000005</v>
      </c>
      <c r="O12" s="25">
        <f t="shared" ca="1" si="1"/>
        <v>1</v>
      </c>
      <c r="P12" s="25">
        <f t="shared" ca="1" si="2"/>
        <v>0.52648605052135899</v>
      </c>
    </row>
    <row r="13" spans="2:20" s="23" customFormat="1" ht="13.8">
      <c r="B13" s="23" t="s">
        <v>15</v>
      </c>
      <c r="C13" s="29">
        <v>37549.620000000003</v>
      </c>
      <c r="D13" s="29">
        <v>61100.1</v>
      </c>
      <c r="E13" s="29">
        <v>27939.360000000001</v>
      </c>
      <c r="F13" s="30"/>
      <c r="G13" s="32">
        <v>0.5336482117967225</v>
      </c>
      <c r="L13" s="23">
        <v>10</v>
      </c>
      <c r="M13" s="23">
        <f ca="1"/>
        <v>34592.719664851073</v>
      </c>
      <c r="N13" s="25">
        <f t="shared" si="0"/>
        <v>244354.99000000005</v>
      </c>
      <c r="O13" s="25">
        <f t="shared" ca="1" si="1"/>
        <v>1</v>
      </c>
      <c r="P13" s="25">
        <f t="shared" ca="1" si="2"/>
        <v>0.85843252202522613</v>
      </c>
    </row>
    <row r="14" spans="2:20" s="23" customFormat="1" ht="13.8">
      <c r="B14" s="23" t="s">
        <v>14</v>
      </c>
      <c r="C14" s="29">
        <v>51672.54</v>
      </c>
      <c r="D14" s="29">
        <v>76404.789999999994</v>
      </c>
      <c r="E14" s="29">
        <v>0</v>
      </c>
      <c r="F14" s="30"/>
      <c r="G14" s="32">
        <v>0.25048551475365821</v>
      </c>
      <c r="L14" s="33">
        <v>11</v>
      </c>
      <c r="M14" s="23">
        <f ca="1"/>
        <v>17131.449580120308</v>
      </c>
      <c r="N14" s="25">
        <f t="shared" si="0"/>
        <v>244354.99000000005</v>
      </c>
      <c r="O14" s="25">
        <f t="shared" ca="1" si="1"/>
        <v>1</v>
      </c>
      <c r="P14" s="25">
        <f t="shared" ca="1" si="2"/>
        <v>0.92989114083522384</v>
      </c>
    </row>
    <row r="15" spans="2:20" s="23" customFormat="1" ht="13.8">
      <c r="B15" s="23" t="s">
        <v>13</v>
      </c>
      <c r="C15" s="29">
        <v>56962.49</v>
      </c>
      <c r="D15" s="29">
        <v>84224.960000000006</v>
      </c>
      <c r="E15" s="29">
        <v>31231.01</v>
      </c>
      <c r="F15" s="30"/>
      <c r="G15" s="32">
        <v>0.10235182898873241</v>
      </c>
      <c r="L15" s="23">
        <v>12</v>
      </c>
      <c r="M15" s="23">
        <f ca="1"/>
        <v>118240.64058976941</v>
      </c>
      <c r="N15" s="25">
        <f t="shared" si="0"/>
        <v>244354.99000000005</v>
      </c>
      <c r="O15" s="25">
        <f t="shared" ca="1" si="1"/>
        <v>1</v>
      </c>
      <c r="P15" s="25">
        <f t="shared" ca="1" si="2"/>
        <v>0.51611120939347555</v>
      </c>
    </row>
    <row r="16" spans="2:20" s="23" customFormat="1" ht="13.8">
      <c r="B16" s="23" t="s">
        <v>12</v>
      </c>
      <c r="C16" s="29">
        <v>108523.6</v>
      </c>
      <c r="D16" s="29">
        <v>168158.4</v>
      </c>
      <c r="E16" s="29">
        <v>41202.1</v>
      </c>
      <c r="F16" s="30"/>
      <c r="G16" s="32">
        <v>0.9965387932508365</v>
      </c>
      <c r="L16" s="33">
        <v>13</v>
      </c>
      <c r="M16" s="23">
        <f ca="1"/>
        <v>189881.93054413045</v>
      </c>
      <c r="N16" s="25">
        <f t="shared" si="0"/>
        <v>244354.99000000005</v>
      </c>
      <c r="O16" s="25">
        <f t="shared" ca="1" si="1"/>
        <v>1</v>
      </c>
      <c r="P16" s="25">
        <f t="shared" ca="1" si="2"/>
        <v>0.22292591387583119</v>
      </c>
    </row>
    <row r="17" spans="2:16" s="23" customFormat="1" ht="13.8">
      <c r="B17" s="23" t="s">
        <v>11</v>
      </c>
      <c r="C17" s="29">
        <v>96312.6</v>
      </c>
      <c r="D17" s="29">
        <v>102292.5</v>
      </c>
      <c r="E17" s="29">
        <v>18482.099999999999</v>
      </c>
      <c r="F17" s="30"/>
      <c r="G17" s="32">
        <v>-0.39168962121428363</v>
      </c>
      <c r="L17" s="23">
        <v>14</v>
      </c>
      <c r="M17" s="23">
        <f ca="1"/>
        <v>183113.84906322684</v>
      </c>
      <c r="N17" s="25">
        <f t="shared" si="0"/>
        <v>244354.99000000005</v>
      </c>
      <c r="O17" s="25">
        <f t="shared" ca="1" si="1"/>
        <v>1</v>
      </c>
      <c r="P17" s="25">
        <f t="shared" ca="1" si="2"/>
        <v>0.2506236559227753</v>
      </c>
    </row>
    <row r="18" spans="2:16" s="23" customFormat="1" ht="13.8">
      <c r="B18" s="23" t="s">
        <v>10</v>
      </c>
      <c r="C18" s="29">
        <v>157415.5</v>
      </c>
      <c r="D18" s="29">
        <v>119187.5</v>
      </c>
      <c r="E18" s="29">
        <v>25349.4</v>
      </c>
      <c r="F18" s="30"/>
      <c r="G18" s="32">
        <v>0.16516362392159745</v>
      </c>
      <c r="L18" s="33">
        <v>15</v>
      </c>
      <c r="M18" s="23">
        <f ca="1"/>
        <v>71437.296070288794</v>
      </c>
      <c r="N18" s="25">
        <f t="shared" si="0"/>
        <v>244354.99000000005</v>
      </c>
      <c r="O18" s="25">
        <f t="shared" ca="1" si="1"/>
        <v>1</v>
      </c>
      <c r="P18" s="25">
        <f t="shared" ca="1" si="2"/>
        <v>0.70764953042174916</v>
      </c>
    </row>
    <row r="19" spans="2:16" s="23" customFormat="1" ht="13.8">
      <c r="B19" s="23" t="s">
        <v>9</v>
      </c>
      <c r="C19" s="29">
        <v>190917.7</v>
      </c>
      <c r="D19" s="29">
        <v>128952.9</v>
      </c>
      <c r="E19" s="29">
        <v>23228.9</v>
      </c>
      <c r="F19" s="30"/>
      <c r="G19" s="32">
        <v>8.1933088620870453E-2</v>
      </c>
      <c r="L19" s="23">
        <v>16</v>
      </c>
      <c r="M19" s="23">
        <f ca="1"/>
        <v>56910.346128435849</v>
      </c>
      <c r="N19" s="25">
        <f t="shared" si="0"/>
        <v>244354.99000000005</v>
      </c>
      <c r="O19" s="25">
        <f t="shared" ca="1" si="1"/>
        <v>1</v>
      </c>
      <c r="P19" s="25">
        <f t="shared" ca="1" si="2"/>
        <v>0.76709971779812702</v>
      </c>
    </row>
    <row r="20" spans="2:16" s="23" customFormat="1" ht="13.8">
      <c r="B20" s="23" t="s">
        <v>8</v>
      </c>
      <c r="C20" s="29">
        <v>13231</v>
      </c>
      <c r="D20" s="29">
        <v>-61128.1</v>
      </c>
      <c r="E20" s="29">
        <v>27457</v>
      </c>
      <c r="F20" s="30"/>
      <c r="G20" s="32">
        <v>-1.4740343179564013</v>
      </c>
      <c r="L20" s="33">
        <v>17</v>
      </c>
      <c r="M20" s="23">
        <f ca="1"/>
        <v>-12626.689921249437</v>
      </c>
      <c r="N20" s="25">
        <f t="shared" si="0"/>
        <v>244354.99000000005</v>
      </c>
      <c r="O20" s="25">
        <f t="shared" ca="1" si="1"/>
        <v>1</v>
      </c>
      <c r="P20" s="25">
        <f t="shared" ca="1" si="2"/>
        <v>1.0516735505227433</v>
      </c>
    </row>
    <row r="21" spans="2:16" s="23" customFormat="1" ht="13.8">
      <c r="B21" s="23" t="s">
        <v>7</v>
      </c>
      <c r="C21" s="29">
        <v>207629.8</v>
      </c>
      <c r="D21" s="29">
        <v>103463</v>
      </c>
      <c r="E21" s="29">
        <v>23227.200000000001</v>
      </c>
      <c r="F21" s="30"/>
      <c r="G21" s="32">
        <v>-2.6925603773060178</v>
      </c>
      <c r="L21" s="23">
        <v>18</v>
      </c>
      <c r="M21" s="23">
        <f ca="1"/>
        <v>242154.16106402533</v>
      </c>
      <c r="N21" s="25">
        <f t="shared" si="0"/>
        <v>244354.99000000005</v>
      </c>
      <c r="O21" s="25">
        <f t="shared" ca="1" si="1"/>
        <v>1</v>
      </c>
      <c r="P21" s="25">
        <f t="shared" ca="1" si="2"/>
        <v>9.0066870988585648E-3</v>
      </c>
    </row>
    <row r="22" spans="2:16" s="23" customFormat="1" ht="13.8">
      <c r="B22" s="23" t="s">
        <v>6</v>
      </c>
      <c r="C22" s="29">
        <v>196296.2</v>
      </c>
      <c r="D22" s="29">
        <v>125976</v>
      </c>
      <c r="E22" s="29">
        <v>25844.7</v>
      </c>
      <c r="F22" s="30"/>
      <c r="G22" s="32">
        <v>0.21759469568831369</v>
      </c>
      <c r="L22" s="33">
        <v>19</v>
      </c>
      <c r="M22" s="23">
        <f ca="1"/>
        <v>-8978.9922599035963</v>
      </c>
      <c r="N22" s="25">
        <f t="shared" si="0"/>
        <v>244354.99000000005</v>
      </c>
      <c r="O22" s="25">
        <f t="shared" ca="1" si="1"/>
        <v>1</v>
      </c>
      <c r="P22" s="25">
        <f t="shared" ca="1" si="2"/>
        <v>1.0367456881478196</v>
      </c>
    </row>
    <row r="23" spans="2:16" s="23" customFormat="1" ht="13.8">
      <c r="C23" s="29"/>
      <c r="D23" s="29"/>
      <c r="E23" s="29"/>
      <c r="F23" s="30"/>
      <c r="G23" s="32"/>
      <c r="L23" s="23">
        <v>20</v>
      </c>
      <c r="M23" s="23">
        <f ca="1"/>
        <v>126444.31504152139</v>
      </c>
      <c r="N23" s="25">
        <f t="shared" si="0"/>
        <v>244354.99000000005</v>
      </c>
      <c r="O23" s="25">
        <f t="shared" ca="1" si="1"/>
        <v>1</v>
      </c>
      <c r="P23" s="25">
        <f t="shared" ca="1" si="2"/>
        <v>0.48253843704390337</v>
      </c>
    </row>
    <row r="24" spans="2:16" s="23" customFormat="1" ht="13.8">
      <c r="C24" s="30"/>
      <c r="D24" s="30"/>
      <c r="E24" s="30"/>
      <c r="F24" s="30"/>
      <c r="G24" s="32"/>
      <c r="L24" s="33">
        <v>21</v>
      </c>
      <c r="M24" s="23">
        <f ca="1"/>
        <v>153639.12235152608</v>
      </c>
      <c r="N24" s="25">
        <f t="shared" si="0"/>
        <v>244354.99000000005</v>
      </c>
      <c r="O24" s="25">
        <f t="shared" ca="1" si="1"/>
        <v>1</v>
      </c>
      <c r="P24" s="25">
        <f t="shared" ca="1" si="2"/>
        <v>0.37124622520896322</v>
      </c>
    </row>
    <row r="25" spans="2:16" s="23" customFormat="1" ht="13.8">
      <c r="L25" s="23">
        <v>22</v>
      </c>
      <c r="M25" s="23">
        <f ca="1"/>
        <v>175256.50840983991</v>
      </c>
      <c r="N25" s="25">
        <f t="shared" si="0"/>
        <v>244354.99000000005</v>
      </c>
      <c r="O25" s="25">
        <f t="shared" ca="1" si="1"/>
        <v>1</v>
      </c>
      <c r="P25" s="25">
        <f t="shared" ca="1" si="2"/>
        <v>0.28277908951300779</v>
      </c>
    </row>
    <row r="26" spans="2:16" s="23" customFormat="1" ht="13.8">
      <c r="L26" s="33">
        <v>23</v>
      </c>
      <c r="M26" s="23">
        <f ca="1"/>
        <v>235360.95334258888</v>
      </c>
      <c r="N26" s="25">
        <f t="shared" si="0"/>
        <v>244354.99000000005</v>
      </c>
      <c r="O26" s="25">
        <f t="shared" ca="1" si="1"/>
        <v>1</v>
      </c>
      <c r="P26" s="25">
        <f t="shared" ca="1" si="2"/>
        <v>3.6807255941084596E-2</v>
      </c>
    </row>
    <row r="27" spans="2:16" s="23" customFormat="1" ht="13.8">
      <c r="L27" s="23">
        <v>24</v>
      </c>
      <c r="M27" s="23">
        <f ca="1"/>
        <v>330958.82256092835</v>
      </c>
      <c r="N27" s="25">
        <f t="shared" si="0"/>
        <v>244354.99000000005</v>
      </c>
      <c r="O27" s="25">
        <f t="shared" ca="1" si="1"/>
        <v>0</v>
      </c>
      <c r="P27" s="25">
        <f t="shared" ca="1" si="2"/>
        <v>0</v>
      </c>
    </row>
    <row r="28" spans="2:16" s="23" customFormat="1" ht="13.8">
      <c r="L28" s="33">
        <v>25</v>
      </c>
      <c r="M28" s="23">
        <f ca="1"/>
        <v>148633.65602018926</v>
      </c>
      <c r="N28" s="25">
        <f t="shared" si="0"/>
        <v>244354.99000000005</v>
      </c>
      <c r="O28" s="25">
        <f t="shared" ca="1" si="1"/>
        <v>1</v>
      </c>
      <c r="P28" s="25">
        <f t="shared" ca="1" si="2"/>
        <v>0.39173062919570734</v>
      </c>
    </row>
    <row r="29" spans="2:16" s="23" customFormat="1" ht="13.8">
      <c r="L29" s="23">
        <v>26</v>
      </c>
      <c r="M29" s="23">
        <f ca="1"/>
        <v>86808.516282928089</v>
      </c>
      <c r="N29" s="25">
        <f t="shared" si="0"/>
        <v>244354.99000000005</v>
      </c>
      <c r="O29" s="25">
        <f t="shared" ca="1" si="1"/>
        <v>1</v>
      </c>
      <c r="P29" s="25">
        <f t="shared" ca="1" si="2"/>
        <v>0.6447442457265633</v>
      </c>
    </row>
    <row r="30" spans="2:16" s="23" customFormat="1" ht="13.8">
      <c r="L30" s="33">
        <v>27</v>
      </c>
      <c r="M30" s="23">
        <f ca="1"/>
        <v>359756.45460332505</v>
      </c>
      <c r="N30" s="25">
        <f t="shared" si="0"/>
        <v>244354.99000000005</v>
      </c>
      <c r="O30" s="25">
        <f t="shared" ca="1" si="1"/>
        <v>0</v>
      </c>
      <c r="P30" s="25">
        <f t="shared" ca="1" si="2"/>
        <v>0</v>
      </c>
    </row>
    <row r="31" spans="2:16" s="23" customFormat="1" ht="13.8">
      <c r="L31" s="23">
        <v>28</v>
      </c>
      <c r="M31" s="23">
        <f ca="1"/>
        <v>-4962.9680788243077</v>
      </c>
      <c r="N31" s="25">
        <f t="shared" si="0"/>
        <v>244354.99000000005</v>
      </c>
      <c r="O31" s="25">
        <f t="shared" ca="1" si="1"/>
        <v>1</v>
      </c>
      <c r="P31" s="25">
        <f t="shared" ca="1" si="2"/>
        <v>1.0203104838531201</v>
      </c>
    </row>
    <row r="32" spans="2:16" s="23" customFormat="1" ht="13.8">
      <c r="L32" s="33">
        <v>29</v>
      </c>
      <c r="M32" s="23">
        <f ca="1"/>
        <v>298704.99131274119</v>
      </c>
      <c r="N32" s="25">
        <f t="shared" si="0"/>
        <v>244354.99000000005</v>
      </c>
      <c r="O32" s="25">
        <f t="shared" ca="1" si="1"/>
        <v>0</v>
      </c>
      <c r="P32" s="25">
        <f t="shared" ca="1" si="2"/>
        <v>0</v>
      </c>
    </row>
    <row r="33" spans="12:16" s="23" customFormat="1" ht="13.8">
      <c r="L33" s="23">
        <v>30</v>
      </c>
      <c r="M33" s="23">
        <f ca="1"/>
        <v>194483.04731483982</v>
      </c>
      <c r="N33" s="25">
        <f t="shared" si="0"/>
        <v>244354.99000000005</v>
      </c>
      <c r="O33" s="25">
        <f t="shared" ca="1" si="1"/>
        <v>1</v>
      </c>
      <c r="P33" s="25">
        <f t="shared" ca="1" si="2"/>
        <v>0.20409627274302941</v>
      </c>
    </row>
    <row r="34" spans="12:16" s="23" customFormat="1" ht="13.8">
      <c r="L34" s="33">
        <v>31</v>
      </c>
      <c r="M34" s="23">
        <f ca="1"/>
        <v>-11504.286248859089</v>
      </c>
      <c r="N34" s="25">
        <f t="shared" si="0"/>
        <v>244354.99000000005</v>
      </c>
      <c r="O34" s="25">
        <f t="shared" ca="1" si="1"/>
        <v>1</v>
      </c>
      <c r="P34" s="25">
        <f t="shared" ca="1" si="2"/>
        <v>1.0470802182057304</v>
      </c>
    </row>
    <row r="35" spans="12:16" s="23" customFormat="1" ht="13.8">
      <c r="L35" s="23">
        <v>32</v>
      </c>
      <c r="M35" s="23">
        <f ca="1"/>
        <v>93883.662678885157</v>
      </c>
      <c r="N35" s="25">
        <f t="shared" si="0"/>
        <v>244354.99000000005</v>
      </c>
      <c r="O35" s="25">
        <f t="shared" ca="1" si="1"/>
        <v>1</v>
      </c>
      <c r="P35" s="25">
        <f t="shared" ca="1" si="2"/>
        <v>0.61578986916172596</v>
      </c>
    </row>
    <row r="36" spans="12:16" s="23" customFormat="1" ht="13.8">
      <c r="L36" s="33">
        <v>33</v>
      </c>
      <c r="M36" s="23">
        <f ca="1"/>
        <v>124211.94818697992</v>
      </c>
      <c r="N36" s="25">
        <f t="shared" si="0"/>
        <v>244354.99000000005</v>
      </c>
      <c r="O36" s="25">
        <f t="shared" ca="1" si="1"/>
        <v>1</v>
      </c>
      <c r="P36" s="25">
        <f t="shared" ca="1" si="2"/>
        <v>0.49167419013223385</v>
      </c>
    </row>
    <row r="37" spans="12:16" s="23" customFormat="1" ht="13.8">
      <c r="L37" s="23">
        <v>34</v>
      </c>
      <c r="M37" s="23">
        <f ca="1"/>
        <v>-6659.1397158557284</v>
      </c>
      <c r="N37" s="25">
        <f t="shared" si="0"/>
        <v>244354.99000000005</v>
      </c>
      <c r="O37" s="25">
        <f t="shared" ca="1" si="1"/>
        <v>1</v>
      </c>
      <c r="P37" s="25">
        <f t="shared" ca="1" si="2"/>
        <v>1.0272519080369742</v>
      </c>
    </row>
    <row r="38" spans="12:16" s="23" customFormat="1" ht="13.8">
      <c r="L38" s="33">
        <v>35</v>
      </c>
      <c r="M38" s="23">
        <f ca="1"/>
        <v>61869.594490298216</v>
      </c>
      <c r="N38" s="25">
        <f t="shared" si="0"/>
        <v>244354.99000000005</v>
      </c>
      <c r="O38" s="25">
        <f t="shared" ca="1" si="1"/>
        <v>1</v>
      </c>
      <c r="P38" s="25">
        <f t="shared" ca="1" si="2"/>
        <v>0.74680445653965077</v>
      </c>
    </row>
    <row r="39" spans="12:16" s="23" customFormat="1" ht="13.8">
      <c r="L39" s="23">
        <v>36</v>
      </c>
      <c r="M39" s="23">
        <f ca="1"/>
        <v>277975.86275175319</v>
      </c>
      <c r="N39" s="25">
        <f t="shared" si="0"/>
        <v>244354.99000000005</v>
      </c>
      <c r="O39" s="25">
        <f t="shared" ca="1" si="1"/>
        <v>0</v>
      </c>
      <c r="P39" s="25">
        <f t="shared" ca="1" si="2"/>
        <v>0</v>
      </c>
    </row>
    <row r="40" spans="12:16" s="23" customFormat="1" ht="13.8">
      <c r="L40" s="33">
        <v>37</v>
      </c>
      <c r="M40" s="23">
        <f ca="1"/>
        <v>141348.65782803827</v>
      </c>
      <c r="N40" s="25">
        <f t="shared" si="0"/>
        <v>244354.99000000005</v>
      </c>
      <c r="O40" s="25">
        <f t="shared" ca="1" si="1"/>
        <v>1</v>
      </c>
      <c r="P40" s="25">
        <f t="shared" ca="1" si="2"/>
        <v>0.42154380465879482</v>
      </c>
    </row>
    <row r="41" spans="12:16" s="23" customFormat="1" ht="13.8">
      <c r="L41" s="23">
        <v>38</v>
      </c>
      <c r="M41" s="23">
        <f ca="1"/>
        <v>117143.23435896746</v>
      </c>
      <c r="N41" s="25">
        <f t="shared" si="0"/>
        <v>244354.99000000005</v>
      </c>
      <c r="O41" s="25">
        <f t="shared" ca="1" si="1"/>
        <v>1</v>
      </c>
      <c r="P41" s="25">
        <f t="shared" ca="1" si="2"/>
        <v>0.52060224201287053</v>
      </c>
    </row>
    <row r="42" spans="12:16" s="23" customFormat="1" ht="13.8">
      <c r="L42" s="33">
        <v>39</v>
      </c>
      <c r="M42" s="23">
        <f ca="1"/>
        <v>112944.92983811111</v>
      </c>
      <c r="N42" s="25">
        <f t="shared" si="0"/>
        <v>244354.99000000005</v>
      </c>
      <c r="O42" s="25">
        <f t="shared" ca="1" si="1"/>
        <v>1</v>
      </c>
      <c r="P42" s="25">
        <f t="shared" ca="1" si="2"/>
        <v>0.5377834115926543</v>
      </c>
    </row>
    <row r="43" spans="12:16" s="23" customFormat="1" ht="13.8">
      <c r="L43" s="23">
        <v>40</v>
      </c>
      <c r="M43" s="23">
        <f ca="1"/>
        <v>270018.55379301682</v>
      </c>
      <c r="N43" s="25">
        <f t="shared" si="0"/>
        <v>244354.99000000005</v>
      </c>
      <c r="O43" s="25">
        <f t="shared" ca="1" si="1"/>
        <v>0</v>
      </c>
      <c r="P43" s="25">
        <f t="shared" ca="1" si="2"/>
        <v>0</v>
      </c>
    </row>
    <row r="44" spans="12:16" s="23" customFormat="1" ht="13.8">
      <c r="L44" s="33">
        <v>41</v>
      </c>
      <c r="M44" s="23">
        <f ca="1"/>
        <v>93085.461045335047</v>
      </c>
      <c r="N44" s="25">
        <f t="shared" si="0"/>
        <v>244354.99000000005</v>
      </c>
      <c r="O44" s="25">
        <f t="shared" ca="1" si="1"/>
        <v>1</v>
      </c>
      <c r="P44" s="25">
        <f t="shared" ca="1" si="2"/>
        <v>0.61905643488051942</v>
      </c>
    </row>
    <row r="45" spans="12:16" s="23" customFormat="1" ht="13.8">
      <c r="L45" s="23">
        <v>42</v>
      </c>
      <c r="M45" s="23">
        <f ca="1"/>
        <v>240434.26524543215</v>
      </c>
      <c r="N45" s="25">
        <f t="shared" si="0"/>
        <v>244354.99000000005</v>
      </c>
      <c r="O45" s="25">
        <f t="shared" ca="1" si="1"/>
        <v>1</v>
      </c>
      <c r="P45" s="25">
        <f t="shared" ca="1" si="2"/>
        <v>1.604520028245749E-2</v>
      </c>
    </row>
    <row r="46" spans="12:16" s="23" customFormat="1" ht="13.8">
      <c r="L46" s="33">
        <v>43</v>
      </c>
      <c r="M46" s="23">
        <f ca="1"/>
        <v>-18719.206123802258</v>
      </c>
      <c r="N46" s="25">
        <f t="shared" si="0"/>
        <v>244354.99000000005</v>
      </c>
      <c r="O46" s="25">
        <f t="shared" ca="1" si="1"/>
        <v>1</v>
      </c>
      <c r="P46" s="25">
        <f t="shared" ca="1" si="2"/>
        <v>1.0766066046934515</v>
      </c>
    </row>
    <row r="47" spans="12:16" s="23" customFormat="1" ht="13.8">
      <c r="L47" s="23">
        <v>44</v>
      </c>
      <c r="M47" s="23">
        <f ca="1"/>
        <v>261224.31352701</v>
      </c>
      <c r="N47" s="25">
        <f t="shared" si="0"/>
        <v>244354.99000000005</v>
      </c>
      <c r="O47" s="25">
        <f t="shared" ca="1" si="1"/>
        <v>0</v>
      </c>
      <c r="P47" s="25">
        <f t="shared" ca="1" si="2"/>
        <v>0</v>
      </c>
    </row>
    <row r="48" spans="12:16" s="23" customFormat="1" ht="13.8">
      <c r="L48" s="33">
        <v>45</v>
      </c>
      <c r="M48" s="23">
        <f ca="1"/>
        <v>131325.84066166793</v>
      </c>
      <c r="N48" s="25">
        <f t="shared" si="0"/>
        <v>244354.99000000005</v>
      </c>
      <c r="O48" s="25">
        <f t="shared" ca="1" si="1"/>
        <v>1</v>
      </c>
      <c r="P48" s="25">
        <f t="shared" ca="1" si="2"/>
        <v>0.4625612488549225</v>
      </c>
    </row>
    <row r="49" spans="12:16" s="23" customFormat="1" ht="13.8">
      <c r="L49" s="23">
        <v>46</v>
      </c>
      <c r="M49" s="23">
        <f ca="1"/>
        <v>47739.974285042794</v>
      </c>
      <c r="N49" s="25">
        <f t="shared" si="0"/>
        <v>244354.99000000005</v>
      </c>
      <c r="O49" s="25">
        <f t="shared" ca="1" si="1"/>
        <v>1</v>
      </c>
      <c r="P49" s="25">
        <f t="shared" ca="1" si="2"/>
        <v>0.80462860903702937</v>
      </c>
    </row>
    <row r="50" spans="12:16" s="23" customFormat="1" ht="13.8">
      <c r="L50" s="33">
        <v>47</v>
      </c>
      <c r="M50" s="23">
        <f ca="1"/>
        <v>56896.923622713613</v>
      </c>
      <c r="N50" s="25">
        <f t="shared" si="0"/>
        <v>244354.99000000005</v>
      </c>
      <c r="O50" s="25">
        <f t="shared" ca="1" si="1"/>
        <v>1</v>
      </c>
      <c r="P50" s="25">
        <f t="shared" ca="1" si="2"/>
        <v>0.76715464815057144</v>
      </c>
    </row>
    <row r="51" spans="12:16" s="23" customFormat="1" ht="13.8">
      <c r="L51" s="23">
        <v>48</v>
      </c>
      <c r="M51" s="23">
        <f ca="1"/>
        <v>-22404.112522099469</v>
      </c>
      <c r="N51" s="25">
        <f t="shared" si="0"/>
        <v>244354.99000000005</v>
      </c>
      <c r="O51" s="25">
        <f t="shared" ca="1" si="1"/>
        <v>1</v>
      </c>
      <c r="P51" s="25">
        <f t="shared" ca="1" si="2"/>
        <v>1.091686740353039</v>
      </c>
    </row>
    <row r="52" spans="12:16" s="23" customFormat="1" ht="13.8">
      <c r="L52" s="33">
        <v>49</v>
      </c>
      <c r="M52" s="23">
        <f ca="1"/>
        <v>145912.50232528918</v>
      </c>
      <c r="N52" s="25">
        <f t="shared" si="0"/>
        <v>244354.99000000005</v>
      </c>
      <c r="O52" s="25">
        <f t="shared" ca="1" si="1"/>
        <v>1</v>
      </c>
      <c r="P52" s="25">
        <f t="shared" ca="1" si="2"/>
        <v>0.4028666968278849</v>
      </c>
    </row>
    <row r="53" spans="12:16" s="23" customFormat="1" ht="13.8">
      <c r="L53" s="23">
        <v>50</v>
      </c>
      <c r="M53" s="23">
        <f ca="1"/>
        <v>63115.667085715053</v>
      </c>
      <c r="N53" s="25">
        <f t="shared" si="0"/>
        <v>244354.99000000005</v>
      </c>
      <c r="O53" s="25">
        <f t="shared" ca="1" si="1"/>
        <v>1</v>
      </c>
      <c r="P53" s="25">
        <f t="shared" ca="1" si="2"/>
        <v>0.74170502069257915</v>
      </c>
    </row>
    <row r="54" spans="12:16" s="23" customFormat="1" ht="13.8">
      <c r="L54" s="33">
        <v>51</v>
      </c>
      <c r="M54" s="23">
        <f ca="1"/>
        <v>152818.64313322367</v>
      </c>
      <c r="N54" s="25">
        <f t="shared" si="0"/>
        <v>244354.99000000005</v>
      </c>
      <c r="O54" s="25">
        <f t="shared" ca="1" si="1"/>
        <v>1</v>
      </c>
      <c r="P54" s="25">
        <f t="shared" ca="1" si="2"/>
        <v>0.37460395986501588</v>
      </c>
    </row>
    <row r="55" spans="12:16" s="23" customFormat="1" ht="13.8">
      <c r="L55" s="23">
        <v>52</v>
      </c>
      <c r="M55" s="23">
        <f ca="1"/>
        <v>174869.98910721109</v>
      </c>
      <c r="N55" s="25">
        <f t="shared" si="0"/>
        <v>244354.99000000005</v>
      </c>
      <c r="O55" s="25">
        <f t="shared" ca="1" si="1"/>
        <v>1</v>
      </c>
      <c r="P55" s="25">
        <f t="shared" ca="1" si="2"/>
        <v>0.28436088369952645</v>
      </c>
    </row>
    <row r="56" spans="12:16" s="23" customFormat="1" ht="13.8">
      <c r="L56" s="33">
        <v>53</v>
      </c>
      <c r="M56" s="23">
        <f ca="1"/>
        <v>153403.82052491666</v>
      </c>
      <c r="N56" s="25">
        <f t="shared" si="0"/>
        <v>244354.99000000005</v>
      </c>
      <c r="O56" s="25">
        <f t="shared" ca="1" si="1"/>
        <v>1</v>
      </c>
      <c r="P56" s="25">
        <f t="shared" ca="1" si="2"/>
        <v>0.37220917598238273</v>
      </c>
    </row>
    <row r="57" spans="12:16" s="23" customFormat="1" ht="13.8">
      <c r="L57" s="23">
        <v>54</v>
      </c>
      <c r="M57" s="23">
        <f ca="1"/>
        <v>84838.29648113095</v>
      </c>
      <c r="N57" s="25">
        <f t="shared" si="0"/>
        <v>244354.99000000005</v>
      </c>
      <c r="O57" s="25">
        <f t="shared" ca="1" si="1"/>
        <v>1</v>
      </c>
      <c r="P57" s="25">
        <f t="shared" ca="1" si="2"/>
        <v>0.65280718645798508</v>
      </c>
    </row>
    <row r="58" spans="12:16" s="23" customFormat="1" ht="13.8">
      <c r="L58" s="33">
        <v>55</v>
      </c>
      <c r="M58" s="23">
        <f ca="1"/>
        <v>139357.32111544625</v>
      </c>
      <c r="N58" s="25">
        <f t="shared" si="0"/>
        <v>244354.99000000005</v>
      </c>
      <c r="O58" s="25">
        <f t="shared" ca="1" si="1"/>
        <v>1</v>
      </c>
      <c r="P58" s="25">
        <f t="shared" ca="1" si="2"/>
        <v>0.42969316437758764</v>
      </c>
    </row>
    <row r="59" spans="12:16" s="23" customFormat="1" ht="13.8">
      <c r="L59" s="23">
        <v>56</v>
      </c>
      <c r="M59" s="23">
        <f ca="1"/>
        <v>120335.58433337553</v>
      </c>
      <c r="N59" s="25">
        <f t="shared" si="0"/>
        <v>244354.99000000005</v>
      </c>
      <c r="O59" s="25">
        <f t="shared" ca="1" si="1"/>
        <v>1</v>
      </c>
      <c r="P59" s="25">
        <f t="shared" ca="1" si="2"/>
        <v>0.50753784756605336</v>
      </c>
    </row>
    <row r="60" spans="12:16" s="23" customFormat="1" ht="13.8">
      <c r="L60" s="33">
        <v>57</v>
      </c>
      <c r="M60" s="23">
        <f ca="1"/>
        <v>62336.199018064457</v>
      </c>
      <c r="N60" s="25">
        <f t="shared" si="0"/>
        <v>244354.99000000005</v>
      </c>
      <c r="O60" s="25">
        <f t="shared" ca="1" si="1"/>
        <v>1</v>
      </c>
      <c r="P60" s="25">
        <f t="shared" ca="1" si="2"/>
        <v>0.7448949210406367</v>
      </c>
    </row>
    <row r="61" spans="12:16" s="23" customFormat="1" ht="13.8">
      <c r="L61" s="23">
        <v>58</v>
      </c>
      <c r="M61" s="23">
        <f ca="1"/>
        <v>33072.871631376249</v>
      </c>
      <c r="N61" s="25">
        <f t="shared" si="0"/>
        <v>244354.99000000005</v>
      </c>
      <c r="O61" s="25">
        <f t="shared" ca="1" si="1"/>
        <v>1</v>
      </c>
      <c r="P61" s="25">
        <f t="shared" ca="1" si="2"/>
        <v>0.86465235831125764</v>
      </c>
    </row>
    <row r="62" spans="12:16" s="23" customFormat="1" ht="13.8">
      <c r="L62" s="33">
        <v>59</v>
      </c>
      <c r="M62" s="23">
        <f ca="1"/>
        <v>418474.7286681296</v>
      </c>
      <c r="N62" s="25">
        <f t="shared" si="0"/>
        <v>244354.99000000005</v>
      </c>
      <c r="O62" s="25">
        <f t="shared" ca="1" si="1"/>
        <v>0</v>
      </c>
      <c r="P62" s="25">
        <f t="shared" ca="1" si="2"/>
        <v>0</v>
      </c>
    </row>
    <row r="63" spans="12:16" s="23" customFormat="1" ht="13.8">
      <c r="L63" s="23">
        <v>60</v>
      </c>
      <c r="M63" s="23">
        <f ca="1"/>
        <v>157538.62591511884</v>
      </c>
      <c r="N63" s="25">
        <f t="shared" si="0"/>
        <v>244354.99000000005</v>
      </c>
      <c r="O63" s="25">
        <f t="shared" ca="1" si="1"/>
        <v>1</v>
      </c>
      <c r="P63" s="25">
        <f t="shared" ca="1" si="2"/>
        <v>0.35528787067078593</v>
      </c>
    </row>
    <row r="64" spans="12:16" s="23" customFormat="1" ht="13.8">
      <c r="L64" s="33">
        <v>61</v>
      </c>
      <c r="M64" s="23">
        <f ca="1"/>
        <v>219688.05275924096</v>
      </c>
      <c r="N64" s="25">
        <f t="shared" si="0"/>
        <v>244354.99000000005</v>
      </c>
      <c r="O64" s="25">
        <f t="shared" ca="1" si="1"/>
        <v>1</v>
      </c>
      <c r="P64" s="25">
        <f t="shared" ca="1" si="2"/>
        <v>0.10094713940877197</v>
      </c>
    </row>
    <row r="65" spans="12:16" s="23" customFormat="1" ht="13.8">
      <c r="L65" s="23">
        <v>62</v>
      </c>
      <c r="M65" s="23">
        <f ca="1"/>
        <v>130949.97825028405</v>
      </c>
      <c r="N65" s="25">
        <f t="shared" si="0"/>
        <v>244354.99000000005</v>
      </c>
      <c r="O65" s="25">
        <f t="shared" ca="1" si="1"/>
        <v>1</v>
      </c>
      <c r="P65" s="25">
        <f t="shared" ca="1" si="2"/>
        <v>0.46409943070823301</v>
      </c>
    </row>
    <row r="66" spans="12:16" s="23" customFormat="1" ht="13.8">
      <c r="L66" s="33">
        <v>63</v>
      </c>
      <c r="M66" s="23">
        <f ca="1"/>
        <v>75697.590933068233</v>
      </c>
      <c r="N66" s="25">
        <f t="shared" si="0"/>
        <v>244354.99000000005</v>
      </c>
      <c r="O66" s="25">
        <f t="shared" ca="1" si="1"/>
        <v>1</v>
      </c>
      <c r="P66" s="25">
        <f t="shared" ca="1" si="2"/>
        <v>0.69021467115090129</v>
      </c>
    </row>
    <row r="67" spans="12:16" s="23" customFormat="1" ht="13.8">
      <c r="L67" s="23">
        <v>64</v>
      </c>
      <c r="M67" s="23">
        <f ca="1"/>
        <v>220683.59312778187</v>
      </c>
      <c r="N67" s="25">
        <f t="shared" si="0"/>
        <v>244354.99000000005</v>
      </c>
      <c r="O67" s="25">
        <f t="shared" ca="1" si="1"/>
        <v>1</v>
      </c>
      <c r="P67" s="25">
        <f t="shared" ca="1" si="2"/>
        <v>9.687298332732297E-2</v>
      </c>
    </row>
    <row r="68" spans="12:16" s="23" customFormat="1" ht="13.8">
      <c r="L68" s="33">
        <v>65</v>
      </c>
      <c r="M68" s="23">
        <f ca="1"/>
        <v>109933.59358068315</v>
      </c>
      <c r="N68" s="25">
        <f t="shared" ref="N68:N131" si="3">($C$22+$E$22)*1.1</f>
        <v>244354.99000000005</v>
      </c>
      <c r="O68" s="25">
        <f t="shared" ca="1" si="1"/>
        <v>1</v>
      </c>
      <c r="P68" s="25">
        <f t="shared" ca="1" si="2"/>
        <v>0.55010702429001701</v>
      </c>
    </row>
    <row r="69" spans="12:16" s="23" customFormat="1" ht="13.8">
      <c r="L69" s="23">
        <v>66</v>
      </c>
      <c r="M69" s="23">
        <f ca="1"/>
        <v>97437.902822862408</v>
      </c>
      <c r="N69" s="25">
        <f t="shared" si="3"/>
        <v>244354.99000000005</v>
      </c>
      <c r="O69" s="25">
        <f t="shared" ref="O69:O132" ca="1" si="4">IF(M69&lt;N69,1,0)</f>
        <v>1</v>
      </c>
      <c r="P69" s="25">
        <f t="shared" ref="P69:P132" ca="1" si="5">MAX((N69-M69)/N69,0)</f>
        <v>0.60124447295771455</v>
      </c>
    </row>
    <row r="70" spans="12:16" s="23" customFormat="1" ht="13.8">
      <c r="L70" s="33">
        <v>67</v>
      </c>
      <c r="M70" s="23">
        <f ca="1"/>
        <v>211908.80092436899</v>
      </c>
      <c r="N70" s="25">
        <f t="shared" si="3"/>
        <v>244354.99000000005</v>
      </c>
      <c r="O70" s="25">
        <f t="shared" ca="1" si="4"/>
        <v>1</v>
      </c>
      <c r="P70" s="25">
        <f t="shared" ca="1" si="5"/>
        <v>0.13278300179436095</v>
      </c>
    </row>
    <row r="71" spans="12:16" s="23" customFormat="1" ht="13.8">
      <c r="L71" s="23">
        <v>68</v>
      </c>
      <c r="M71" s="23">
        <f ca="1"/>
        <v>68174.37294219638</v>
      </c>
      <c r="N71" s="25">
        <f t="shared" si="3"/>
        <v>244354.99000000005</v>
      </c>
      <c r="O71" s="25">
        <f t="shared" ca="1" si="4"/>
        <v>1</v>
      </c>
      <c r="P71" s="25">
        <f t="shared" ca="1" si="5"/>
        <v>0.72100273891604849</v>
      </c>
    </row>
    <row r="72" spans="12:16" s="23" customFormat="1" ht="13.8">
      <c r="L72" s="33">
        <v>69</v>
      </c>
      <c r="M72" s="23">
        <f ca="1"/>
        <v>22965.648052502507</v>
      </c>
      <c r="N72" s="25">
        <f t="shared" si="3"/>
        <v>244354.99000000005</v>
      </c>
      <c r="O72" s="25">
        <f t="shared" ca="1" si="4"/>
        <v>1</v>
      </c>
      <c r="P72" s="25">
        <f t="shared" ca="1" si="5"/>
        <v>0.90601522787604005</v>
      </c>
    </row>
    <row r="73" spans="12:16" s="23" customFormat="1" ht="13.8">
      <c r="L73" s="23">
        <v>70</v>
      </c>
      <c r="M73" s="23">
        <f ca="1"/>
        <v>137732.99813135227</v>
      </c>
      <c r="N73" s="25">
        <f t="shared" si="3"/>
        <v>244354.99000000005</v>
      </c>
      <c r="O73" s="25">
        <f t="shared" ca="1" si="4"/>
        <v>1</v>
      </c>
      <c r="P73" s="25">
        <f t="shared" ca="1" si="5"/>
        <v>0.43634055465226124</v>
      </c>
    </row>
    <row r="74" spans="12:16" s="23" customFormat="1" ht="13.8">
      <c r="L74" s="33">
        <v>71</v>
      </c>
      <c r="M74" s="23">
        <f ca="1"/>
        <v>104704.65037708727</v>
      </c>
      <c r="N74" s="25">
        <f t="shared" si="3"/>
        <v>244354.99000000005</v>
      </c>
      <c r="O74" s="25">
        <f t="shared" ca="1" si="4"/>
        <v>1</v>
      </c>
      <c r="P74" s="25">
        <f t="shared" ca="1" si="5"/>
        <v>0.57150598652768558</v>
      </c>
    </row>
    <row r="75" spans="12:16" s="23" customFormat="1" ht="13.8">
      <c r="L75" s="23">
        <v>72</v>
      </c>
      <c r="M75" s="23">
        <f ca="1"/>
        <v>215155.92033487419</v>
      </c>
      <c r="N75" s="25">
        <f t="shared" si="3"/>
        <v>244354.99000000005</v>
      </c>
      <c r="O75" s="25">
        <f t="shared" ca="1" si="4"/>
        <v>1</v>
      </c>
      <c r="P75" s="25">
        <f t="shared" ca="1" si="5"/>
        <v>0.11949446853991341</v>
      </c>
    </row>
    <row r="76" spans="12:16" s="23" customFormat="1" ht="13.8">
      <c r="L76" s="33">
        <v>73</v>
      </c>
      <c r="M76" s="23">
        <f ca="1"/>
        <v>213071.40296151894</v>
      </c>
      <c r="N76" s="25">
        <f t="shared" si="3"/>
        <v>244354.99000000005</v>
      </c>
      <c r="O76" s="25">
        <f t="shared" ca="1" si="4"/>
        <v>1</v>
      </c>
      <c r="P76" s="25">
        <f t="shared" ca="1" si="5"/>
        <v>0.12802516141978973</v>
      </c>
    </row>
    <row r="77" spans="12:16" s="23" customFormat="1" ht="13.8">
      <c r="L77" s="23">
        <v>74</v>
      </c>
      <c r="M77" s="23">
        <f ca="1"/>
        <v>106738.61366031945</v>
      </c>
      <c r="N77" s="25">
        <f t="shared" si="3"/>
        <v>244354.99000000005</v>
      </c>
      <c r="O77" s="25">
        <f t="shared" ca="1" si="4"/>
        <v>1</v>
      </c>
      <c r="P77" s="25">
        <f t="shared" ca="1" si="5"/>
        <v>0.56318218154530253</v>
      </c>
    </row>
    <row r="78" spans="12:16" s="23" customFormat="1" ht="13.8">
      <c r="L78" s="33">
        <v>75</v>
      </c>
      <c r="M78" s="23">
        <f ca="1"/>
        <v>4810.8044827929079</v>
      </c>
      <c r="N78" s="25">
        <f t="shared" si="3"/>
        <v>244354.99000000005</v>
      </c>
      <c r="O78" s="25">
        <f t="shared" ca="1" si="4"/>
        <v>1</v>
      </c>
      <c r="P78" s="25">
        <f t="shared" ca="1" si="5"/>
        <v>0.98031223146786195</v>
      </c>
    </row>
    <row r="79" spans="12:16" s="23" customFormat="1" ht="13.8">
      <c r="L79" s="23">
        <v>76</v>
      </c>
      <c r="M79" s="23">
        <f ca="1"/>
        <v>174878.58472398884</v>
      </c>
      <c r="N79" s="25">
        <f t="shared" si="3"/>
        <v>244354.99000000005</v>
      </c>
      <c r="O79" s="25">
        <f t="shared" ca="1" si="4"/>
        <v>1</v>
      </c>
      <c r="P79" s="25">
        <f t="shared" ca="1" si="5"/>
        <v>0.28432570693977316</v>
      </c>
    </row>
    <row r="80" spans="12:16" s="23" customFormat="1" ht="13.8">
      <c r="L80" s="33">
        <v>77</v>
      </c>
      <c r="M80" s="23">
        <f ca="1"/>
        <v>95169.720938403872</v>
      </c>
      <c r="N80" s="25">
        <f t="shared" si="3"/>
        <v>244354.99000000005</v>
      </c>
      <c r="O80" s="25">
        <f t="shared" ca="1" si="4"/>
        <v>1</v>
      </c>
      <c r="P80" s="25">
        <f t="shared" ca="1" si="5"/>
        <v>0.61052679571469426</v>
      </c>
    </row>
    <row r="81" spans="12:16" s="23" customFormat="1" ht="13.8">
      <c r="L81" s="23">
        <v>78</v>
      </c>
      <c r="M81" s="23">
        <f ca="1"/>
        <v>121033.17645054152</v>
      </c>
      <c r="N81" s="25">
        <f t="shared" si="3"/>
        <v>244354.99000000005</v>
      </c>
      <c r="O81" s="25">
        <f t="shared" ca="1" si="4"/>
        <v>1</v>
      </c>
      <c r="P81" s="25">
        <f t="shared" ca="1" si="5"/>
        <v>0.50468301690691275</v>
      </c>
    </row>
    <row r="82" spans="12:16" s="23" customFormat="1" ht="13.8">
      <c r="L82" s="33">
        <v>79</v>
      </c>
      <c r="M82" s="23">
        <f ca="1"/>
        <v>-36107.495815064678</v>
      </c>
      <c r="N82" s="25">
        <f t="shared" si="3"/>
        <v>244354.99000000005</v>
      </c>
      <c r="O82" s="25">
        <f t="shared" ca="1" si="4"/>
        <v>1</v>
      </c>
      <c r="P82" s="25">
        <f t="shared" ca="1" si="5"/>
        <v>1.1477665580517291</v>
      </c>
    </row>
    <row r="83" spans="12:16" s="23" customFormat="1" ht="13.8">
      <c r="L83" s="23">
        <v>80</v>
      </c>
      <c r="M83" s="23">
        <f ca="1"/>
        <v>270560.89765302348</v>
      </c>
      <c r="N83" s="25">
        <f t="shared" si="3"/>
        <v>244354.99000000005</v>
      </c>
      <c r="O83" s="25">
        <f t="shared" ca="1" si="4"/>
        <v>0</v>
      </c>
      <c r="P83" s="25">
        <f t="shared" ca="1" si="5"/>
        <v>0</v>
      </c>
    </row>
    <row r="84" spans="12:16" s="23" customFormat="1" ht="13.8">
      <c r="L84" s="33">
        <v>81</v>
      </c>
      <c r="M84" s="23">
        <f ca="1"/>
        <v>120714.93447200432</v>
      </c>
      <c r="N84" s="25">
        <f t="shared" si="3"/>
        <v>244354.99000000005</v>
      </c>
      <c r="O84" s="25">
        <f t="shared" ca="1" si="4"/>
        <v>1</v>
      </c>
      <c r="P84" s="25">
        <f t="shared" ca="1" si="5"/>
        <v>0.50598539251437313</v>
      </c>
    </row>
    <row r="85" spans="12:16" s="23" customFormat="1" ht="13.8">
      <c r="L85" s="23">
        <v>82</v>
      </c>
      <c r="M85" s="23">
        <f ca="1"/>
        <v>298684.41340837436</v>
      </c>
      <c r="N85" s="25">
        <f t="shared" si="3"/>
        <v>244354.99000000005</v>
      </c>
      <c r="O85" s="25">
        <f t="shared" ca="1" si="4"/>
        <v>0</v>
      </c>
      <c r="P85" s="25">
        <f t="shared" ca="1" si="5"/>
        <v>0</v>
      </c>
    </row>
    <row r="86" spans="12:16" s="23" customFormat="1" ht="13.8">
      <c r="L86" s="33">
        <v>83</v>
      </c>
      <c r="M86" s="23">
        <f ca="1"/>
        <v>43487.995561408236</v>
      </c>
      <c r="N86" s="25">
        <f t="shared" si="3"/>
        <v>244354.99000000005</v>
      </c>
      <c r="O86" s="25">
        <f t="shared" ca="1" si="4"/>
        <v>1</v>
      </c>
      <c r="P86" s="25">
        <f t="shared" ca="1" si="5"/>
        <v>0.8220294352842632</v>
      </c>
    </row>
    <row r="87" spans="12:16" s="23" customFormat="1" ht="13.8">
      <c r="L87" s="23">
        <v>84</v>
      </c>
      <c r="M87" s="23">
        <f ca="1"/>
        <v>204851.9037415123</v>
      </c>
      <c r="N87" s="25">
        <f t="shared" si="3"/>
        <v>244354.99000000005</v>
      </c>
      <c r="O87" s="25">
        <f t="shared" ca="1" si="4"/>
        <v>1</v>
      </c>
      <c r="P87" s="25">
        <f t="shared" ca="1" si="5"/>
        <v>0.16166269515710621</v>
      </c>
    </row>
    <row r="88" spans="12:16" s="23" customFormat="1" ht="13.8">
      <c r="L88" s="33">
        <v>85</v>
      </c>
      <c r="M88" s="23">
        <f ca="1"/>
        <v>10039.714137523473</v>
      </c>
      <c r="N88" s="25">
        <f t="shared" si="3"/>
        <v>244354.99000000005</v>
      </c>
      <c r="O88" s="25">
        <f t="shared" ca="1" si="4"/>
        <v>1</v>
      </c>
      <c r="P88" s="25">
        <f t="shared" ca="1" si="5"/>
        <v>0.95891340652579482</v>
      </c>
    </row>
    <row r="89" spans="12:16" s="23" customFormat="1" ht="13.8">
      <c r="L89" s="23">
        <v>86</v>
      </c>
      <c r="M89" s="23">
        <f ca="1"/>
        <v>-76554.236923634307</v>
      </c>
      <c r="N89" s="25">
        <f t="shared" si="3"/>
        <v>244354.99000000005</v>
      </c>
      <c r="O89" s="25">
        <f t="shared" ca="1" si="4"/>
        <v>1</v>
      </c>
      <c r="P89" s="25">
        <f t="shared" ca="1" si="5"/>
        <v>1.313291072646539</v>
      </c>
    </row>
    <row r="90" spans="12:16" s="23" customFormat="1" ht="13.8">
      <c r="L90" s="33">
        <v>87</v>
      </c>
      <c r="M90" s="23">
        <f ca="1"/>
        <v>108444.51411387493</v>
      </c>
      <c r="N90" s="25">
        <f t="shared" si="3"/>
        <v>244354.99000000005</v>
      </c>
      <c r="O90" s="25">
        <f t="shared" ca="1" si="4"/>
        <v>1</v>
      </c>
      <c r="P90" s="25">
        <f t="shared" ca="1" si="5"/>
        <v>0.55620094308745271</v>
      </c>
    </row>
    <row r="91" spans="12:16" s="23" customFormat="1" ht="13.8">
      <c r="L91" s="23">
        <v>88</v>
      </c>
      <c r="M91" s="23">
        <f ca="1"/>
        <v>20658.253926071458</v>
      </c>
      <c r="N91" s="25">
        <f t="shared" si="3"/>
        <v>244354.99000000005</v>
      </c>
      <c r="O91" s="25">
        <f t="shared" ca="1" si="4"/>
        <v>1</v>
      </c>
      <c r="P91" s="25">
        <f t="shared" ca="1" si="5"/>
        <v>0.91545802307507018</v>
      </c>
    </row>
    <row r="92" spans="12:16" s="23" customFormat="1" ht="13.8">
      <c r="L92" s="33">
        <v>89</v>
      </c>
      <c r="M92" s="23">
        <f ca="1"/>
        <v>35169.900893627011</v>
      </c>
      <c r="N92" s="25">
        <f t="shared" si="3"/>
        <v>244354.99000000005</v>
      </c>
      <c r="O92" s="25">
        <f t="shared" ca="1" si="4"/>
        <v>1</v>
      </c>
      <c r="P92" s="25">
        <f t="shared" ca="1" si="5"/>
        <v>0.85607046169334611</v>
      </c>
    </row>
    <row r="93" spans="12:16" s="23" customFormat="1" ht="13.8">
      <c r="L93" s="23">
        <v>90</v>
      </c>
      <c r="M93" s="23">
        <f ca="1"/>
        <v>240033.20741889838</v>
      </c>
      <c r="N93" s="25">
        <f t="shared" si="3"/>
        <v>244354.99000000005</v>
      </c>
      <c r="O93" s="25">
        <f t="shared" ca="1" si="4"/>
        <v>1</v>
      </c>
      <c r="P93" s="25">
        <f t="shared" ca="1" si="5"/>
        <v>1.7686492021716706E-2</v>
      </c>
    </row>
    <row r="94" spans="12:16" s="23" customFormat="1" ht="13.8">
      <c r="L94" s="33">
        <v>91</v>
      </c>
      <c r="M94" s="23">
        <f ca="1"/>
        <v>278763.16269575676</v>
      </c>
      <c r="N94" s="25">
        <f t="shared" si="3"/>
        <v>244354.99000000005</v>
      </c>
      <c r="O94" s="25">
        <f t="shared" ca="1" si="4"/>
        <v>0</v>
      </c>
      <c r="P94" s="25">
        <f t="shared" ca="1" si="5"/>
        <v>0</v>
      </c>
    </row>
    <row r="95" spans="12:16" s="23" customFormat="1" ht="13.8">
      <c r="L95" s="23">
        <v>92</v>
      </c>
      <c r="M95" s="23">
        <f ca="1"/>
        <v>86494.409226005257</v>
      </c>
      <c r="N95" s="25">
        <f t="shared" si="3"/>
        <v>244354.99000000005</v>
      </c>
      <c r="O95" s="25">
        <f t="shared" ca="1" si="4"/>
        <v>1</v>
      </c>
      <c r="P95" s="25">
        <f t="shared" ca="1" si="5"/>
        <v>0.64602969955307543</v>
      </c>
    </row>
    <row r="96" spans="12:16" s="23" customFormat="1" ht="13.8">
      <c r="L96" s="33">
        <v>93</v>
      </c>
      <c r="M96" s="23">
        <f ca="1"/>
        <v>188982.91195895243</v>
      </c>
      <c r="N96" s="25">
        <f t="shared" si="3"/>
        <v>244354.99000000005</v>
      </c>
      <c r="O96" s="25">
        <f t="shared" ca="1" si="4"/>
        <v>1</v>
      </c>
      <c r="P96" s="25">
        <f t="shared" ca="1" si="5"/>
        <v>0.22660506356366042</v>
      </c>
    </row>
    <row r="97" spans="12:16" s="23" customFormat="1" ht="13.8">
      <c r="L97" s="23">
        <v>94</v>
      </c>
      <c r="M97" s="23">
        <f ca="1"/>
        <v>125213.42015720725</v>
      </c>
      <c r="N97" s="25">
        <f t="shared" si="3"/>
        <v>244354.99000000005</v>
      </c>
      <c r="O97" s="25">
        <f t="shared" ca="1" si="4"/>
        <v>1</v>
      </c>
      <c r="P97" s="25">
        <f t="shared" ca="1" si="5"/>
        <v>0.48757575952425924</v>
      </c>
    </row>
    <row r="98" spans="12:16" s="23" customFormat="1" ht="13.8">
      <c r="L98" s="33">
        <v>95</v>
      </c>
      <c r="M98" s="23">
        <f ca="1"/>
        <v>95037.812645473707</v>
      </c>
      <c r="N98" s="25">
        <f t="shared" si="3"/>
        <v>244354.99000000005</v>
      </c>
      <c r="O98" s="25">
        <f t="shared" ca="1" si="4"/>
        <v>1</v>
      </c>
      <c r="P98" s="25">
        <f t="shared" ca="1" si="5"/>
        <v>0.61106661809740959</v>
      </c>
    </row>
    <row r="99" spans="12:16" s="23" customFormat="1" ht="13.8">
      <c r="L99" s="23">
        <v>96</v>
      </c>
      <c r="M99" s="23">
        <f ca="1"/>
        <v>154758.62977131273</v>
      </c>
      <c r="N99" s="25">
        <f t="shared" si="3"/>
        <v>244354.99000000005</v>
      </c>
      <c r="O99" s="25">
        <f t="shared" ca="1" si="4"/>
        <v>1</v>
      </c>
      <c r="P99" s="25">
        <f t="shared" ca="1" si="5"/>
        <v>0.36666474553553136</v>
      </c>
    </row>
    <row r="100" spans="12:16" s="23" customFormat="1" ht="13.8">
      <c r="L100" s="33">
        <v>97</v>
      </c>
      <c r="M100" s="23">
        <f ca="1"/>
        <v>114513.82192128623</v>
      </c>
      <c r="N100" s="25">
        <f t="shared" si="3"/>
        <v>244354.99000000005</v>
      </c>
      <c r="O100" s="25">
        <f t="shared" ca="1" si="4"/>
        <v>1</v>
      </c>
      <c r="P100" s="25">
        <f t="shared" ca="1" si="5"/>
        <v>0.53136286710868397</v>
      </c>
    </row>
    <row r="101" spans="12:16" s="23" customFormat="1" ht="13.8">
      <c r="L101" s="23">
        <v>98</v>
      </c>
      <c r="M101" s="23">
        <f ca="1"/>
        <v>24324.545370222328</v>
      </c>
      <c r="N101" s="25">
        <f t="shared" si="3"/>
        <v>244354.99000000005</v>
      </c>
      <c r="O101" s="25">
        <f t="shared" ca="1" si="4"/>
        <v>1</v>
      </c>
      <c r="P101" s="25">
        <f t="shared" ca="1" si="5"/>
        <v>0.90045406737868405</v>
      </c>
    </row>
    <row r="102" spans="12:16" s="23" customFormat="1" ht="13.8">
      <c r="L102" s="33">
        <v>99</v>
      </c>
      <c r="M102" s="23">
        <f ca="1"/>
        <v>197810.48391492211</v>
      </c>
      <c r="N102" s="25">
        <f t="shared" si="3"/>
        <v>244354.99000000005</v>
      </c>
      <c r="O102" s="25">
        <f t="shared" ca="1" si="4"/>
        <v>1</v>
      </c>
      <c r="P102" s="25">
        <f t="shared" ca="1" si="5"/>
        <v>0.19047904888325765</v>
      </c>
    </row>
    <row r="103" spans="12:16" s="23" customFormat="1" ht="13.8">
      <c r="L103" s="23">
        <v>100</v>
      </c>
      <c r="M103" s="23">
        <f ca="1"/>
        <v>3249.776867936328</v>
      </c>
      <c r="N103" s="25">
        <f t="shared" si="3"/>
        <v>244354.99000000005</v>
      </c>
      <c r="O103" s="25">
        <f t="shared" ca="1" si="4"/>
        <v>1</v>
      </c>
      <c r="P103" s="25">
        <f t="shared" ca="1" si="5"/>
        <v>0.98670059134893728</v>
      </c>
    </row>
    <row r="104" spans="12:16" s="23" customFormat="1" ht="13.8">
      <c r="L104" s="33">
        <v>101</v>
      </c>
      <c r="M104" s="23">
        <f ca="1"/>
        <v>176740.8264435406</v>
      </c>
      <c r="N104" s="25">
        <f t="shared" si="3"/>
        <v>244354.99000000005</v>
      </c>
      <c r="O104" s="25">
        <f t="shared" ca="1" si="4"/>
        <v>1</v>
      </c>
      <c r="P104" s="25">
        <f t="shared" ca="1" si="5"/>
        <v>0.27670465643635694</v>
      </c>
    </row>
    <row r="105" spans="12:16" s="23" customFormat="1" ht="13.8">
      <c r="L105" s="23">
        <v>102</v>
      </c>
      <c r="M105" s="23">
        <f ca="1"/>
        <v>66161.21759309624</v>
      </c>
      <c r="N105" s="25">
        <f t="shared" si="3"/>
        <v>244354.99000000005</v>
      </c>
      <c r="O105" s="25">
        <f t="shared" ca="1" si="4"/>
        <v>1</v>
      </c>
      <c r="P105" s="25">
        <f t="shared" ca="1" si="5"/>
        <v>0.72924138936922778</v>
      </c>
    </row>
    <row r="106" spans="12:16" s="23" customFormat="1" ht="13.8">
      <c r="L106" s="33">
        <v>103</v>
      </c>
      <c r="M106" s="23">
        <f ca="1"/>
        <v>133227.79636222476</v>
      </c>
      <c r="N106" s="25">
        <f t="shared" si="3"/>
        <v>244354.99000000005</v>
      </c>
      <c r="O106" s="25">
        <f t="shared" ca="1" si="4"/>
        <v>1</v>
      </c>
      <c r="P106" s="25">
        <f t="shared" ca="1" si="5"/>
        <v>0.45477767258927376</v>
      </c>
    </row>
    <row r="107" spans="12:16" s="23" customFormat="1" ht="13.8">
      <c r="L107" s="23">
        <v>104</v>
      </c>
      <c r="M107" s="23">
        <f ca="1"/>
        <v>225110.9865263316</v>
      </c>
      <c r="N107" s="25">
        <f t="shared" si="3"/>
        <v>244354.99000000005</v>
      </c>
      <c r="O107" s="25">
        <f t="shared" ca="1" si="4"/>
        <v>1</v>
      </c>
      <c r="P107" s="25">
        <f t="shared" ca="1" si="5"/>
        <v>7.8754288887934898E-2</v>
      </c>
    </row>
    <row r="108" spans="12:16" s="23" customFormat="1" ht="13.8">
      <c r="L108" s="33">
        <v>105</v>
      </c>
      <c r="M108" s="23">
        <f ca="1"/>
        <v>155427.08296711996</v>
      </c>
      <c r="N108" s="25">
        <f t="shared" si="3"/>
        <v>244354.99000000005</v>
      </c>
      <c r="O108" s="25">
        <f t="shared" ca="1" si="4"/>
        <v>1</v>
      </c>
      <c r="P108" s="25">
        <f t="shared" ca="1" si="5"/>
        <v>0.36392916319359825</v>
      </c>
    </row>
    <row r="109" spans="12:16" s="23" customFormat="1" ht="13.8">
      <c r="L109" s="23">
        <v>106</v>
      </c>
      <c r="M109" s="23">
        <f ca="1"/>
        <v>237515.74045027999</v>
      </c>
      <c r="N109" s="25">
        <f t="shared" si="3"/>
        <v>244354.99000000005</v>
      </c>
      <c r="O109" s="25">
        <f t="shared" ca="1" si="4"/>
        <v>1</v>
      </c>
      <c r="P109" s="25">
        <f t="shared" ca="1" si="5"/>
        <v>2.7988990729103002E-2</v>
      </c>
    </row>
    <row r="110" spans="12:16" s="23" customFormat="1" ht="13.8">
      <c r="L110" s="33">
        <v>107</v>
      </c>
      <c r="M110" s="23">
        <f ca="1"/>
        <v>99394.837340080048</v>
      </c>
      <c r="N110" s="25">
        <f t="shared" si="3"/>
        <v>244354.99000000005</v>
      </c>
      <c r="O110" s="25">
        <f t="shared" ca="1" si="4"/>
        <v>1</v>
      </c>
      <c r="P110" s="25">
        <f t="shared" ca="1" si="5"/>
        <v>0.59323590101401225</v>
      </c>
    </row>
    <row r="111" spans="12:16" s="23" customFormat="1" ht="13.8">
      <c r="L111" s="23">
        <v>108</v>
      </c>
      <c r="M111" s="23">
        <f ca="1"/>
        <v>-1370.4778941276288</v>
      </c>
      <c r="N111" s="25">
        <f t="shared" si="3"/>
        <v>244354.99000000005</v>
      </c>
      <c r="O111" s="25">
        <f t="shared" ca="1" si="4"/>
        <v>1</v>
      </c>
      <c r="P111" s="25">
        <f t="shared" ca="1" si="5"/>
        <v>1.00560855292592</v>
      </c>
    </row>
    <row r="112" spans="12:16" s="23" customFormat="1" ht="13.8">
      <c r="L112" s="33">
        <v>109</v>
      </c>
      <c r="M112" s="23">
        <f ca="1"/>
        <v>192318.37578350533</v>
      </c>
      <c r="N112" s="25">
        <f t="shared" si="3"/>
        <v>244354.99000000005</v>
      </c>
      <c r="O112" s="25">
        <f t="shared" ca="1" si="4"/>
        <v>1</v>
      </c>
      <c r="P112" s="25">
        <f t="shared" ca="1" si="5"/>
        <v>0.21295498903662541</v>
      </c>
    </row>
    <row r="113" spans="12:16" s="23" customFormat="1" ht="13.8">
      <c r="L113" s="23">
        <v>110</v>
      </c>
      <c r="M113" s="23">
        <f ca="1"/>
        <v>224211.90300419289</v>
      </c>
      <c r="N113" s="25">
        <f t="shared" si="3"/>
        <v>244354.99000000005</v>
      </c>
      <c r="O113" s="25">
        <f t="shared" ca="1" si="4"/>
        <v>1</v>
      </c>
      <c r="P113" s="25">
        <f t="shared" ca="1" si="5"/>
        <v>8.2433704324217622E-2</v>
      </c>
    </row>
    <row r="114" spans="12:16" s="23" customFormat="1" ht="13.8">
      <c r="L114" s="33">
        <v>111</v>
      </c>
      <c r="M114" s="23">
        <f ca="1"/>
        <v>176422.33650477658</v>
      </c>
      <c r="N114" s="25">
        <f t="shared" si="3"/>
        <v>244354.99000000005</v>
      </c>
      <c r="O114" s="25">
        <f t="shared" ca="1" si="4"/>
        <v>1</v>
      </c>
      <c r="P114" s="25">
        <f t="shared" ca="1" si="5"/>
        <v>0.27800804679791252</v>
      </c>
    </row>
    <row r="115" spans="12:16" s="23" customFormat="1" ht="13.8">
      <c r="L115" s="23">
        <v>112</v>
      </c>
      <c r="M115" s="23">
        <f ca="1"/>
        <v>107978.47427405231</v>
      </c>
      <c r="N115" s="25">
        <f t="shared" si="3"/>
        <v>244354.99000000005</v>
      </c>
      <c r="O115" s="25">
        <f t="shared" ca="1" si="4"/>
        <v>1</v>
      </c>
      <c r="P115" s="25">
        <f t="shared" ca="1" si="5"/>
        <v>0.55810816765373894</v>
      </c>
    </row>
    <row r="116" spans="12:16" s="23" customFormat="1" ht="13.8">
      <c r="L116" s="33">
        <v>113</v>
      </c>
      <c r="M116" s="23">
        <f ca="1"/>
        <v>-13228.28393501531</v>
      </c>
      <c r="N116" s="25">
        <f t="shared" si="3"/>
        <v>244354.99000000005</v>
      </c>
      <c r="O116" s="25">
        <f t="shared" ca="1" si="4"/>
        <v>1</v>
      </c>
      <c r="P116" s="25">
        <f t="shared" ca="1" si="5"/>
        <v>1.0541355178996563</v>
      </c>
    </row>
    <row r="117" spans="12:16" s="23" customFormat="1" ht="13.8">
      <c r="L117" s="23">
        <v>114</v>
      </c>
      <c r="M117" s="23">
        <f ca="1"/>
        <v>130845.87259868844</v>
      </c>
      <c r="N117" s="25">
        <f t="shared" si="3"/>
        <v>244354.99000000005</v>
      </c>
      <c r="O117" s="25">
        <f t="shared" ca="1" si="4"/>
        <v>1</v>
      </c>
      <c r="P117" s="25">
        <f t="shared" ca="1" si="5"/>
        <v>0.46452547337507449</v>
      </c>
    </row>
    <row r="118" spans="12:16" s="23" customFormat="1" ht="13.8">
      <c r="L118" s="33">
        <v>115</v>
      </c>
      <c r="M118" s="23">
        <f ca="1"/>
        <v>30916.316807795782</v>
      </c>
      <c r="N118" s="25">
        <f t="shared" si="3"/>
        <v>244354.99000000005</v>
      </c>
      <c r="O118" s="25">
        <f t="shared" ca="1" si="4"/>
        <v>1</v>
      </c>
      <c r="P118" s="25">
        <f t="shared" ca="1" si="5"/>
        <v>0.87347785773560105</v>
      </c>
    </row>
    <row r="119" spans="12:16" s="23" customFormat="1" ht="13.8">
      <c r="L119" s="23">
        <v>116</v>
      </c>
      <c r="M119" s="23">
        <f ca="1"/>
        <v>38029.494800850836</v>
      </c>
      <c r="N119" s="25">
        <f t="shared" si="3"/>
        <v>244354.99000000005</v>
      </c>
      <c r="O119" s="25">
        <f t="shared" ca="1" si="4"/>
        <v>1</v>
      </c>
      <c r="P119" s="25">
        <f t="shared" ca="1" si="5"/>
        <v>0.84436784040771651</v>
      </c>
    </row>
    <row r="120" spans="12:16" s="23" customFormat="1" ht="13.8">
      <c r="L120" s="33">
        <v>117</v>
      </c>
      <c r="M120" s="23">
        <f ca="1"/>
        <v>190347.58126517877</v>
      </c>
      <c r="N120" s="25">
        <f t="shared" si="3"/>
        <v>244354.99000000005</v>
      </c>
      <c r="O120" s="25">
        <f t="shared" ca="1" si="4"/>
        <v>1</v>
      </c>
      <c r="P120" s="25">
        <f t="shared" ca="1" si="5"/>
        <v>0.22102028174182678</v>
      </c>
    </row>
    <row r="121" spans="12:16" s="23" customFormat="1" ht="13.8">
      <c r="L121" s="23">
        <v>118</v>
      </c>
      <c r="M121" s="23">
        <f ca="1"/>
        <v>69013.62272724387</v>
      </c>
      <c r="N121" s="25">
        <f t="shared" si="3"/>
        <v>244354.99000000005</v>
      </c>
      <c r="O121" s="25">
        <f t="shared" ca="1" si="4"/>
        <v>1</v>
      </c>
      <c r="P121" s="25">
        <f t="shared" ca="1" si="5"/>
        <v>0.71756818746675133</v>
      </c>
    </row>
    <row r="122" spans="12:16" s="23" customFormat="1" ht="13.8">
      <c r="L122" s="33">
        <v>119</v>
      </c>
      <c r="M122" s="23">
        <f ca="1"/>
        <v>129313.72646902465</v>
      </c>
      <c r="N122" s="25">
        <f t="shared" si="3"/>
        <v>244354.99000000005</v>
      </c>
      <c r="O122" s="25">
        <f t="shared" ca="1" si="4"/>
        <v>1</v>
      </c>
      <c r="P122" s="25">
        <f t="shared" ca="1" si="5"/>
        <v>0.47079563847243461</v>
      </c>
    </row>
    <row r="123" spans="12:16" s="23" customFormat="1" ht="13.8">
      <c r="L123" s="23">
        <v>120</v>
      </c>
      <c r="M123" s="23">
        <f ca="1"/>
        <v>101195.58978617507</v>
      </c>
      <c r="N123" s="25">
        <f t="shared" si="3"/>
        <v>244354.99000000005</v>
      </c>
      <c r="O123" s="25">
        <f t="shared" ca="1" si="4"/>
        <v>1</v>
      </c>
      <c r="P123" s="25">
        <f t="shared" ca="1" si="5"/>
        <v>0.58586648962570798</v>
      </c>
    </row>
    <row r="124" spans="12:16" s="23" customFormat="1" ht="13.8">
      <c r="L124" s="33">
        <v>121</v>
      </c>
      <c r="M124" s="23">
        <f ca="1"/>
        <v>195367.82364700225</v>
      </c>
      <c r="N124" s="25">
        <f t="shared" si="3"/>
        <v>244354.99000000005</v>
      </c>
      <c r="O124" s="25">
        <f t="shared" ca="1" si="4"/>
        <v>1</v>
      </c>
      <c r="P124" s="25">
        <f t="shared" ca="1" si="5"/>
        <v>0.20047540814696596</v>
      </c>
    </row>
    <row r="125" spans="12:16" s="23" customFormat="1" ht="13.8">
      <c r="L125" s="23">
        <v>122</v>
      </c>
      <c r="M125" s="23">
        <f ca="1"/>
        <v>218938.78680797882</v>
      </c>
      <c r="N125" s="25">
        <f t="shared" si="3"/>
        <v>244354.99000000005</v>
      </c>
      <c r="O125" s="25">
        <f t="shared" ca="1" si="4"/>
        <v>1</v>
      </c>
      <c r="P125" s="25">
        <f t="shared" ca="1" si="5"/>
        <v>0.10401344041315148</v>
      </c>
    </row>
    <row r="126" spans="12:16" s="23" customFormat="1" ht="13.8">
      <c r="L126" s="33">
        <v>123</v>
      </c>
      <c r="M126" s="23">
        <f ca="1"/>
        <v>245449.32909735199</v>
      </c>
      <c r="N126" s="25">
        <f t="shared" si="3"/>
        <v>244354.99000000005</v>
      </c>
      <c r="O126" s="25">
        <f t="shared" ca="1" si="4"/>
        <v>0</v>
      </c>
      <c r="P126" s="25">
        <f t="shared" ca="1" si="5"/>
        <v>0</v>
      </c>
    </row>
    <row r="127" spans="12:16" s="23" customFormat="1" ht="13.8">
      <c r="L127" s="23">
        <v>124</v>
      </c>
      <c r="M127" s="23">
        <f ca="1"/>
        <v>192930.65877836008</v>
      </c>
      <c r="N127" s="25">
        <f t="shared" si="3"/>
        <v>244354.99000000005</v>
      </c>
      <c r="O127" s="25">
        <f t="shared" ca="1" si="4"/>
        <v>1</v>
      </c>
      <c r="P127" s="25">
        <f t="shared" ca="1" si="5"/>
        <v>0.21044927800181185</v>
      </c>
    </row>
    <row r="128" spans="12:16" s="23" customFormat="1" ht="13.8">
      <c r="L128" s="33">
        <v>125</v>
      </c>
      <c r="M128" s="23">
        <f ca="1"/>
        <v>49338.918651397762</v>
      </c>
      <c r="N128" s="25">
        <f t="shared" si="3"/>
        <v>244354.99000000005</v>
      </c>
      <c r="O128" s="25">
        <f t="shared" ca="1" si="4"/>
        <v>1</v>
      </c>
      <c r="P128" s="25">
        <f t="shared" ca="1" si="5"/>
        <v>0.79808507838780895</v>
      </c>
    </row>
    <row r="129" spans="12:16" s="23" customFormat="1" ht="13.8">
      <c r="L129" s="23">
        <v>126</v>
      </c>
      <c r="M129" s="23">
        <f ca="1"/>
        <v>113078.18257686551</v>
      </c>
      <c r="N129" s="25">
        <f t="shared" si="3"/>
        <v>244354.99000000005</v>
      </c>
      <c r="O129" s="25">
        <f t="shared" ca="1" si="4"/>
        <v>1</v>
      </c>
      <c r="P129" s="25">
        <f t="shared" ca="1" si="5"/>
        <v>0.53723808719083044</v>
      </c>
    </row>
    <row r="130" spans="12:16" s="23" customFormat="1" ht="13.8">
      <c r="L130" s="33">
        <v>127</v>
      </c>
      <c r="M130" s="23">
        <f ca="1"/>
        <v>223561.34672033251</v>
      </c>
      <c r="N130" s="25">
        <f t="shared" si="3"/>
        <v>244354.99000000005</v>
      </c>
      <c r="O130" s="25">
        <f t="shared" ca="1" si="4"/>
        <v>1</v>
      </c>
      <c r="P130" s="25">
        <f t="shared" ca="1" si="5"/>
        <v>8.5096045223662237E-2</v>
      </c>
    </row>
    <row r="131" spans="12:16" s="23" customFormat="1" ht="13.8">
      <c r="L131" s="23">
        <v>128</v>
      </c>
      <c r="M131" s="23">
        <f ca="1"/>
        <v>-10753.353661217277</v>
      </c>
      <c r="N131" s="25">
        <f t="shared" si="3"/>
        <v>244354.99000000005</v>
      </c>
      <c r="O131" s="25">
        <f t="shared" ca="1" si="4"/>
        <v>1</v>
      </c>
      <c r="P131" s="25">
        <f t="shared" ca="1" si="5"/>
        <v>1.0440070966474524</v>
      </c>
    </row>
    <row r="132" spans="12:16" s="23" customFormat="1" ht="13.8">
      <c r="L132" s="33">
        <v>129</v>
      </c>
      <c r="M132" s="23">
        <f ca="1"/>
        <v>307540.41854757688</v>
      </c>
      <c r="N132" s="25">
        <f t="shared" ref="N132:N195" si="6">($C$22+$E$22)*1.1</f>
        <v>244354.99000000005</v>
      </c>
      <c r="O132" s="25">
        <f t="shared" ca="1" si="4"/>
        <v>0</v>
      </c>
      <c r="P132" s="25">
        <f t="shared" ca="1" si="5"/>
        <v>0</v>
      </c>
    </row>
    <row r="133" spans="12:16" s="23" customFormat="1" ht="13.8">
      <c r="L133" s="23">
        <v>130</v>
      </c>
      <c r="M133" s="23">
        <f ca="1"/>
        <v>187263.00133442227</v>
      </c>
      <c r="N133" s="25">
        <f t="shared" si="6"/>
        <v>244354.99000000005</v>
      </c>
      <c r="O133" s="25">
        <f t="shared" ref="O133:O196" ca="1" si="7">IF(M133&lt;N133,1,0)</f>
        <v>1</v>
      </c>
      <c r="P133" s="25">
        <f t="shared" ref="P133:P196" ca="1" si="8">MAX((N133-M133)/N133,0)</f>
        <v>0.23364363733917515</v>
      </c>
    </row>
    <row r="134" spans="12:16" s="23" customFormat="1" ht="13.8">
      <c r="L134" s="33">
        <v>131</v>
      </c>
      <c r="M134" s="23">
        <f ca="1"/>
        <v>255529.69393306284</v>
      </c>
      <c r="N134" s="25">
        <f t="shared" si="6"/>
        <v>244354.99000000005</v>
      </c>
      <c r="O134" s="25">
        <f t="shared" ca="1" si="7"/>
        <v>0</v>
      </c>
      <c r="P134" s="25">
        <f t="shared" ca="1" si="8"/>
        <v>0</v>
      </c>
    </row>
    <row r="135" spans="12:16" s="23" customFormat="1" ht="13.8">
      <c r="L135" s="23">
        <v>132</v>
      </c>
      <c r="M135" s="23">
        <f ca="1"/>
        <v>95776.623278033847</v>
      </c>
      <c r="N135" s="25">
        <f t="shared" si="6"/>
        <v>244354.99000000005</v>
      </c>
      <c r="O135" s="25">
        <f t="shared" ca="1" si="7"/>
        <v>1</v>
      </c>
      <c r="P135" s="25">
        <f t="shared" ca="1" si="8"/>
        <v>0.60804310450941135</v>
      </c>
    </row>
    <row r="136" spans="12:16" s="23" customFormat="1" ht="13.8">
      <c r="L136" s="33">
        <v>133</v>
      </c>
      <c r="M136" s="23">
        <f ca="1"/>
        <v>175418.11994042379</v>
      </c>
      <c r="N136" s="25">
        <f t="shared" si="6"/>
        <v>244354.99000000005</v>
      </c>
      <c r="O136" s="25">
        <f t="shared" ca="1" si="7"/>
        <v>1</v>
      </c>
      <c r="P136" s="25">
        <f t="shared" ca="1" si="8"/>
        <v>0.2821177094012946</v>
      </c>
    </row>
    <row r="137" spans="12:16" s="23" customFormat="1" ht="13.8">
      <c r="L137" s="23">
        <v>134</v>
      </c>
      <c r="M137" s="23">
        <f ca="1"/>
        <v>54651.687573780735</v>
      </c>
      <c r="N137" s="25">
        <f t="shared" si="6"/>
        <v>244354.99000000005</v>
      </c>
      <c r="O137" s="25">
        <f t="shared" ca="1" si="7"/>
        <v>1</v>
      </c>
      <c r="P137" s="25">
        <f t="shared" ca="1" si="8"/>
        <v>0.77634306721634483</v>
      </c>
    </row>
    <row r="138" spans="12:16" s="23" customFormat="1" ht="13.8">
      <c r="L138" s="33">
        <v>135</v>
      </c>
      <c r="M138" s="23">
        <f ca="1"/>
        <v>358611.50695129024</v>
      </c>
      <c r="N138" s="25">
        <f t="shared" si="6"/>
        <v>244354.99000000005</v>
      </c>
      <c r="O138" s="25">
        <f t="shared" ca="1" si="7"/>
        <v>0</v>
      </c>
      <c r="P138" s="25">
        <f t="shared" ca="1" si="8"/>
        <v>0</v>
      </c>
    </row>
    <row r="139" spans="12:16" s="23" customFormat="1" ht="13.8">
      <c r="L139" s="23">
        <v>136</v>
      </c>
      <c r="M139" s="23">
        <f ca="1"/>
        <v>160154.47287674446</v>
      </c>
      <c r="N139" s="25">
        <f t="shared" si="6"/>
        <v>244354.99000000005</v>
      </c>
      <c r="O139" s="25">
        <f t="shared" ca="1" si="7"/>
        <v>1</v>
      </c>
      <c r="P139" s="25">
        <f t="shared" ca="1" si="8"/>
        <v>0.3445827610201681</v>
      </c>
    </row>
    <row r="140" spans="12:16" s="23" customFormat="1" ht="13.8">
      <c r="L140" s="33">
        <v>137</v>
      </c>
      <c r="M140" s="23">
        <f ca="1"/>
        <v>124056.45045526896</v>
      </c>
      <c r="N140" s="25">
        <f t="shared" si="6"/>
        <v>244354.99000000005</v>
      </c>
      <c r="O140" s="25">
        <f t="shared" ca="1" si="7"/>
        <v>1</v>
      </c>
      <c r="P140" s="25">
        <f t="shared" ca="1" si="8"/>
        <v>0.49231055009243341</v>
      </c>
    </row>
    <row r="141" spans="12:16" s="23" customFormat="1" ht="13.8">
      <c r="L141" s="23">
        <v>138</v>
      </c>
      <c r="M141" s="23">
        <f ca="1"/>
        <v>97988.445558511172</v>
      </c>
      <c r="N141" s="25">
        <f t="shared" si="6"/>
        <v>244354.99000000005</v>
      </c>
      <c r="O141" s="25">
        <f t="shared" ca="1" si="7"/>
        <v>1</v>
      </c>
      <c r="P141" s="25">
        <f t="shared" ca="1" si="8"/>
        <v>0.59899142817377637</v>
      </c>
    </row>
    <row r="142" spans="12:16" s="23" customFormat="1" ht="13.8">
      <c r="L142" s="33">
        <v>139</v>
      </c>
      <c r="M142" s="23">
        <f ca="1"/>
        <v>237841.38100195024</v>
      </c>
      <c r="N142" s="25">
        <f t="shared" si="6"/>
        <v>244354.99000000005</v>
      </c>
      <c r="O142" s="25">
        <f t="shared" ca="1" si="7"/>
        <v>1</v>
      </c>
      <c r="P142" s="25">
        <f t="shared" ca="1" si="8"/>
        <v>2.6656337151329736E-2</v>
      </c>
    </row>
    <row r="143" spans="12:16" s="23" customFormat="1" ht="13.8">
      <c r="L143" s="23">
        <v>140</v>
      </c>
      <c r="M143" s="23">
        <f ca="1"/>
        <v>53904.417279442328</v>
      </c>
      <c r="N143" s="25">
        <f t="shared" si="6"/>
        <v>244354.99000000005</v>
      </c>
      <c r="O143" s="25">
        <f t="shared" ca="1" si="7"/>
        <v>1</v>
      </c>
      <c r="P143" s="25">
        <f t="shared" ca="1" si="8"/>
        <v>0.77940120118094447</v>
      </c>
    </row>
    <row r="144" spans="12:16" s="23" customFormat="1" ht="13.8">
      <c r="L144" s="33">
        <v>141</v>
      </c>
      <c r="M144" s="23">
        <f ca="1"/>
        <v>120851.61694909184</v>
      </c>
      <c r="N144" s="25">
        <f t="shared" si="6"/>
        <v>244354.99000000005</v>
      </c>
      <c r="O144" s="25">
        <f t="shared" ca="1" si="7"/>
        <v>1</v>
      </c>
      <c r="P144" s="25">
        <f t="shared" ca="1" si="8"/>
        <v>0.50542603222839111</v>
      </c>
    </row>
    <row r="145" spans="12:16" s="23" customFormat="1" ht="13.8">
      <c r="L145" s="23">
        <v>142</v>
      </c>
      <c r="M145" s="23">
        <f ca="1"/>
        <v>79789.915104227926</v>
      </c>
      <c r="N145" s="25">
        <f t="shared" si="6"/>
        <v>244354.99000000005</v>
      </c>
      <c r="O145" s="25">
        <f t="shared" ca="1" si="7"/>
        <v>1</v>
      </c>
      <c r="P145" s="25">
        <f t="shared" ca="1" si="8"/>
        <v>0.67346721626504169</v>
      </c>
    </row>
    <row r="146" spans="12:16" s="23" customFormat="1" ht="13.8">
      <c r="L146" s="33">
        <v>143</v>
      </c>
      <c r="M146" s="23">
        <f ca="1"/>
        <v>144308.44417153418</v>
      </c>
      <c r="N146" s="25">
        <f t="shared" si="6"/>
        <v>244354.99000000005</v>
      </c>
      <c r="O146" s="25">
        <f t="shared" ca="1" si="7"/>
        <v>1</v>
      </c>
      <c r="P146" s="25">
        <f t="shared" ca="1" si="8"/>
        <v>0.4094311551749602</v>
      </c>
    </row>
    <row r="147" spans="12:16" s="23" customFormat="1" ht="13.8">
      <c r="L147" s="23">
        <v>144</v>
      </c>
      <c r="M147" s="23">
        <f ca="1"/>
        <v>46415.670603670384</v>
      </c>
      <c r="N147" s="25">
        <f t="shared" si="6"/>
        <v>244354.99000000005</v>
      </c>
      <c r="O147" s="25">
        <f t="shared" ca="1" si="7"/>
        <v>1</v>
      </c>
      <c r="P147" s="25">
        <f t="shared" ca="1" si="8"/>
        <v>0.81004819830497277</v>
      </c>
    </row>
    <row r="148" spans="12:16" s="23" customFormat="1" ht="13.8">
      <c r="L148" s="33">
        <v>145</v>
      </c>
      <c r="M148" s="23">
        <f ca="1"/>
        <v>148248.14345862233</v>
      </c>
      <c r="N148" s="25">
        <f t="shared" si="6"/>
        <v>244354.99000000005</v>
      </c>
      <c r="O148" s="25">
        <f t="shared" ca="1" si="7"/>
        <v>1</v>
      </c>
      <c r="P148" s="25">
        <f t="shared" ca="1" si="8"/>
        <v>0.39330830338835193</v>
      </c>
    </row>
    <row r="149" spans="12:16" s="23" customFormat="1" ht="13.8">
      <c r="L149" s="23">
        <v>146</v>
      </c>
      <c r="M149" s="23">
        <f ca="1"/>
        <v>-19928.449759944684</v>
      </c>
      <c r="N149" s="25">
        <f t="shared" si="6"/>
        <v>244354.99000000005</v>
      </c>
      <c r="O149" s="25">
        <f t="shared" ca="1" si="7"/>
        <v>1</v>
      </c>
      <c r="P149" s="25">
        <f t="shared" ca="1" si="8"/>
        <v>1.0815553214605713</v>
      </c>
    </row>
    <row r="150" spans="12:16" s="23" customFormat="1" ht="13.8">
      <c r="L150" s="33">
        <v>147</v>
      </c>
      <c r="M150" s="23">
        <f ca="1"/>
        <v>208551.26448323726</v>
      </c>
      <c r="N150" s="25">
        <f t="shared" si="6"/>
        <v>244354.99000000005</v>
      </c>
      <c r="O150" s="25">
        <f t="shared" ca="1" si="7"/>
        <v>1</v>
      </c>
      <c r="P150" s="25">
        <f t="shared" ca="1" si="8"/>
        <v>0.14652340644552739</v>
      </c>
    </row>
    <row r="151" spans="12:16" s="23" customFormat="1" ht="13.8">
      <c r="L151" s="23">
        <v>148</v>
      </c>
      <c r="M151" s="23">
        <f ca="1"/>
        <v>184828.61767339762</v>
      </c>
      <c r="N151" s="25">
        <f t="shared" si="6"/>
        <v>244354.99000000005</v>
      </c>
      <c r="O151" s="25">
        <f t="shared" ca="1" si="7"/>
        <v>1</v>
      </c>
      <c r="P151" s="25">
        <f t="shared" ca="1" si="8"/>
        <v>0.24360612536131315</v>
      </c>
    </row>
    <row r="152" spans="12:16" s="23" customFormat="1" ht="13.8">
      <c r="L152" s="33">
        <v>149</v>
      </c>
      <c r="M152" s="23">
        <f ca="1"/>
        <v>297025.93421184237</v>
      </c>
      <c r="N152" s="25">
        <f t="shared" si="6"/>
        <v>244354.99000000005</v>
      </c>
      <c r="O152" s="25">
        <f t="shared" ca="1" si="7"/>
        <v>0</v>
      </c>
      <c r="P152" s="25">
        <f t="shared" ca="1" si="8"/>
        <v>0</v>
      </c>
    </row>
    <row r="153" spans="12:16" s="23" customFormat="1" ht="13.8">
      <c r="L153" s="23">
        <v>150</v>
      </c>
      <c r="M153" s="23">
        <f ca="1"/>
        <v>85871.326320793116</v>
      </c>
      <c r="N153" s="25">
        <f t="shared" si="6"/>
        <v>244354.99000000005</v>
      </c>
      <c r="O153" s="25">
        <f t="shared" ca="1" si="7"/>
        <v>1</v>
      </c>
      <c r="P153" s="25">
        <f t="shared" ca="1" si="8"/>
        <v>0.64857960821347205</v>
      </c>
    </row>
    <row r="154" spans="12:16" s="23" customFormat="1" ht="13.8">
      <c r="L154" s="33">
        <v>151</v>
      </c>
      <c r="M154" s="23">
        <f ca="1"/>
        <v>225723.47964186425</v>
      </c>
      <c r="N154" s="25">
        <f t="shared" si="6"/>
        <v>244354.99000000005</v>
      </c>
      <c r="O154" s="25">
        <f t="shared" ca="1" si="7"/>
        <v>1</v>
      </c>
      <c r="P154" s="25">
        <f t="shared" ca="1" si="8"/>
        <v>7.6247717953849825E-2</v>
      </c>
    </row>
    <row r="155" spans="12:16" s="23" customFormat="1" ht="13.8">
      <c r="L155" s="23">
        <v>152</v>
      </c>
      <c r="M155" s="23">
        <f ca="1"/>
        <v>331360.52374449203</v>
      </c>
      <c r="N155" s="25">
        <f t="shared" si="6"/>
        <v>244354.99000000005</v>
      </c>
      <c r="O155" s="25">
        <f t="shared" ca="1" si="7"/>
        <v>0</v>
      </c>
      <c r="P155" s="25">
        <f t="shared" ca="1" si="8"/>
        <v>0</v>
      </c>
    </row>
    <row r="156" spans="12:16" s="23" customFormat="1" ht="13.8">
      <c r="L156" s="33">
        <v>153</v>
      </c>
      <c r="M156" s="23">
        <f ca="1"/>
        <v>-11098.768548670865</v>
      </c>
      <c r="N156" s="25">
        <f t="shared" si="6"/>
        <v>244354.99000000005</v>
      </c>
      <c r="O156" s="25">
        <f t="shared" ca="1" si="7"/>
        <v>1</v>
      </c>
      <c r="P156" s="25">
        <f t="shared" ca="1" si="8"/>
        <v>1.0454206748496147</v>
      </c>
    </row>
    <row r="157" spans="12:16" s="23" customFormat="1" ht="13.8">
      <c r="L157" s="23">
        <v>154</v>
      </c>
      <c r="M157" s="23">
        <f ca="1"/>
        <v>70089.67679515222</v>
      </c>
      <c r="N157" s="25">
        <f t="shared" si="6"/>
        <v>244354.99000000005</v>
      </c>
      <c r="O157" s="25">
        <f t="shared" ca="1" si="7"/>
        <v>1</v>
      </c>
      <c r="P157" s="25">
        <f t="shared" ca="1" si="8"/>
        <v>0.71316453658199408</v>
      </c>
    </row>
    <row r="158" spans="12:16" s="23" customFormat="1" ht="13.8">
      <c r="L158" s="33">
        <v>155</v>
      </c>
      <c r="M158" s="23">
        <f ca="1"/>
        <v>53970.952234124903</v>
      </c>
      <c r="N158" s="25">
        <f t="shared" si="6"/>
        <v>244354.99000000005</v>
      </c>
      <c r="O158" s="25">
        <f t="shared" ca="1" si="7"/>
        <v>1</v>
      </c>
      <c r="P158" s="25">
        <f t="shared" ca="1" si="8"/>
        <v>0.77912891308614196</v>
      </c>
    </row>
    <row r="159" spans="12:16" s="23" customFormat="1" ht="13.8">
      <c r="L159" s="23">
        <v>156</v>
      </c>
      <c r="M159" s="23">
        <f ca="1"/>
        <v>117707.97615362173</v>
      </c>
      <c r="N159" s="25">
        <f t="shared" si="6"/>
        <v>244354.99000000005</v>
      </c>
      <c r="O159" s="25">
        <f t="shared" ca="1" si="7"/>
        <v>1</v>
      </c>
      <c r="P159" s="25">
        <f t="shared" ca="1" si="8"/>
        <v>0.51829108890462317</v>
      </c>
    </row>
    <row r="160" spans="12:16" s="23" customFormat="1" ht="13.8">
      <c r="L160" s="33">
        <v>157</v>
      </c>
      <c r="M160" s="23">
        <f ca="1"/>
        <v>111979.31346358599</v>
      </c>
      <c r="N160" s="25">
        <f t="shared" si="6"/>
        <v>244354.99000000005</v>
      </c>
      <c r="O160" s="25">
        <f t="shared" ca="1" si="7"/>
        <v>1</v>
      </c>
      <c r="P160" s="25">
        <f t="shared" ca="1" si="8"/>
        <v>0.54173510652028856</v>
      </c>
    </row>
    <row r="161" spans="12:16" s="23" customFormat="1" ht="13.8">
      <c r="L161" s="23">
        <v>158</v>
      </c>
      <c r="M161" s="23">
        <f ca="1"/>
        <v>210373.22365183933</v>
      </c>
      <c r="N161" s="25">
        <f t="shared" si="6"/>
        <v>244354.99000000005</v>
      </c>
      <c r="O161" s="25">
        <f t="shared" ca="1" si="7"/>
        <v>1</v>
      </c>
      <c r="P161" s="25">
        <f t="shared" ca="1" si="8"/>
        <v>0.13906720852379856</v>
      </c>
    </row>
    <row r="162" spans="12:16" s="23" customFormat="1" ht="13.8">
      <c r="L162" s="33">
        <v>159</v>
      </c>
      <c r="M162" s="23">
        <f ca="1"/>
        <v>266027.90604154224</v>
      </c>
      <c r="N162" s="25">
        <f t="shared" si="6"/>
        <v>244354.99000000005</v>
      </c>
      <c r="O162" s="25">
        <f t="shared" ca="1" si="7"/>
        <v>0</v>
      </c>
      <c r="P162" s="25">
        <f t="shared" ca="1" si="8"/>
        <v>0</v>
      </c>
    </row>
    <row r="163" spans="12:16" s="23" customFormat="1" ht="13.8">
      <c r="L163" s="23">
        <v>160</v>
      </c>
      <c r="M163" s="23">
        <f ca="1"/>
        <v>-187584.09452088992</v>
      </c>
      <c r="N163" s="25">
        <f t="shared" si="6"/>
        <v>244354.99000000005</v>
      </c>
      <c r="O163" s="25">
        <f t="shared" ca="1" si="7"/>
        <v>1</v>
      </c>
      <c r="P163" s="25">
        <f t="shared" ca="1" si="8"/>
        <v>1.7676704065707431</v>
      </c>
    </row>
    <row r="164" spans="12:16" s="23" customFormat="1" ht="13.8">
      <c r="L164" s="33">
        <v>161</v>
      </c>
      <c r="M164" s="23">
        <f ca="1"/>
        <v>284779.10077983164</v>
      </c>
      <c r="N164" s="25">
        <f t="shared" si="6"/>
        <v>244354.99000000005</v>
      </c>
      <c r="O164" s="25">
        <f t="shared" ca="1" si="7"/>
        <v>0</v>
      </c>
      <c r="P164" s="25">
        <f t="shared" ca="1" si="8"/>
        <v>0</v>
      </c>
    </row>
    <row r="165" spans="12:16" s="23" customFormat="1" ht="13.8">
      <c r="L165" s="23">
        <v>162</v>
      </c>
      <c r="M165" s="23">
        <f ca="1"/>
        <v>87153.281239468866</v>
      </c>
      <c r="N165" s="25">
        <f t="shared" si="6"/>
        <v>244354.99000000005</v>
      </c>
      <c r="O165" s="25">
        <f t="shared" ca="1" si="7"/>
        <v>1</v>
      </c>
      <c r="P165" s="25">
        <f t="shared" ca="1" si="8"/>
        <v>0.64333332730602777</v>
      </c>
    </row>
    <row r="166" spans="12:16" s="23" customFormat="1" ht="13.8">
      <c r="L166" s="33">
        <v>163</v>
      </c>
      <c r="M166" s="23">
        <f ca="1"/>
        <v>230555.36978384765</v>
      </c>
      <c r="N166" s="25">
        <f t="shared" si="6"/>
        <v>244354.99000000005</v>
      </c>
      <c r="O166" s="25">
        <f t="shared" ca="1" si="7"/>
        <v>1</v>
      </c>
      <c r="P166" s="25">
        <f t="shared" ca="1" si="8"/>
        <v>5.6473658328616068E-2</v>
      </c>
    </row>
    <row r="167" spans="12:16" s="23" customFormat="1" ht="13.8">
      <c r="L167" s="23">
        <v>164</v>
      </c>
      <c r="M167" s="23">
        <f ca="1"/>
        <v>104710.95324899442</v>
      </c>
      <c r="N167" s="25">
        <f t="shared" si="6"/>
        <v>244354.99000000005</v>
      </c>
      <c r="O167" s="25">
        <f t="shared" ca="1" si="7"/>
        <v>1</v>
      </c>
      <c r="P167" s="25">
        <f t="shared" ca="1" si="8"/>
        <v>0.57148019261241845</v>
      </c>
    </row>
    <row r="168" spans="12:16" s="23" customFormat="1" ht="13.8">
      <c r="L168" s="33">
        <v>165</v>
      </c>
      <c r="M168" s="23">
        <f ca="1"/>
        <v>13292.88033107935</v>
      </c>
      <c r="N168" s="25">
        <f t="shared" si="6"/>
        <v>244354.99000000005</v>
      </c>
      <c r="O168" s="25">
        <f t="shared" ca="1" si="7"/>
        <v>1</v>
      </c>
      <c r="P168" s="25">
        <f t="shared" ca="1" si="8"/>
        <v>0.94560012737583399</v>
      </c>
    </row>
    <row r="169" spans="12:16" s="23" customFormat="1" ht="13.8">
      <c r="L169" s="23">
        <v>166</v>
      </c>
      <c r="M169" s="23">
        <f ca="1"/>
        <v>-54242.885236898655</v>
      </c>
      <c r="N169" s="25">
        <f t="shared" si="6"/>
        <v>244354.99000000005</v>
      </c>
      <c r="O169" s="25">
        <f t="shared" ca="1" si="7"/>
        <v>1</v>
      </c>
      <c r="P169" s="25">
        <f t="shared" ca="1" si="8"/>
        <v>1.221983947358303</v>
      </c>
    </row>
    <row r="170" spans="12:16" s="23" customFormat="1" ht="13.8">
      <c r="L170" s="33">
        <v>167</v>
      </c>
      <c r="M170" s="23">
        <f ca="1"/>
        <v>-30943.868974657347</v>
      </c>
      <c r="N170" s="25">
        <f t="shared" si="6"/>
        <v>244354.99000000005</v>
      </c>
      <c r="O170" s="25">
        <f t="shared" ca="1" si="7"/>
        <v>1</v>
      </c>
      <c r="P170" s="25">
        <f t="shared" ca="1" si="8"/>
        <v>1.1266348969368594</v>
      </c>
    </row>
    <row r="171" spans="12:16" s="23" customFormat="1" ht="13.8">
      <c r="L171" s="23">
        <v>168</v>
      </c>
      <c r="M171" s="23">
        <f ca="1"/>
        <v>115642.08776496742</v>
      </c>
      <c r="N171" s="25">
        <f t="shared" si="6"/>
        <v>244354.99000000005</v>
      </c>
      <c r="O171" s="25">
        <f t="shared" ca="1" si="7"/>
        <v>1</v>
      </c>
      <c r="P171" s="25">
        <f t="shared" ca="1" si="8"/>
        <v>0.52674554440256205</v>
      </c>
    </row>
    <row r="172" spans="12:16" s="23" customFormat="1" ht="13.8">
      <c r="L172" s="33">
        <v>169</v>
      </c>
      <c r="M172" s="23">
        <f ca="1"/>
        <v>130041.89079066053</v>
      </c>
      <c r="N172" s="25">
        <f t="shared" si="6"/>
        <v>244354.99000000005</v>
      </c>
      <c r="O172" s="25">
        <f t="shared" ca="1" si="7"/>
        <v>1</v>
      </c>
      <c r="P172" s="25">
        <f t="shared" ca="1" si="8"/>
        <v>0.46781569391866928</v>
      </c>
    </row>
    <row r="173" spans="12:16" s="23" customFormat="1" ht="13.8">
      <c r="L173" s="23">
        <v>170</v>
      </c>
      <c r="M173" s="23">
        <f ca="1"/>
        <v>3271.5521453322049</v>
      </c>
      <c r="N173" s="25">
        <f t="shared" si="6"/>
        <v>244354.99000000005</v>
      </c>
      <c r="O173" s="25">
        <f t="shared" ca="1" si="7"/>
        <v>1</v>
      </c>
      <c r="P173" s="25">
        <f t="shared" ca="1" si="8"/>
        <v>0.98661147805767246</v>
      </c>
    </row>
    <row r="174" spans="12:16" s="23" customFormat="1" ht="13.8">
      <c r="L174" s="33">
        <v>171</v>
      </c>
      <c r="M174" s="23">
        <f ca="1"/>
        <v>279972.83992450341</v>
      </c>
      <c r="N174" s="25">
        <f t="shared" si="6"/>
        <v>244354.99000000005</v>
      </c>
      <c r="O174" s="25">
        <f t="shared" ca="1" si="7"/>
        <v>0</v>
      </c>
      <c r="P174" s="25">
        <f t="shared" ca="1" si="8"/>
        <v>0</v>
      </c>
    </row>
    <row r="175" spans="12:16" s="23" customFormat="1" ht="13.8">
      <c r="L175" s="23">
        <v>172</v>
      </c>
      <c r="M175" s="23">
        <f ca="1"/>
        <v>202493.6557900591</v>
      </c>
      <c r="N175" s="25">
        <f t="shared" si="6"/>
        <v>244354.99000000005</v>
      </c>
      <c r="O175" s="25">
        <f t="shared" ca="1" si="7"/>
        <v>1</v>
      </c>
      <c r="P175" s="25">
        <f t="shared" ca="1" si="8"/>
        <v>0.17131360489074088</v>
      </c>
    </row>
    <row r="176" spans="12:16" s="23" customFormat="1" ht="13.8">
      <c r="L176" s="33">
        <v>173</v>
      </c>
      <c r="M176" s="23">
        <f ca="1"/>
        <v>148170.29713882285</v>
      </c>
      <c r="N176" s="25">
        <f t="shared" si="6"/>
        <v>244354.99000000005</v>
      </c>
      <c r="O176" s="25">
        <f t="shared" ca="1" si="7"/>
        <v>1</v>
      </c>
      <c r="P176" s="25">
        <f t="shared" ca="1" si="8"/>
        <v>0.39362688218962577</v>
      </c>
    </row>
    <row r="177" spans="12:16" s="23" customFormat="1" ht="13.8">
      <c r="L177" s="23">
        <v>174</v>
      </c>
      <c r="M177" s="23">
        <f ca="1"/>
        <v>-17613.400244929759</v>
      </c>
      <c r="N177" s="25">
        <f t="shared" si="6"/>
        <v>244354.99000000005</v>
      </c>
      <c r="O177" s="25">
        <f t="shared" ca="1" si="7"/>
        <v>1</v>
      </c>
      <c r="P177" s="25">
        <f t="shared" ca="1" si="8"/>
        <v>1.0720811972979547</v>
      </c>
    </row>
    <row r="178" spans="12:16" s="23" customFormat="1" ht="13.8">
      <c r="L178" s="33">
        <v>175</v>
      </c>
      <c r="M178" s="23">
        <f ca="1"/>
        <v>193387.58994899708</v>
      </c>
      <c r="N178" s="25">
        <f t="shared" si="6"/>
        <v>244354.99000000005</v>
      </c>
      <c r="O178" s="25">
        <f t="shared" ca="1" si="7"/>
        <v>1</v>
      </c>
      <c r="P178" s="25">
        <f t="shared" ca="1" si="8"/>
        <v>0.20857932981439406</v>
      </c>
    </row>
    <row r="179" spans="12:16" s="23" customFormat="1" ht="13.8">
      <c r="L179" s="23">
        <v>176</v>
      </c>
      <c r="M179" s="23">
        <f ca="1"/>
        <v>182602.37405648935</v>
      </c>
      <c r="N179" s="25">
        <f t="shared" si="6"/>
        <v>244354.99000000005</v>
      </c>
      <c r="O179" s="25">
        <f t="shared" ca="1" si="7"/>
        <v>1</v>
      </c>
      <c r="P179" s="25">
        <f t="shared" ca="1" si="8"/>
        <v>0.25271681967088411</v>
      </c>
    </row>
    <row r="180" spans="12:16" s="23" customFormat="1" ht="13.8">
      <c r="L180" s="33">
        <v>177</v>
      </c>
      <c r="M180" s="23">
        <f ca="1"/>
        <v>208364.42665525567</v>
      </c>
      <c r="N180" s="25">
        <f t="shared" si="6"/>
        <v>244354.99000000005</v>
      </c>
      <c r="O180" s="25">
        <f t="shared" ca="1" si="7"/>
        <v>1</v>
      </c>
      <c r="P180" s="25">
        <f t="shared" ca="1" si="8"/>
        <v>0.14728802282590742</v>
      </c>
    </row>
    <row r="181" spans="12:16" s="23" customFormat="1" ht="13.8">
      <c r="L181" s="23">
        <v>178</v>
      </c>
      <c r="M181" s="23">
        <f ca="1"/>
        <v>95059.718454941365</v>
      </c>
      <c r="N181" s="25">
        <f t="shared" si="6"/>
        <v>244354.99000000005</v>
      </c>
      <c r="O181" s="25">
        <f t="shared" ca="1" si="7"/>
        <v>1</v>
      </c>
      <c r="P181" s="25">
        <f t="shared" ca="1" si="8"/>
        <v>0.61097697061581868</v>
      </c>
    </row>
    <row r="182" spans="12:16" s="23" customFormat="1" ht="13.8">
      <c r="L182" s="33">
        <v>179</v>
      </c>
      <c r="M182" s="23">
        <f ca="1"/>
        <v>81841.927886776321</v>
      </c>
      <c r="N182" s="25">
        <f t="shared" si="6"/>
        <v>244354.99000000005</v>
      </c>
      <c r="O182" s="25">
        <f t="shared" ca="1" si="7"/>
        <v>1</v>
      </c>
      <c r="P182" s="25">
        <f t="shared" ca="1" si="8"/>
        <v>0.66506954539059615</v>
      </c>
    </row>
    <row r="183" spans="12:16" s="23" customFormat="1" ht="13.8">
      <c r="L183" s="23">
        <v>180</v>
      </c>
      <c r="M183" s="23">
        <f ca="1"/>
        <v>156446.54923013598</v>
      </c>
      <c r="N183" s="25">
        <f t="shared" si="6"/>
        <v>244354.99000000005</v>
      </c>
      <c r="O183" s="25">
        <f t="shared" ca="1" si="7"/>
        <v>1</v>
      </c>
      <c r="P183" s="25">
        <f t="shared" ca="1" si="8"/>
        <v>0.35975709262112493</v>
      </c>
    </row>
    <row r="184" spans="12:16" s="23" customFormat="1" ht="13.8">
      <c r="L184" s="33">
        <v>181</v>
      </c>
      <c r="M184" s="23">
        <f ca="1"/>
        <v>154759.95290886931</v>
      </c>
      <c r="N184" s="25">
        <f t="shared" si="6"/>
        <v>244354.99000000005</v>
      </c>
      <c r="O184" s="25">
        <f t="shared" ca="1" si="7"/>
        <v>1</v>
      </c>
      <c r="P184" s="25">
        <f t="shared" ca="1" si="8"/>
        <v>0.3666593307185203</v>
      </c>
    </row>
    <row r="185" spans="12:16" s="23" customFormat="1" ht="13.8">
      <c r="L185" s="23">
        <v>182</v>
      </c>
      <c r="M185" s="23">
        <f ca="1"/>
        <v>31948.539388968846</v>
      </c>
      <c r="N185" s="25">
        <f t="shared" si="6"/>
        <v>244354.99000000005</v>
      </c>
      <c r="O185" s="25">
        <f t="shared" ca="1" si="7"/>
        <v>1</v>
      </c>
      <c r="P185" s="25">
        <f t="shared" ca="1" si="8"/>
        <v>0.86925358312114342</v>
      </c>
    </row>
    <row r="186" spans="12:16" s="23" customFormat="1" ht="13.8">
      <c r="L186" s="33">
        <v>183</v>
      </c>
      <c r="M186" s="23">
        <f ca="1"/>
        <v>69231.096333433277</v>
      </c>
      <c r="N186" s="25">
        <f t="shared" si="6"/>
        <v>244354.99000000005</v>
      </c>
      <c r="O186" s="25">
        <f t="shared" ca="1" si="7"/>
        <v>1</v>
      </c>
      <c r="P186" s="25">
        <f t="shared" ca="1" si="8"/>
        <v>0.71667819702215507</v>
      </c>
    </row>
    <row r="187" spans="12:16" s="23" customFormat="1" ht="13.8">
      <c r="L187" s="23">
        <v>184</v>
      </c>
      <c r="M187" s="23">
        <f ca="1"/>
        <v>238324.65663968801</v>
      </c>
      <c r="N187" s="25">
        <f t="shared" si="6"/>
        <v>244354.99000000005</v>
      </c>
      <c r="O187" s="25">
        <f t="shared" ca="1" si="7"/>
        <v>1</v>
      </c>
      <c r="P187" s="25">
        <f t="shared" ca="1" si="8"/>
        <v>2.4678576690052613E-2</v>
      </c>
    </row>
    <row r="188" spans="12:16" s="23" customFormat="1" ht="13.8">
      <c r="L188" s="33">
        <v>185</v>
      </c>
      <c r="M188" s="23">
        <f ca="1"/>
        <v>179704.31095842339</v>
      </c>
      <c r="N188" s="25">
        <f t="shared" si="6"/>
        <v>244354.99000000005</v>
      </c>
      <c r="O188" s="25">
        <f t="shared" ca="1" si="7"/>
        <v>1</v>
      </c>
      <c r="P188" s="25">
        <f t="shared" ca="1" si="8"/>
        <v>0.26457687253113449</v>
      </c>
    </row>
    <row r="189" spans="12:16" s="23" customFormat="1" ht="13.8">
      <c r="L189" s="23">
        <v>186</v>
      </c>
      <c r="M189" s="23">
        <f ca="1"/>
        <v>142342.32229521038</v>
      </c>
      <c r="N189" s="25">
        <f t="shared" si="6"/>
        <v>244354.99000000005</v>
      </c>
      <c r="O189" s="25">
        <f t="shared" ca="1" si="7"/>
        <v>1</v>
      </c>
      <c r="P189" s="25">
        <f t="shared" ca="1" si="8"/>
        <v>0.41747732552868944</v>
      </c>
    </row>
    <row r="190" spans="12:16" s="23" customFormat="1" ht="13.8">
      <c r="L190" s="33">
        <v>187</v>
      </c>
      <c r="M190" s="23">
        <f ca="1"/>
        <v>226884.27744591967</v>
      </c>
      <c r="N190" s="25">
        <f t="shared" si="6"/>
        <v>244354.99000000005</v>
      </c>
      <c r="O190" s="25">
        <f t="shared" ca="1" si="7"/>
        <v>1</v>
      </c>
      <c r="P190" s="25">
        <f t="shared" ca="1" si="8"/>
        <v>7.1497261234895915E-2</v>
      </c>
    </row>
    <row r="191" spans="12:16" s="23" customFormat="1" ht="13.8">
      <c r="L191" s="23">
        <v>188</v>
      </c>
      <c r="M191" s="23">
        <f ca="1"/>
        <v>-2573.5660093641836</v>
      </c>
      <c r="N191" s="25">
        <f t="shared" si="6"/>
        <v>244354.99000000005</v>
      </c>
      <c r="O191" s="25">
        <f t="shared" ca="1" si="7"/>
        <v>1</v>
      </c>
      <c r="P191" s="25">
        <f t="shared" ca="1" si="8"/>
        <v>1.0105320787979988</v>
      </c>
    </row>
    <row r="192" spans="12:16" s="23" customFormat="1" ht="13.8">
      <c r="L192" s="33">
        <v>189</v>
      </c>
      <c r="M192" s="23">
        <f ca="1"/>
        <v>191536.63051057389</v>
      </c>
      <c r="N192" s="25">
        <f t="shared" si="6"/>
        <v>244354.99000000005</v>
      </c>
      <c r="O192" s="25">
        <f t="shared" ca="1" si="7"/>
        <v>1</v>
      </c>
      <c r="P192" s="25">
        <f t="shared" ca="1" si="8"/>
        <v>0.21615420863484783</v>
      </c>
    </row>
    <row r="193" spans="12:16" s="23" customFormat="1" ht="13.8">
      <c r="L193" s="23">
        <v>190</v>
      </c>
      <c r="M193" s="23">
        <f ca="1"/>
        <v>118293.55315467299</v>
      </c>
      <c r="N193" s="25">
        <f t="shared" si="6"/>
        <v>244354.99000000005</v>
      </c>
      <c r="O193" s="25">
        <f t="shared" ca="1" si="7"/>
        <v>1</v>
      </c>
      <c r="P193" s="25">
        <f t="shared" ca="1" si="8"/>
        <v>0.51589466965797193</v>
      </c>
    </row>
    <row r="194" spans="12:16" s="23" customFormat="1" ht="13.8">
      <c r="L194" s="33">
        <v>191</v>
      </c>
      <c r="M194" s="23">
        <f ca="1"/>
        <v>19830.004142726706</v>
      </c>
      <c r="N194" s="25">
        <f t="shared" si="6"/>
        <v>244354.99000000005</v>
      </c>
      <c r="O194" s="25">
        <f t="shared" ca="1" si="7"/>
        <v>1</v>
      </c>
      <c r="P194" s="25">
        <f t="shared" ca="1" si="8"/>
        <v>0.91884755804362039</v>
      </c>
    </row>
    <row r="195" spans="12:16" s="23" customFormat="1" ht="13.8">
      <c r="L195" s="23">
        <v>192</v>
      </c>
      <c r="M195" s="23">
        <f ca="1"/>
        <v>53547.186911197823</v>
      </c>
      <c r="N195" s="25">
        <f t="shared" si="6"/>
        <v>244354.99000000005</v>
      </c>
      <c r="O195" s="25">
        <f t="shared" ca="1" si="7"/>
        <v>1</v>
      </c>
      <c r="P195" s="25">
        <f t="shared" ca="1" si="8"/>
        <v>0.78086313313594369</v>
      </c>
    </row>
    <row r="196" spans="12:16" s="23" customFormat="1" ht="13.8">
      <c r="L196" s="33">
        <v>193</v>
      </c>
      <c r="M196" s="23">
        <f ca="1"/>
        <v>212227.55460005149</v>
      </c>
      <c r="N196" s="25">
        <f t="shared" ref="N196:N259" si="9">($C$22+$E$22)*1.1</f>
        <v>244354.99000000005</v>
      </c>
      <c r="O196" s="25">
        <f t="shared" ca="1" si="7"/>
        <v>1</v>
      </c>
      <c r="P196" s="25">
        <f t="shared" ca="1" si="8"/>
        <v>0.13147853211407123</v>
      </c>
    </row>
    <row r="197" spans="12:16" s="23" customFormat="1" ht="13.8">
      <c r="L197" s="23">
        <v>194</v>
      </c>
      <c r="M197" s="23">
        <f ca="1"/>
        <v>-54847.662875123809</v>
      </c>
      <c r="N197" s="25">
        <f t="shared" si="9"/>
        <v>244354.99000000005</v>
      </c>
      <c r="O197" s="25">
        <f t="shared" ref="O197:O260" ca="1" si="10">IF(M197&lt;N197,1,0)</f>
        <v>1</v>
      </c>
      <c r="P197" s="25">
        <f t="shared" ref="P197:P260" ca="1" si="11">MAX((N197-M197)/N197,0)</f>
        <v>1.224458943421306</v>
      </c>
    </row>
    <row r="198" spans="12:16" s="23" customFormat="1" ht="13.8">
      <c r="L198" s="33">
        <v>195</v>
      </c>
      <c r="M198" s="23">
        <f ca="1"/>
        <v>162674.29993126527</v>
      </c>
      <c r="N198" s="25">
        <f t="shared" si="9"/>
        <v>244354.99000000005</v>
      </c>
      <c r="O198" s="25">
        <f t="shared" ca="1" si="10"/>
        <v>1</v>
      </c>
      <c r="P198" s="25">
        <f t="shared" ca="1" si="11"/>
        <v>0.33427060388140534</v>
      </c>
    </row>
    <row r="199" spans="12:16" s="23" customFormat="1" ht="13.8">
      <c r="L199" s="23">
        <v>196</v>
      </c>
      <c r="M199" s="23">
        <f ca="1"/>
        <v>150296.07954120025</v>
      </c>
      <c r="N199" s="25">
        <f t="shared" si="9"/>
        <v>244354.99000000005</v>
      </c>
      <c r="O199" s="25">
        <f t="shared" ca="1" si="10"/>
        <v>1</v>
      </c>
      <c r="P199" s="25">
        <f t="shared" ca="1" si="11"/>
        <v>0.38492731602820873</v>
      </c>
    </row>
    <row r="200" spans="12:16" s="23" customFormat="1" ht="13.8">
      <c r="L200" s="33">
        <v>197</v>
      </c>
      <c r="M200" s="23">
        <f ca="1"/>
        <v>19473.893915965553</v>
      </c>
      <c r="N200" s="25">
        <f t="shared" si="9"/>
        <v>244354.99000000005</v>
      </c>
      <c r="O200" s="25">
        <f t="shared" ca="1" si="10"/>
        <v>1</v>
      </c>
      <c r="P200" s="25">
        <f t="shared" ca="1" si="11"/>
        <v>0.9203049059241003</v>
      </c>
    </row>
    <row r="201" spans="12:16" s="23" customFormat="1" ht="13.8">
      <c r="L201" s="23">
        <v>198</v>
      </c>
      <c r="M201" s="23">
        <f ca="1"/>
        <v>252078.05877309636</v>
      </c>
      <c r="N201" s="25">
        <f t="shared" si="9"/>
        <v>244354.99000000005</v>
      </c>
      <c r="O201" s="25">
        <f t="shared" ca="1" si="10"/>
        <v>0</v>
      </c>
      <c r="P201" s="25">
        <f t="shared" ca="1" si="11"/>
        <v>0</v>
      </c>
    </row>
    <row r="202" spans="12:16" s="23" customFormat="1" ht="13.8">
      <c r="L202" s="33">
        <v>199</v>
      </c>
      <c r="M202" s="23">
        <f ca="1"/>
        <v>192217.70516692824</v>
      </c>
      <c r="N202" s="25">
        <f t="shared" si="9"/>
        <v>244354.99000000005</v>
      </c>
      <c r="O202" s="25">
        <f t="shared" ca="1" si="10"/>
        <v>1</v>
      </c>
      <c r="P202" s="25">
        <f t="shared" ca="1" si="11"/>
        <v>0.21336697414311778</v>
      </c>
    </row>
    <row r="203" spans="12:16" s="23" customFormat="1" ht="13.8">
      <c r="L203" s="23">
        <v>200</v>
      </c>
      <c r="M203" s="23">
        <f ca="1"/>
        <v>339323.04062793544</v>
      </c>
      <c r="N203" s="25">
        <f t="shared" si="9"/>
        <v>244354.99000000005</v>
      </c>
      <c r="O203" s="25">
        <f t="shared" ca="1" si="10"/>
        <v>0</v>
      </c>
      <c r="P203" s="25">
        <f t="shared" ca="1" si="11"/>
        <v>0</v>
      </c>
    </row>
    <row r="204" spans="12:16" s="23" customFormat="1" ht="13.8">
      <c r="L204" s="33">
        <v>201</v>
      </c>
      <c r="M204" s="23">
        <f ca="1"/>
        <v>133270.06212932628</v>
      </c>
      <c r="N204" s="25">
        <f t="shared" si="9"/>
        <v>244354.99000000005</v>
      </c>
      <c r="O204" s="25">
        <f t="shared" ca="1" si="10"/>
        <v>1</v>
      </c>
      <c r="P204" s="25">
        <f t="shared" ca="1" si="11"/>
        <v>0.45460470388050495</v>
      </c>
    </row>
    <row r="205" spans="12:16" s="23" customFormat="1" ht="13.8">
      <c r="L205" s="23">
        <v>202</v>
      </c>
      <c r="M205" s="23">
        <f ca="1"/>
        <v>121336.74117668728</v>
      </c>
      <c r="N205" s="25">
        <f t="shared" si="9"/>
        <v>244354.99000000005</v>
      </c>
      <c r="O205" s="25">
        <f t="shared" ca="1" si="10"/>
        <v>1</v>
      </c>
      <c r="P205" s="25">
        <f t="shared" ca="1" si="11"/>
        <v>0.50344070658558171</v>
      </c>
    </row>
    <row r="206" spans="12:16" s="23" customFormat="1" ht="13.8">
      <c r="L206" s="33">
        <v>203</v>
      </c>
      <c r="M206" s="23">
        <f ca="1"/>
        <v>60587.19920444888</v>
      </c>
      <c r="N206" s="25">
        <f t="shared" si="9"/>
        <v>244354.99000000005</v>
      </c>
      <c r="O206" s="25">
        <f t="shared" ca="1" si="10"/>
        <v>1</v>
      </c>
      <c r="P206" s="25">
        <f t="shared" ca="1" si="11"/>
        <v>0.75205253960866991</v>
      </c>
    </row>
    <row r="207" spans="12:16" s="23" customFormat="1" ht="13.8">
      <c r="L207" s="23">
        <v>204</v>
      </c>
      <c r="M207" s="23">
        <f ca="1"/>
        <v>149550.06670008454</v>
      </c>
      <c r="N207" s="25">
        <f t="shared" si="9"/>
        <v>244354.99000000005</v>
      </c>
      <c r="O207" s="25">
        <f t="shared" ca="1" si="10"/>
        <v>1</v>
      </c>
      <c r="P207" s="25">
        <f t="shared" ca="1" si="11"/>
        <v>0.38798030398280586</v>
      </c>
    </row>
    <row r="208" spans="12:16" s="23" customFormat="1" ht="13.8">
      <c r="L208" s="33">
        <v>205</v>
      </c>
      <c r="M208" s="23">
        <f ca="1"/>
        <v>316389.63471653609</v>
      </c>
      <c r="N208" s="25">
        <f t="shared" si="9"/>
        <v>244354.99000000005</v>
      </c>
      <c r="O208" s="25">
        <f t="shared" ca="1" si="10"/>
        <v>0</v>
      </c>
      <c r="P208" s="25">
        <f t="shared" ca="1" si="11"/>
        <v>0</v>
      </c>
    </row>
    <row r="209" spans="12:16" s="23" customFormat="1" ht="13.8">
      <c r="L209" s="23">
        <v>206</v>
      </c>
      <c r="M209" s="23">
        <f ca="1"/>
        <v>256096.12141043201</v>
      </c>
      <c r="N209" s="25">
        <f t="shared" si="9"/>
        <v>244354.99000000005</v>
      </c>
      <c r="O209" s="25">
        <f t="shared" ca="1" si="10"/>
        <v>0</v>
      </c>
      <c r="P209" s="25">
        <f t="shared" ca="1" si="11"/>
        <v>0</v>
      </c>
    </row>
    <row r="210" spans="12:16" s="23" customFormat="1" ht="13.8">
      <c r="L210" s="33">
        <v>207</v>
      </c>
      <c r="M210" s="23">
        <f ca="1"/>
        <v>169764.94757199503</v>
      </c>
      <c r="N210" s="25">
        <f t="shared" si="9"/>
        <v>244354.99000000005</v>
      </c>
      <c r="O210" s="25">
        <f t="shared" ca="1" si="10"/>
        <v>1</v>
      </c>
      <c r="P210" s="25">
        <f t="shared" ca="1" si="11"/>
        <v>0.30525278991849114</v>
      </c>
    </row>
    <row r="211" spans="12:16" s="23" customFormat="1" ht="13.8">
      <c r="L211" s="23">
        <v>208</v>
      </c>
      <c r="M211" s="23">
        <f ca="1"/>
        <v>64457.363927364262</v>
      </c>
      <c r="N211" s="25">
        <f t="shared" si="9"/>
        <v>244354.99000000005</v>
      </c>
      <c r="O211" s="25">
        <f t="shared" ca="1" si="10"/>
        <v>1</v>
      </c>
      <c r="P211" s="25">
        <f t="shared" ca="1" si="11"/>
        <v>0.73621425153886055</v>
      </c>
    </row>
    <row r="212" spans="12:16" s="23" customFormat="1" ht="13.8">
      <c r="L212" s="33">
        <v>209</v>
      </c>
      <c r="M212" s="23">
        <f ca="1"/>
        <v>55907.709836409915</v>
      </c>
      <c r="N212" s="25">
        <f t="shared" si="9"/>
        <v>244354.99000000005</v>
      </c>
      <c r="O212" s="25">
        <f t="shared" ca="1" si="10"/>
        <v>1</v>
      </c>
      <c r="P212" s="25">
        <f t="shared" ca="1" si="11"/>
        <v>0.77120291328443957</v>
      </c>
    </row>
    <row r="213" spans="12:16" s="23" customFormat="1" ht="13.8">
      <c r="L213" s="23">
        <v>210</v>
      </c>
      <c r="M213" s="23">
        <f ca="1"/>
        <v>60491.074557346299</v>
      </c>
      <c r="N213" s="25">
        <f t="shared" si="9"/>
        <v>244354.99000000005</v>
      </c>
      <c r="O213" s="25">
        <f t="shared" ca="1" si="10"/>
        <v>1</v>
      </c>
      <c r="P213" s="25">
        <f t="shared" ca="1" si="11"/>
        <v>0.75244592075919436</v>
      </c>
    </row>
    <row r="214" spans="12:16" s="23" customFormat="1" ht="13.8">
      <c r="L214" s="33">
        <v>211</v>
      </c>
      <c r="M214" s="23">
        <f ca="1"/>
        <v>-37988.486680551672</v>
      </c>
      <c r="N214" s="25">
        <f t="shared" si="9"/>
        <v>244354.99000000005</v>
      </c>
      <c r="O214" s="25">
        <f t="shared" ca="1" si="10"/>
        <v>1</v>
      </c>
      <c r="P214" s="25">
        <f t="shared" ca="1" si="11"/>
        <v>1.1554643376857239</v>
      </c>
    </row>
    <row r="215" spans="12:16" s="23" customFormat="1" ht="13.8">
      <c r="L215" s="23">
        <v>212</v>
      </c>
      <c r="M215" s="23">
        <f ca="1"/>
        <v>236194.52371216001</v>
      </c>
      <c r="N215" s="25">
        <f t="shared" si="9"/>
        <v>244354.99000000005</v>
      </c>
      <c r="O215" s="25">
        <f t="shared" ca="1" si="10"/>
        <v>1</v>
      </c>
      <c r="P215" s="25">
        <f t="shared" ca="1" si="11"/>
        <v>3.3395946969775568E-2</v>
      </c>
    </row>
    <row r="216" spans="12:16" s="23" customFormat="1" ht="13.8">
      <c r="L216" s="33">
        <v>213</v>
      </c>
      <c r="M216" s="23">
        <f ca="1"/>
        <v>117505.18400684308</v>
      </c>
      <c r="N216" s="25">
        <f t="shared" si="9"/>
        <v>244354.99000000005</v>
      </c>
      <c r="O216" s="25">
        <f t="shared" ca="1" si="10"/>
        <v>1</v>
      </c>
      <c r="P216" s="25">
        <f t="shared" ca="1" si="11"/>
        <v>0.51912099684625612</v>
      </c>
    </row>
    <row r="217" spans="12:16" s="23" customFormat="1" ht="13.8">
      <c r="L217" s="23">
        <v>214</v>
      </c>
      <c r="M217" s="23">
        <f ca="1"/>
        <v>185151.43807324703</v>
      </c>
      <c r="N217" s="25">
        <f t="shared" si="9"/>
        <v>244354.99000000005</v>
      </c>
      <c r="O217" s="25">
        <f t="shared" ca="1" si="10"/>
        <v>1</v>
      </c>
      <c r="P217" s="25">
        <f t="shared" ca="1" si="11"/>
        <v>0.24228501299176664</v>
      </c>
    </row>
    <row r="218" spans="12:16" s="23" customFormat="1" ht="13.8">
      <c r="L218" s="33">
        <v>215</v>
      </c>
      <c r="M218" s="23">
        <f ca="1"/>
        <v>143188.23259135603</v>
      </c>
      <c r="N218" s="25">
        <f t="shared" si="9"/>
        <v>244354.99000000005</v>
      </c>
      <c r="O218" s="25">
        <f t="shared" ca="1" si="10"/>
        <v>1</v>
      </c>
      <c r="P218" s="25">
        <f t="shared" ca="1" si="11"/>
        <v>0.41401551655910113</v>
      </c>
    </row>
    <row r="219" spans="12:16" s="23" customFormat="1" ht="13.8">
      <c r="L219" s="23">
        <v>216</v>
      </c>
      <c r="M219" s="23">
        <f ca="1"/>
        <v>42002.003010989545</v>
      </c>
      <c r="N219" s="25">
        <f t="shared" si="9"/>
        <v>244354.99000000005</v>
      </c>
      <c r="O219" s="25">
        <f t="shared" ca="1" si="10"/>
        <v>1</v>
      </c>
      <c r="P219" s="25">
        <f t="shared" ca="1" si="11"/>
        <v>0.82811072116436202</v>
      </c>
    </row>
    <row r="220" spans="12:16" s="23" customFormat="1" ht="13.8">
      <c r="L220" s="33">
        <v>217</v>
      </c>
      <c r="M220" s="23">
        <f ca="1"/>
        <v>72287.357606305915</v>
      </c>
      <c r="N220" s="25">
        <f t="shared" si="9"/>
        <v>244354.99000000005</v>
      </c>
      <c r="O220" s="25">
        <f t="shared" ca="1" si="10"/>
        <v>1</v>
      </c>
      <c r="P220" s="25">
        <f t="shared" ca="1" si="11"/>
        <v>0.70417073289026799</v>
      </c>
    </row>
    <row r="221" spans="12:16" s="23" customFormat="1" ht="13.8">
      <c r="L221" s="23">
        <v>218</v>
      </c>
      <c r="M221" s="23">
        <f ca="1"/>
        <v>294266.56183603895</v>
      </c>
      <c r="N221" s="25">
        <f t="shared" si="9"/>
        <v>244354.99000000005</v>
      </c>
      <c r="O221" s="25">
        <f t="shared" ca="1" si="10"/>
        <v>0</v>
      </c>
      <c r="P221" s="25">
        <f t="shared" ca="1" si="11"/>
        <v>0</v>
      </c>
    </row>
    <row r="222" spans="12:16" s="23" customFormat="1" ht="13.8">
      <c r="L222" s="33">
        <v>219</v>
      </c>
      <c r="M222" s="23">
        <f ca="1"/>
        <v>280101.21407538519</v>
      </c>
      <c r="N222" s="25">
        <f t="shared" si="9"/>
        <v>244354.99000000005</v>
      </c>
      <c r="O222" s="25">
        <f t="shared" ca="1" si="10"/>
        <v>0</v>
      </c>
      <c r="P222" s="25">
        <f t="shared" ca="1" si="11"/>
        <v>0</v>
      </c>
    </row>
    <row r="223" spans="12:16" s="23" customFormat="1" ht="13.8">
      <c r="L223" s="23">
        <v>220</v>
      </c>
      <c r="M223" s="23">
        <f ca="1"/>
        <v>75007.77347233516</v>
      </c>
      <c r="N223" s="25">
        <f t="shared" si="9"/>
        <v>244354.99000000005</v>
      </c>
      <c r="O223" s="25">
        <f t="shared" ca="1" si="10"/>
        <v>1</v>
      </c>
      <c r="P223" s="25">
        <f t="shared" ca="1" si="11"/>
        <v>0.69303768475391014</v>
      </c>
    </row>
    <row r="224" spans="12:16" s="23" customFormat="1" ht="13.8">
      <c r="L224" s="33">
        <v>221</v>
      </c>
      <c r="M224" s="23">
        <f ca="1"/>
        <v>150891.43104414814</v>
      </c>
      <c r="N224" s="25">
        <f t="shared" si="9"/>
        <v>244354.99000000005</v>
      </c>
      <c r="O224" s="25">
        <f t="shared" ca="1" si="10"/>
        <v>1</v>
      </c>
      <c r="P224" s="25">
        <f t="shared" ca="1" si="11"/>
        <v>0.38249089554443677</v>
      </c>
    </row>
    <row r="225" spans="12:16" s="23" customFormat="1" ht="13.8">
      <c r="L225" s="23">
        <v>222</v>
      </c>
      <c r="M225" s="23">
        <f ca="1"/>
        <v>104365.12446848165</v>
      </c>
      <c r="N225" s="25">
        <f t="shared" si="9"/>
        <v>244354.99000000005</v>
      </c>
      <c r="O225" s="25">
        <f t="shared" ca="1" si="10"/>
        <v>1</v>
      </c>
      <c r="P225" s="25">
        <f t="shared" ca="1" si="11"/>
        <v>0.57289546463331231</v>
      </c>
    </row>
    <row r="226" spans="12:16" s="23" customFormat="1" ht="13.8">
      <c r="L226" s="33">
        <v>223</v>
      </c>
      <c r="M226" s="23">
        <f ca="1"/>
        <v>181209.37728363363</v>
      </c>
      <c r="N226" s="25">
        <f t="shared" si="9"/>
        <v>244354.99000000005</v>
      </c>
      <c r="O226" s="25">
        <f t="shared" ca="1" si="10"/>
        <v>1</v>
      </c>
      <c r="P226" s="25">
        <f t="shared" ca="1" si="11"/>
        <v>0.25841752900714821</v>
      </c>
    </row>
    <row r="227" spans="12:16" s="23" customFormat="1" ht="13.8">
      <c r="L227" s="23">
        <v>224</v>
      </c>
      <c r="M227" s="23">
        <f ca="1"/>
        <v>121144.52639055102</v>
      </c>
      <c r="N227" s="25">
        <f t="shared" si="9"/>
        <v>244354.99000000005</v>
      </c>
      <c r="O227" s="25">
        <f t="shared" ca="1" si="10"/>
        <v>1</v>
      </c>
      <c r="P227" s="25">
        <f t="shared" ca="1" si="11"/>
        <v>0.50422732766557787</v>
      </c>
    </row>
    <row r="228" spans="12:16" s="23" customFormat="1" ht="13.8">
      <c r="L228" s="33">
        <v>225</v>
      </c>
      <c r="M228" s="23">
        <f ca="1"/>
        <v>230836.36287271164</v>
      </c>
      <c r="N228" s="25">
        <f t="shared" si="9"/>
        <v>244354.99000000005</v>
      </c>
      <c r="O228" s="25">
        <f t="shared" ca="1" si="10"/>
        <v>1</v>
      </c>
      <c r="P228" s="25">
        <f t="shared" ca="1" si="11"/>
        <v>5.5323720327088065E-2</v>
      </c>
    </row>
    <row r="229" spans="12:16" s="23" customFormat="1" ht="13.8">
      <c r="L229" s="23">
        <v>226</v>
      </c>
      <c r="M229" s="23">
        <f ca="1"/>
        <v>-9933.8432365676017</v>
      </c>
      <c r="N229" s="25">
        <f t="shared" si="9"/>
        <v>244354.99000000005</v>
      </c>
      <c r="O229" s="25">
        <f t="shared" ca="1" si="10"/>
        <v>1</v>
      </c>
      <c r="P229" s="25">
        <f t="shared" ca="1" si="11"/>
        <v>1.0406533266890421</v>
      </c>
    </row>
    <row r="230" spans="12:16" s="23" customFormat="1" ht="13.8">
      <c r="L230" s="33">
        <v>227</v>
      </c>
      <c r="M230" s="23">
        <f ca="1"/>
        <v>4470.8911180529549</v>
      </c>
      <c r="N230" s="25">
        <f t="shared" si="9"/>
        <v>244354.99000000005</v>
      </c>
      <c r="O230" s="25">
        <f t="shared" ca="1" si="10"/>
        <v>1</v>
      </c>
      <c r="P230" s="25">
        <f t="shared" ca="1" si="11"/>
        <v>0.9817032952015714</v>
      </c>
    </row>
    <row r="231" spans="12:16" s="23" customFormat="1" ht="13.8">
      <c r="L231" s="23">
        <v>228</v>
      </c>
      <c r="M231" s="23">
        <f ca="1"/>
        <v>-21006.697227701901</v>
      </c>
      <c r="N231" s="25">
        <f t="shared" si="9"/>
        <v>244354.99000000005</v>
      </c>
      <c r="O231" s="25">
        <f t="shared" ca="1" si="10"/>
        <v>1</v>
      </c>
      <c r="P231" s="25">
        <f t="shared" ca="1" si="11"/>
        <v>1.0859679486295815</v>
      </c>
    </row>
    <row r="232" spans="12:16" s="23" customFormat="1" ht="13.8">
      <c r="L232" s="33">
        <v>229</v>
      </c>
      <c r="M232" s="23">
        <f ca="1"/>
        <v>69110.143548625216</v>
      </c>
      <c r="N232" s="25">
        <f t="shared" si="9"/>
        <v>244354.99000000005</v>
      </c>
      <c r="O232" s="25">
        <f t="shared" ca="1" si="10"/>
        <v>1</v>
      </c>
      <c r="P232" s="25">
        <f t="shared" ca="1" si="11"/>
        <v>0.7171731850099512</v>
      </c>
    </row>
    <row r="233" spans="12:16" s="23" customFormat="1" ht="13.8">
      <c r="L233" s="23">
        <v>230</v>
      </c>
      <c r="M233" s="23">
        <f ca="1"/>
        <v>345237.92419735371</v>
      </c>
      <c r="N233" s="25">
        <f t="shared" si="9"/>
        <v>244354.99000000005</v>
      </c>
      <c r="O233" s="25">
        <f t="shared" ca="1" si="10"/>
        <v>0</v>
      </c>
      <c r="P233" s="25">
        <f t="shared" ca="1" si="11"/>
        <v>0</v>
      </c>
    </row>
    <row r="234" spans="12:16" s="23" customFormat="1" ht="13.8">
      <c r="L234" s="33">
        <v>231</v>
      </c>
      <c r="M234" s="23">
        <f ca="1"/>
        <v>77670.218178044466</v>
      </c>
      <c r="N234" s="25">
        <f t="shared" si="9"/>
        <v>244354.99000000005</v>
      </c>
      <c r="O234" s="25">
        <f t="shared" ca="1" si="10"/>
        <v>1</v>
      </c>
      <c r="P234" s="25">
        <f t="shared" ca="1" si="11"/>
        <v>0.68214187818286642</v>
      </c>
    </row>
    <row r="235" spans="12:16" s="23" customFormat="1" ht="13.8">
      <c r="L235" s="23">
        <v>232</v>
      </c>
      <c r="M235" s="23">
        <f ca="1"/>
        <v>198992.06870737058</v>
      </c>
      <c r="N235" s="25">
        <f t="shared" si="9"/>
        <v>244354.99000000005</v>
      </c>
      <c r="O235" s="25">
        <f t="shared" ca="1" si="10"/>
        <v>1</v>
      </c>
      <c r="P235" s="25">
        <f t="shared" ca="1" si="11"/>
        <v>0.18564352335358267</v>
      </c>
    </row>
    <row r="236" spans="12:16" s="23" customFormat="1" ht="13.8">
      <c r="L236" s="33">
        <v>233</v>
      </c>
      <c r="M236" s="23">
        <f ca="1"/>
        <v>329832.71113682055</v>
      </c>
      <c r="N236" s="25">
        <f t="shared" si="9"/>
        <v>244354.99000000005</v>
      </c>
      <c r="O236" s="25">
        <f t="shared" ca="1" si="10"/>
        <v>0</v>
      </c>
      <c r="P236" s="25">
        <f t="shared" ca="1" si="11"/>
        <v>0</v>
      </c>
    </row>
    <row r="237" spans="12:16" s="23" customFormat="1" ht="13.8">
      <c r="L237" s="23">
        <v>234</v>
      </c>
      <c r="M237" s="23">
        <f ca="1"/>
        <v>25595.239152245118</v>
      </c>
      <c r="N237" s="25">
        <f t="shared" si="9"/>
        <v>244354.99000000005</v>
      </c>
      <c r="O237" s="25">
        <f t="shared" ca="1" si="10"/>
        <v>1</v>
      </c>
      <c r="P237" s="25">
        <f t="shared" ca="1" si="11"/>
        <v>0.89525387162240844</v>
      </c>
    </row>
    <row r="238" spans="12:16" s="23" customFormat="1" ht="13.8">
      <c r="L238" s="33">
        <v>235</v>
      </c>
      <c r="M238" s="23">
        <f ca="1"/>
        <v>270659.30180619506</v>
      </c>
      <c r="N238" s="25">
        <f t="shared" si="9"/>
        <v>244354.99000000005</v>
      </c>
      <c r="O238" s="25">
        <f t="shared" ca="1" si="10"/>
        <v>0</v>
      </c>
      <c r="P238" s="25">
        <f t="shared" ca="1" si="11"/>
        <v>0</v>
      </c>
    </row>
    <row r="239" spans="12:16" s="23" customFormat="1" ht="13.8">
      <c r="L239" s="23">
        <v>236</v>
      </c>
      <c r="M239" s="23">
        <f ca="1"/>
        <v>157644.72809624698</v>
      </c>
      <c r="N239" s="25">
        <f t="shared" si="9"/>
        <v>244354.99000000005</v>
      </c>
      <c r="O239" s="25">
        <f t="shared" ca="1" si="10"/>
        <v>1</v>
      </c>
      <c r="P239" s="25">
        <f t="shared" ca="1" si="11"/>
        <v>0.35485365739309455</v>
      </c>
    </row>
    <row r="240" spans="12:16" s="23" customFormat="1" ht="13.8">
      <c r="L240" s="33">
        <v>237</v>
      </c>
      <c r="M240" s="23">
        <f ca="1"/>
        <v>80315.532960623968</v>
      </c>
      <c r="N240" s="25">
        <f t="shared" si="9"/>
        <v>244354.99000000005</v>
      </c>
      <c r="O240" s="25">
        <f t="shared" ca="1" si="10"/>
        <v>1</v>
      </c>
      <c r="P240" s="25">
        <f t="shared" ca="1" si="11"/>
        <v>0.67131617422413203</v>
      </c>
    </row>
    <row r="241" spans="12:16" s="23" customFormat="1" ht="13.8">
      <c r="L241" s="23">
        <v>238</v>
      </c>
      <c r="M241" s="23">
        <f ca="1"/>
        <v>198365.06028977735</v>
      </c>
      <c r="N241" s="25">
        <f t="shared" si="9"/>
        <v>244354.99000000005</v>
      </c>
      <c r="O241" s="25">
        <f t="shared" ca="1" si="10"/>
        <v>1</v>
      </c>
      <c r="P241" s="25">
        <f t="shared" ca="1" si="11"/>
        <v>0.18820949680717669</v>
      </c>
    </row>
    <row r="242" spans="12:16" s="23" customFormat="1" ht="13.8">
      <c r="L242" s="33">
        <v>239</v>
      </c>
      <c r="M242" s="23">
        <f ca="1"/>
        <v>-28923.020418011711</v>
      </c>
      <c r="N242" s="25">
        <f t="shared" si="9"/>
        <v>244354.99000000005</v>
      </c>
      <c r="O242" s="25">
        <f t="shared" ca="1" si="10"/>
        <v>1</v>
      </c>
      <c r="P242" s="25">
        <f t="shared" ca="1" si="11"/>
        <v>1.1183647627495215</v>
      </c>
    </row>
    <row r="243" spans="12:16" s="23" customFormat="1" ht="13.8">
      <c r="L243" s="23">
        <v>240</v>
      </c>
      <c r="M243" s="23">
        <f ca="1"/>
        <v>98606.948005065802</v>
      </c>
      <c r="N243" s="25">
        <f t="shared" si="9"/>
        <v>244354.99000000005</v>
      </c>
      <c r="O243" s="25">
        <f t="shared" ca="1" si="10"/>
        <v>1</v>
      </c>
      <c r="P243" s="25">
        <f t="shared" ca="1" si="11"/>
        <v>0.59646026461311152</v>
      </c>
    </row>
    <row r="244" spans="12:16" s="23" customFormat="1" ht="13.8">
      <c r="L244" s="33">
        <v>241</v>
      </c>
      <c r="M244" s="23">
        <f ca="1"/>
        <v>184813.82468283951</v>
      </c>
      <c r="N244" s="25">
        <f t="shared" si="9"/>
        <v>244354.99000000005</v>
      </c>
      <c r="O244" s="25">
        <f t="shared" ca="1" si="10"/>
        <v>1</v>
      </c>
      <c r="P244" s="25">
        <f t="shared" ca="1" si="11"/>
        <v>0.24366666429509187</v>
      </c>
    </row>
    <row r="245" spans="12:16" s="23" customFormat="1" ht="13.8">
      <c r="L245" s="23">
        <v>242</v>
      </c>
      <c r="M245" s="23">
        <f ca="1"/>
        <v>234881.79466031157</v>
      </c>
      <c r="N245" s="25">
        <f t="shared" si="9"/>
        <v>244354.99000000005</v>
      </c>
      <c r="O245" s="25">
        <f t="shared" ca="1" si="10"/>
        <v>1</v>
      </c>
      <c r="P245" s="25">
        <f t="shared" ca="1" si="11"/>
        <v>3.8768168146222332E-2</v>
      </c>
    </row>
    <row r="246" spans="12:16" s="23" customFormat="1" ht="13.8">
      <c r="L246" s="33">
        <v>243</v>
      </c>
      <c r="M246" s="23">
        <f ca="1"/>
        <v>231116.28542232208</v>
      </c>
      <c r="N246" s="25">
        <f t="shared" si="9"/>
        <v>244354.99000000005</v>
      </c>
      <c r="O246" s="25">
        <f t="shared" ca="1" si="10"/>
        <v>1</v>
      </c>
      <c r="P246" s="25">
        <f t="shared" ca="1" si="11"/>
        <v>5.4178163407581602E-2</v>
      </c>
    </row>
    <row r="247" spans="12:16" s="23" customFormat="1" ht="13.8">
      <c r="L247" s="23">
        <v>244</v>
      </c>
      <c r="M247" s="23">
        <f ca="1"/>
        <v>231547.82468883478</v>
      </c>
      <c r="N247" s="25">
        <f t="shared" si="9"/>
        <v>244354.99000000005</v>
      </c>
      <c r="O247" s="25">
        <f t="shared" ca="1" si="10"/>
        <v>1</v>
      </c>
      <c r="P247" s="25">
        <f t="shared" ca="1" si="11"/>
        <v>5.2412129218909212E-2</v>
      </c>
    </row>
    <row r="248" spans="12:16" s="23" customFormat="1" ht="13.8">
      <c r="L248" s="33">
        <v>245</v>
      </c>
      <c r="M248" s="23">
        <f ca="1"/>
        <v>84475.121476731205</v>
      </c>
      <c r="N248" s="25">
        <f t="shared" si="9"/>
        <v>244354.99000000005</v>
      </c>
      <c r="O248" s="25">
        <f t="shared" ca="1" si="10"/>
        <v>1</v>
      </c>
      <c r="P248" s="25">
        <f t="shared" ca="1" si="11"/>
        <v>0.65429344628185748</v>
      </c>
    </row>
    <row r="249" spans="12:16" s="23" customFormat="1" ht="13.8">
      <c r="L249" s="23">
        <v>246</v>
      </c>
      <c r="M249" s="23">
        <f ca="1"/>
        <v>56556.856323256579</v>
      </c>
      <c r="N249" s="25">
        <f t="shared" si="9"/>
        <v>244354.99000000005</v>
      </c>
      <c r="O249" s="25">
        <f t="shared" ca="1" si="10"/>
        <v>1</v>
      </c>
      <c r="P249" s="25">
        <f t="shared" ca="1" si="11"/>
        <v>0.76854634184774961</v>
      </c>
    </row>
    <row r="250" spans="12:16" s="23" customFormat="1" ht="13.8">
      <c r="L250" s="33">
        <v>247</v>
      </c>
      <c r="M250" s="23">
        <f ca="1"/>
        <v>75152.019675699397</v>
      </c>
      <c r="N250" s="25">
        <f t="shared" si="9"/>
        <v>244354.99000000005</v>
      </c>
      <c r="O250" s="25">
        <f t="shared" ca="1" si="10"/>
        <v>1</v>
      </c>
      <c r="P250" s="25">
        <f t="shared" ca="1" si="11"/>
        <v>0.69244737062378225</v>
      </c>
    </row>
    <row r="251" spans="12:16" s="23" customFormat="1" ht="13.8">
      <c r="L251" s="23">
        <v>248</v>
      </c>
      <c r="M251" s="23">
        <f ca="1"/>
        <v>212812.23574093622</v>
      </c>
      <c r="N251" s="25">
        <f t="shared" si="9"/>
        <v>244354.99000000005</v>
      </c>
      <c r="O251" s="25">
        <f t="shared" ca="1" si="10"/>
        <v>1</v>
      </c>
      <c r="P251" s="25">
        <f t="shared" ca="1" si="11"/>
        <v>0.1290857790915742</v>
      </c>
    </row>
    <row r="252" spans="12:16" s="23" customFormat="1" ht="13.8">
      <c r="L252" s="33">
        <v>249</v>
      </c>
      <c r="M252" s="23">
        <f ca="1"/>
        <v>221664.79328602605</v>
      </c>
      <c r="N252" s="25">
        <f t="shared" si="9"/>
        <v>244354.99000000005</v>
      </c>
      <c r="O252" s="25">
        <f t="shared" ca="1" si="10"/>
        <v>1</v>
      </c>
      <c r="P252" s="25">
        <f t="shared" ca="1" si="11"/>
        <v>9.2857513218674179E-2</v>
      </c>
    </row>
    <row r="253" spans="12:16" s="23" customFormat="1" ht="13.8">
      <c r="L253" s="23">
        <v>250</v>
      </c>
      <c r="M253" s="23">
        <f ca="1"/>
        <v>236554.67755264978</v>
      </c>
      <c r="N253" s="25">
        <f t="shared" si="9"/>
        <v>244354.99000000005</v>
      </c>
      <c r="O253" s="25">
        <f t="shared" ca="1" si="10"/>
        <v>1</v>
      </c>
      <c r="P253" s="25">
        <f t="shared" ca="1" si="11"/>
        <v>3.1922050977351707E-2</v>
      </c>
    </row>
    <row r="254" spans="12:16" s="23" customFormat="1" ht="13.8">
      <c r="L254" s="33">
        <v>251</v>
      </c>
      <c r="M254" s="23">
        <f ca="1"/>
        <v>260138.73196158453</v>
      </c>
      <c r="N254" s="25">
        <f t="shared" si="9"/>
        <v>244354.99000000005</v>
      </c>
      <c r="O254" s="25">
        <f t="shared" ca="1" si="10"/>
        <v>0</v>
      </c>
      <c r="P254" s="25">
        <f t="shared" ca="1" si="11"/>
        <v>0</v>
      </c>
    </row>
    <row r="255" spans="12:16" s="23" customFormat="1" ht="13.8">
      <c r="L255" s="23">
        <v>252</v>
      </c>
      <c r="M255" s="23">
        <f ca="1"/>
        <v>110480.98002751525</v>
      </c>
      <c r="N255" s="25">
        <f t="shared" si="9"/>
        <v>244354.99000000005</v>
      </c>
      <c r="O255" s="25">
        <f t="shared" ca="1" si="10"/>
        <v>1</v>
      </c>
      <c r="P255" s="25">
        <f t="shared" ca="1" si="11"/>
        <v>0.54786689632360175</v>
      </c>
    </row>
    <row r="256" spans="12:16" s="23" customFormat="1" ht="13.8">
      <c r="L256" s="33">
        <v>253</v>
      </c>
      <c r="M256" s="23">
        <f ca="1"/>
        <v>203011.49022104067</v>
      </c>
      <c r="N256" s="25">
        <f t="shared" si="9"/>
        <v>244354.99000000005</v>
      </c>
      <c r="O256" s="25">
        <f t="shared" ca="1" si="10"/>
        <v>1</v>
      </c>
      <c r="P256" s="25">
        <f t="shared" ca="1" si="11"/>
        <v>0.16919441579220201</v>
      </c>
    </row>
    <row r="257" spans="12:16" s="23" customFormat="1" ht="13.8">
      <c r="L257" s="23">
        <v>254</v>
      </c>
      <c r="M257" s="23">
        <f ca="1"/>
        <v>208037.04704899227</v>
      </c>
      <c r="N257" s="25">
        <f t="shared" si="9"/>
        <v>244354.99000000005</v>
      </c>
      <c r="O257" s="25">
        <f t="shared" ca="1" si="10"/>
        <v>1</v>
      </c>
      <c r="P257" s="25">
        <f t="shared" ca="1" si="11"/>
        <v>0.14862779332236173</v>
      </c>
    </row>
    <row r="258" spans="12:16" s="23" customFormat="1" ht="13.8">
      <c r="L258" s="33">
        <v>255</v>
      </c>
      <c r="M258" s="23">
        <f ca="1"/>
        <v>198410.13810210131</v>
      </c>
      <c r="N258" s="25">
        <f t="shared" si="9"/>
        <v>244354.99000000005</v>
      </c>
      <c r="O258" s="25">
        <f t="shared" ca="1" si="10"/>
        <v>1</v>
      </c>
      <c r="P258" s="25">
        <f t="shared" ca="1" si="11"/>
        <v>0.18802502006567876</v>
      </c>
    </row>
    <row r="259" spans="12:16" s="23" customFormat="1" ht="13.8">
      <c r="L259" s="23">
        <v>256</v>
      </c>
      <c r="M259" s="23">
        <f ca="1"/>
        <v>251690.53580803148</v>
      </c>
      <c r="N259" s="25">
        <f t="shared" si="9"/>
        <v>244354.99000000005</v>
      </c>
      <c r="O259" s="25">
        <f t="shared" ca="1" si="10"/>
        <v>0</v>
      </c>
      <c r="P259" s="25">
        <f t="shared" ca="1" si="11"/>
        <v>0</v>
      </c>
    </row>
    <row r="260" spans="12:16" s="23" customFormat="1" ht="13.8">
      <c r="L260" s="33">
        <v>257</v>
      </c>
      <c r="M260" s="23">
        <f ca="1"/>
        <v>27111.915659274342</v>
      </c>
      <c r="N260" s="25">
        <f t="shared" ref="N260:N323" si="12">($C$22+$E$22)*1.1</f>
        <v>244354.99000000005</v>
      </c>
      <c r="O260" s="25">
        <f t="shared" ca="1" si="10"/>
        <v>1</v>
      </c>
      <c r="P260" s="25">
        <f t="shared" ca="1" si="11"/>
        <v>0.88904701451247492</v>
      </c>
    </row>
    <row r="261" spans="12:16" s="23" customFormat="1" ht="13.8">
      <c r="L261" s="23">
        <v>258</v>
      </c>
      <c r="M261" s="23">
        <f ca="1"/>
        <v>18840.641076601965</v>
      </c>
      <c r="N261" s="25">
        <f t="shared" si="12"/>
        <v>244354.99000000005</v>
      </c>
      <c r="O261" s="25">
        <f t="shared" ref="O261:O324" ca="1" si="13">IF(M261&lt;N261,1,0)</f>
        <v>1</v>
      </c>
      <c r="P261" s="25">
        <f t="shared" ref="P261:P324" ca="1" si="14">MAX((N261-M261)/N261,0)</f>
        <v>0.92289643409122957</v>
      </c>
    </row>
    <row r="262" spans="12:16" s="23" customFormat="1" ht="13.8">
      <c r="L262" s="33">
        <v>259</v>
      </c>
      <c r="M262" s="23">
        <f ca="1"/>
        <v>55593.199622546999</v>
      </c>
      <c r="N262" s="25">
        <f t="shared" si="12"/>
        <v>244354.99000000005</v>
      </c>
      <c r="O262" s="25">
        <f t="shared" ca="1" si="13"/>
        <v>1</v>
      </c>
      <c r="P262" s="25">
        <f t="shared" ca="1" si="14"/>
        <v>0.77249001699311737</v>
      </c>
    </row>
    <row r="263" spans="12:16" s="23" customFormat="1" ht="13.8">
      <c r="L263" s="23">
        <v>260</v>
      </c>
      <c r="M263" s="23">
        <f ca="1"/>
        <v>-47927.913832136459</v>
      </c>
      <c r="N263" s="25">
        <f t="shared" si="12"/>
        <v>244354.99000000005</v>
      </c>
      <c r="O263" s="25">
        <f t="shared" ca="1" si="13"/>
        <v>1</v>
      </c>
      <c r="P263" s="25">
        <f t="shared" ca="1" si="14"/>
        <v>1.1961405160260343</v>
      </c>
    </row>
    <row r="264" spans="12:16" s="23" customFormat="1" ht="13.8">
      <c r="L264" s="33">
        <v>261</v>
      </c>
      <c r="M264" s="23">
        <f ca="1"/>
        <v>80457.983599809973</v>
      </c>
      <c r="N264" s="25">
        <f t="shared" si="12"/>
        <v>244354.99000000005</v>
      </c>
      <c r="O264" s="25">
        <f t="shared" ca="1" si="13"/>
        <v>1</v>
      </c>
      <c r="P264" s="25">
        <f t="shared" ca="1" si="14"/>
        <v>0.67073320827289029</v>
      </c>
    </row>
    <row r="265" spans="12:16" s="23" customFormat="1" ht="13.8">
      <c r="L265" s="23">
        <v>262</v>
      </c>
      <c r="M265" s="23">
        <f ca="1"/>
        <v>37390.554169131356</v>
      </c>
      <c r="N265" s="25">
        <f t="shared" si="12"/>
        <v>244354.99000000005</v>
      </c>
      <c r="O265" s="25">
        <f t="shared" ca="1" si="13"/>
        <v>1</v>
      </c>
      <c r="P265" s="25">
        <f t="shared" ca="1" si="14"/>
        <v>0.84698264533443191</v>
      </c>
    </row>
    <row r="266" spans="12:16" s="23" customFormat="1" ht="13.8">
      <c r="L266" s="33">
        <v>263</v>
      </c>
      <c r="M266" s="23">
        <f ca="1"/>
        <v>23514.795927876989</v>
      </c>
      <c r="N266" s="25">
        <f t="shared" si="12"/>
        <v>244354.99000000005</v>
      </c>
      <c r="O266" s="25">
        <f t="shared" ca="1" si="13"/>
        <v>1</v>
      </c>
      <c r="P266" s="25">
        <f t="shared" ca="1" si="14"/>
        <v>0.90376789142764391</v>
      </c>
    </row>
    <row r="267" spans="12:16" s="23" customFormat="1" ht="13.8">
      <c r="L267" s="23">
        <v>264</v>
      </c>
      <c r="M267" s="23">
        <f ca="1"/>
        <v>140436.40448060248</v>
      </c>
      <c r="N267" s="25">
        <f t="shared" si="12"/>
        <v>244354.99000000005</v>
      </c>
      <c r="O267" s="25">
        <f t="shared" ca="1" si="13"/>
        <v>1</v>
      </c>
      <c r="P267" s="25">
        <f t="shared" ca="1" si="14"/>
        <v>0.42527711637645521</v>
      </c>
    </row>
    <row r="268" spans="12:16" s="23" customFormat="1" ht="13.8">
      <c r="L268" s="33">
        <v>265</v>
      </c>
      <c r="M268" s="23">
        <f ca="1"/>
        <v>213947.52247987859</v>
      </c>
      <c r="N268" s="25">
        <f t="shared" si="12"/>
        <v>244354.99000000005</v>
      </c>
      <c r="O268" s="25">
        <f t="shared" ca="1" si="13"/>
        <v>1</v>
      </c>
      <c r="P268" s="25">
        <f t="shared" ca="1" si="14"/>
        <v>0.12443972402659528</v>
      </c>
    </row>
    <row r="269" spans="12:16" s="23" customFormat="1" ht="13.8">
      <c r="L269" s="23">
        <v>266</v>
      </c>
      <c r="M269" s="23">
        <f ca="1"/>
        <v>166336.8206042262</v>
      </c>
      <c r="N269" s="25">
        <f t="shared" si="12"/>
        <v>244354.99000000005</v>
      </c>
      <c r="O269" s="25">
        <f t="shared" ca="1" si="13"/>
        <v>1</v>
      </c>
      <c r="P269" s="25">
        <f t="shared" ca="1" si="14"/>
        <v>0.31928207971432804</v>
      </c>
    </row>
    <row r="270" spans="12:16" s="23" customFormat="1" ht="13.8">
      <c r="L270" s="33">
        <v>267</v>
      </c>
      <c r="M270" s="23">
        <f ca="1"/>
        <v>67318.807835877204</v>
      </c>
      <c r="N270" s="25">
        <f t="shared" si="12"/>
        <v>244354.99000000005</v>
      </c>
      <c r="O270" s="25">
        <f t="shared" ca="1" si="13"/>
        <v>1</v>
      </c>
      <c r="P270" s="25">
        <f t="shared" ca="1" si="14"/>
        <v>0.72450405929554706</v>
      </c>
    </row>
    <row r="271" spans="12:16" s="23" customFormat="1" ht="13.8">
      <c r="L271" s="23">
        <v>268</v>
      </c>
      <c r="M271" s="23">
        <f ca="1"/>
        <v>212483.66428747898</v>
      </c>
      <c r="N271" s="25">
        <f t="shared" si="12"/>
        <v>244354.99000000005</v>
      </c>
      <c r="O271" s="25">
        <f t="shared" ca="1" si="13"/>
        <v>1</v>
      </c>
      <c r="P271" s="25">
        <f t="shared" ca="1" si="14"/>
        <v>0.13043042711147851</v>
      </c>
    </row>
    <row r="272" spans="12:16" s="23" customFormat="1" ht="13.8">
      <c r="L272" s="33">
        <v>269</v>
      </c>
      <c r="M272" s="23">
        <f ca="1"/>
        <v>134130.48187187355</v>
      </c>
      <c r="N272" s="25">
        <f t="shared" si="12"/>
        <v>244354.99000000005</v>
      </c>
      <c r="O272" s="25">
        <f t="shared" ca="1" si="13"/>
        <v>1</v>
      </c>
      <c r="P272" s="25">
        <f t="shared" ca="1" si="14"/>
        <v>0.45108351635514576</v>
      </c>
    </row>
    <row r="273" spans="12:16" s="23" customFormat="1" ht="13.8">
      <c r="L273" s="23">
        <v>270</v>
      </c>
      <c r="M273" s="23">
        <f ca="1"/>
        <v>140840.29393514158</v>
      </c>
      <c r="N273" s="25">
        <f t="shared" si="12"/>
        <v>244354.99000000005</v>
      </c>
      <c r="O273" s="25">
        <f t="shared" ca="1" si="13"/>
        <v>1</v>
      </c>
      <c r="P273" s="25">
        <f t="shared" ca="1" si="14"/>
        <v>0.4236242364637548</v>
      </c>
    </row>
    <row r="274" spans="12:16" s="23" customFormat="1" ht="13.8">
      <c r="L274" s="33">
        <v>271</v>
      </c>
      <c r="M274" s="23">
        <f ca="1"/>
        <v>92648.121558905972</v>
      </c>
      <c r="N274" s="25">
        <f t="shared" si="12"/>
        <v>244354.99000000005</v>
      </c>
      <c r="O274" s="25">
        <f t="shared" ca="1" si="13"/>
        <v>1</v>
      </c>
      <c r="P274" s="25">
        <f t="shared" ca="1" si="14"/>
        <v>0.62084620592808037</v>
      </c>
    </row>
    <row r="275" spans="12:16" s="23" customFormat="1" ht="13.8">
      <c r="L275" s="23">
        <v>272</v>
      </c>
      <c r="M275" s="23">
        <f ca="1"/>
        <v>72416.111737966377</v>
      </c>
      <c r="N275" s="25">
        <f t="shared" si="12"/>
        <v>244354.99000000005</v>
      </c>
      <c r="O275" s="25">
        <f t="shared" ca="1" si="13"/>
        <v>1</v>
      </c>
      <c r="P275" s="25">
        <f t="shared" ca="1" si="14"/>
        <v>0.70364381861828829</v>
      </c>
    </row>
    <row r="276" spans="12:16" s="23" customFormat="1" ht="13.8">
      <c r="L276" s="33">
        <v>273</v>
      </c>
      <c r="M276" s="23">
        <f ca="1"/>
        <v>110227.08013035322</v>
      </c>
      <c r="N276" s="25">
        <f t="shared" si="12"/>
        <v>244354.99000000005</v>
      </c>
      <c r="O276" s="25">
        <f t="shared" ca="1" si="13"/>
        <v>1</v>
      </c>
      <c r="P276" s="25">
        <f t="shared" ca="1" si="14"/>
        <v>0.54890595796569086</v>
      </c>
    </row>
    <row r="277" spans="12:16" s="23" customFormat="1" ht="13.8">
      <c r="L277" s="23">
        <v>274</v>
      </c>
      <c r="M277" s="23">
        <f ca="1"/>
        <v>93416.65154986766</v>
      </c>
      <c r="N277" s="25">
        <f t="shared" si="12"/>
        <v>244354.99000000005</v>
      </c>
      <c r="O277" s="25">
        <f t="shared" ca="1" si="13"/>
        <v>1</v>
      </c>
      <c r="P277" s="25">
        <f t="shared" ca="1" si="14"/>
        <v>0.617701068638428</v>
      </c>
    </row>
    <row r="278" spans="12:16" s="23" customFormat="1" ht="13.8">
      <c r="L278" s="33">
        <v>275</v>
      </c>
      <c r="M278" s="23">
        <f ca="1"/>
        <v>215117.81973276887</v>
      </c>
      <c r="N278" s="25">
        <f t="shared" si="12"/>
        <v>244354.99000000005</v>
      </c>
      <c r="O278" s="25">
        <f t="shared" ca="1" si="13"/>
        <v>1</v>
      </c>
      <c r="P278" s="25">
        <f t="shared" ca="1" si="14"/>
        <v>0.11965039169951543</v>
      </c>
    </row>
    <row r="279" spans="12:16" s="23" customFormat="1" ht="13.8">
      <c r="L279" s="23">
        <v>276</v>
      </c>
      <c r="M279" s="23">
        <f ca="1"/>
        <v>100503.44763309251</v>
      </c>
      <c r="N279" s="25">
        <f t="shared" si="12"/>
        <v>244354.99000000005</v>
      </c>
      <c r="O279" s="25">
        <f t="shared" ca="1" si="13"/>
        <v>1</v>
      </c>
      <c r="P279" s="25">
        <f t="shared" ca="1" si="14"/>
        <v>0.5886990168152797</v>
      </c>
    </row>
    <row r="280" spans="12:16" s="23" customFormat="1" ht="13.8">
      <c r="L280" s="33">
        <v>277</v>
      </c>
      <c r="M280" s="23">
        <f ca="1"/>
        <v>127613.17957932656</v>
      </c>
      <c r="N280" s="25">
        <f t="shared" si="12"/>
        <v>244354.99000000005</v>
      </c>
      <c r="O280" s="25">
        <f t="shared" ca="1" si="13"/>
        <v>1</v>
      </c>
      <c r="P280" s="25">
        <f t="shared" ca="1" si="14"/>
        <v>0.47775496796964723</v>
      </c>
    </row>
    <row r="281" spans="12:16" s="23" customFormat="1" ht="13.8">
      <c r="L281" s="23">
        <v>278</v>
      </c>
      <c r="M281" s="23">
        <f ca="1"/>
        <v>-5785.2884308016892</v>
      </c>
      <c r="N281" s="25">
        <f t="shared" si="12"/>
        <v>244354.99000000005</v>
      </c>
      <c r="O281" s="25">
        <f t="shared" ca="1" si="13"/>
        <v>1</v>
      </c>
      <c r="P281" s="25">
        <f t="shared" ca="1" si="14"/>
        <v>1.0236757531769729</v>
      </c>
    </row>
    <row r="282" spans="12:16" s="23" customFormat="1" ht="13.8">
      <c r="L282" s="33">
        <v>279</v>
      </c>
      <c r="M282" s="23">
        <f ca="1"/>
        <v>231663.76794963973</v>
      </c>
      <c r="N282" s="25">
        <f t="shared" si="12"/>
        <v>244354.99000000005</v>
      </c>
      <c r="O282" s="25">
        <f t="shared" ca="1" si="13"/>
        <v>1</v>
      </c>
      <c r="P282" s="25">
        <f t="shared" ca="1" si="14"/>
        <v>5.1937642240742918E-2</v>
      </c>
    </row>
    <row r="283" spans="12:16" s="23" customFormat="1" ht="13.8">
      <c r="L283" s="23">
        <v>280</v>
      </c>
      <c r="M283" s="23">
        <f ca="1"/>
        <v>122307.83549373689</v>
      </c>
      <c r="N283" s="25">
        <f t="shared" si="12"/>
        <v>244354.99000000005</v>
      </c>
      <c r="O283" s="25">
        <f t="shared" ca="1" si="13"/>
        <v>1</v>
      </c>
      <c r="P283" s="25">
        <f t="shared" ca="1" si="14"/>
        <v>0.49946659368921886</v>
      </c>
    </row>
    <row r="284" spans="12:16" s="23" customFormat="1" ht="13.8">
      <c r="L284" s="33">
        <v>281</v>
      </c>
      <c r="M284" s="23">
        <f ca="1"/>
        <v>72086.038107667526</v>
      </c>
      <c r="N284" s="25">
        <f t="shared" si="12"/>
        <v>244354.99000000005</v>
      </c>
      <c r="O284" s="25">
        <f t="shared" ca="1" si="13"/>
        <v>1</v>
      </c>
      <c r="P284" s="25">
        <f t="shared" ca="1" si="14"/>
        <v>0.70499461415677445</v>
      </c>
    </row>
    <row r="285" spans="12:16" s="23" customFormat="1" ht="13.8">
      <c r="L285" s="23">
        <v>282</v>
      </c>
      <c r="M285" s="23">
        <f ca="1"/>
        <v>149178.20304267088</v>
      </c>
      <c r="N285" s="25">
        <f t="shared" si="12"/>
        <v>244354.99000000005</v>
      </c>
      <c r="O285" s="25">
        <f t="shared" ca="1" si="13"/>
        <v>1</v>
      </c>
      <c r="P285" s="25">
        <f t="shared" ca="1" si="14"/>
        <v>0.3895021213085485</v>
      </c>
    </row>
    <row r="286" spans="12:16" s="23" customFormat="1" ht="13.8">
      <c r="L286" s="33">
        <v>283</v>
      </c>
      <c r="M286" s="23">
        <f ca="1"/>
        <v>134154.56957930734</v>
      </c>
      <c r="N286" s="25">
        <f t="shared" si="12"/>
        <v>244354.99000000005</v>
      </c>
      <c r="O286" s="25">
        <f t="shared" ca="1" si="13"/>
        <v>1</v>
      </c>
      <c r="P286" s="25">
        <f t="shared" ca="1" si="14"/>
        <v>0.450984939659684</v>
      </c>
    </row>
    <row r="287" spans="12:16" s="23" customFormat="1" ht="13.8">
      <c r="L287" s="23">
        <v>284</v>
      </c>
      <c r="M287" s="23">
        <f ca="1"/>
        <v>-30100.442793795395</v>
      </c>
      <c r="N287" s="25">
        <f t="shared" si="12"/>
        <v>244354.99000000005</v>
      </c>
      <c r="O287" s="25">
        <f t="shared" ca="1" si="13"/>
        <v>1</v>
      </c>
      <c r="P287" s="25">
        <f t="shared" ca="1" si="14"/>
        <v>1.1231832539773194</v>
      </c>
    </row>
    <row r="288" spans="12:16" s="23" customFormat="1" ht="13.8">
      <c r="L288" s="33">
        <v>285</v>
      </c>
      <c r="M288" s="23">
        <f ca="1"/>
        <v>207317.14333390904</v>
      </c>
      <c r="N288" s="25">
        <f t="shared" si="12"/>
        <v>244354.99000000005</v>
      </c>
      <c r="O288" s="25">
        <f t="shared" ca="1" si="13"/>
        <v>1</v>
      </c>
      <c r="P288" s="25">
        <f t="shared" ca="1" si="14"/>
        <v>0.1515739321144659</v>
      </c>
    </row>
    <row r="289" spans="12:16" s="23" customFormat="1" ht="13.8">
      <c r="L289" s="23">
        <v>286</v>
      </c>
      <c r="M289" s="23">
        <f ca="1"/>
        <v>313235.33448554086</v>
      </c>
      <c r="N289" s="25">
        <f t="shared" si="12"/>
        <v>244354.99000000005</v>
      </c>
      <c r="O289" s="25">
        <f t="shared" ca="1" si="13"/>
        <v>0</v>
      </c>
      <c r="P289" s="25">
        <f t="shared" ca="1" si="14"/>
        <v>0</v>
      </c>
    </row>
    <row r="290" spans="12:16" s="23" customFormat="1" ht="13.8">
      <c r="L290" s="33">
        <v>287</v>
      </c>
      <c r="M290" s="23">
        <f ca="1"/>
        <v>48252.79553412868</v>
      </c>
      <c r="N290" s="25">
        <f t="shared" si="12"/>
        <v>244354.99000000005</v>
      </c>
      <c r="O290" s="25">
        <f t="shared" ca="1" si="13"/>
        <v>1</v>
      </c>
      <c r="P290" s="25">
        <f t="shared" ca="1" si="14"/>
        <v>0.80252993591770461</v>
      </c>
    </row>
    <row r="291" spans="12:16" s="23" customFormat="1" ht="13.8">
      <c r="L291" s="23">
        <v>288</v>
      </c>
      <c r="M291" s="23">
        <f ca="1"/>
        <v>122304.00292021935</v>
      </c>
      <c r="N291" s="25">
        <f t="shared" si="12"/>
        <v>244354.99000000005</v>
      </c>
      <c r="O291" s="25">
        <f t="shared" ca="1" si="13"/>
        <v>1</v>
      </c>
      <c r="P291" s="25">
        <f t="shared" ca="1" si="14"/>
        <v>0.49948227813878765</v>
      </c>
    </row>
    <row r="292" spans="12:16" s="23" customFormat="1" ht="13.8">
      <c r="L292" s="33">
        <v>289</v>
      </c>
      <c r="M292" s="23">
        <f ca="1"/>
        <v>134806.26181481179</v>
      </c>
      <c r="N292" s="25">
        <f t="shared" si="12"/>
        <v>244354.99000000005</v>
      </c>
      <c r="O292" s="25">
        <f t="shared" ca="1" si="13"/>
        <v>1</v>
      </c>
      <c r="P292" s="25">
        <f t="shared" ca="1" si="14"/>
        <v>0.44831794998411217</v>
      </c>
    </row>
    <row r="293" spans="12:16" s="23" customFormat="1" ht="13.8">
      <c r="L293" s="23">
        <v>290</v>
      </c>
      <c r="M293" s="23">
        <f ca="1"/>
        <v>83944.447099129015</v>
      </c>
      <c r="N293" s="25">
        <f t="shared" si="12"/>
        <v>244354.99000000005</v>
      </c>
      <c r="O293" s="25">
        <f t="shared" ca="1" si="13"/>
        <v>1</v>
      </c>
      <c r="P293" s="25">
        <f t="shared" ca="1" si="14"/>
        <v>0.65646518166406587</v>
      </c>
    </row>
    <row r="294" spans="12:16" s="23" customFormat="1" ht="13.8">
      <c r="L294" s="33">
        <v>291</v>
      </c>
      <c r="M294" s="23">
        <f ca="1"/>
        <v>138584.28871430331</v>
      </c>
      <c r="N294" s="25">
        <f t="shared" si="12"/>
        <v>244354.99000000005</v>
      </c>
      <c r="O294" s="25">
        <f t="shared" ca="1" si="13"/>
        <v>1</v>
      </c>
      <c r="P294" s="25">
        <f t="shared" ca="1" si="14"/>
        <v>0.43285672736086428</v>
      </c>
    </row>
    <row r="295" spans="12:16" s="23" customFormat="1" ht="13.8">
      <c r="L295" s="23">
        <v>292</v>
      </c>
      <c r="M295" s="23">
        <f ca="1"/>
        <v>249748.85046427144</v>
      </c>
      <c r="N295" s="25">
        <f t="shared" si="12"/>
        <v>244354.99000000005</v>
      </c>
      <c r="O295" s="25">
        <f t="shared" ca="1" si="13"/>
        <v>0</v>
      </c>
      <c r="P295" s="25">
        <f t="shared" ca="1" si="14"/>
        <v>0</v>
      </c>
    </row>
    <row r="296" spans="12:16" s="23" customFormat="1" ht="13.8">
      <c r="L296" s="33">
        <v>293</v>
      </c>
      <c r="M296" s="23">
        <f ca="1"/>
        <v>146642.02961313122</v>
      </c>
      <c r="N296" s="25">
        <f t="shared" si="12"/>
        <v>244354.99000000005</v>
      </c>
      <c r="O296" s="25">
        <f t="shared" ca="1" si="13"/>
        <v>1</v>
      </c>
      <c r="P296" s="25">
        <f t="shared" ca="1" si="14"/>
        <v>0.39988117446207588</v>
      </c>
    </row>
    <row r="297" spans="12:16" s="23" customFormat="1" ht="13.8">
      <c r="L297" s="23">
        <v>294</v>
      </c>
      <c r="M297" s="23">
        <f ca="1"/>
        <v>47963.232817867218</v>
      </c>
      <c r="N297" s="25">
        <f t="shared" si="12"/>
        <v>244354.99000000005</v>
      </c>
      <c r="O297" s="25">
        <f t="shared" ca="1" si="13"/>
        <v>1</v>
      </c>
      <c r="P297" s="25">
        <f t="shared" ca="1" si="14"/>
        <v>0.80371494431987167</v>
      </c>
    </row>
    <row r="298" spans="12:16" s="23" customFormat="1" ht="13.8">
      <c r="L298" s="33">
        <v>295</v>
      </c>
      <c r="M298" s="23">
        <f ca="1"/>
        <v>197814.24706380881</v>
      </c>
      <c r="N298" s="25">
        <f t="shared" si="12"/>
        <v>244354.99000000005</v>
      </c>
      <c r="O298" s="25">
        <f t="shared" ca="1" si="13"/>
        <v>1</v>
      </c>
      <c r="P298" s="25">
        <f t="shared" ca="1" si="14"/>
        <v>0.19046364854751371</v>
      </c>
    </row>
    <row r="299" spans="12:16" s="23" customFormat="1" ht="13.8">
      <c r="L299" s="23">
        <v>296</v>
      </c>
      <c r="M299" s="23">
        <f ca="1"/>
        <v>294347.06719901483</v>
      </c>
      <c r="N299" s="25">
        <f t="shared" si="12"/>
        <v>244354.99000000005</v>
      </c>
      <c r="O299" s="25">
        <f t="shared" ca="1" si="13"/>
        <v>0</v>
      </c>
      <c r="P299" s="25">
        <f t="shared" ca="1" si="14"/>
        <v>0</v>
      </c>
    </row>
    <row r="300" spans="12:16" s="23" customFormat="1" ht="13.8">
      <c r="L300" s="33">
        <v>297</v>
      </c>
      <c r="M300" s="23">
        <f ca="1"/>
        <v>218890.12833454798</v>
      </c>
      <c r="N300" s="25">
        <f t="shared" si="12"/>
        <v>244354.99000000005</v>
      </c>
      <c r="O300" s="25">
        <f t="shared" ca="1" si="13"/>
        <v>1</v>
      </c>
      <c r="P300" s="25">
        <f t="shared" ca="1" si="14"/>
        <v>0.10421257067617923</v>
      </c>
    </row>
    <row r="301" spans="12:16" s="23" customFormat="1" ht="13.8">
      <c r="L301" s="23">
        <v>298</v>
      </c>
      <c r="M301" s="23">
        <f ca="1"/>
        <v>157203.58724795387</v>
      </c>
      <c r="N301" s="25">
        <f t="shared" si="12"/>
        <v>244354.99000000005</v>
      </c>
      <c r="O301" s="25">
        <f t="shared" ca="1" si="13"/>
        <v>1</v>
      </c>
      <c r="P301" s="25">
        <f t="shared" ca="1" si="14"/>
        <v>0.35665898515944433</v>
      </c>
    </row>
    <row r="302" spans="12:16" s="23" customFormat="1" ht="13.8">
      <c r="L302" s="33">
        <v>299</v>
      </c>
      <c r="M302" s="23">
        <f ca="1"/>
        <v>300856.58446215547</v>
      </c>
      <c r="N302" s="25">
        <f t="shared" si="12"/>
        <v>244354.99000000005</v>
      </c>
      <c r="O302" s="25">
        <f t="shared" ca="1" si="13"/>
        <v>0</v>
      </c>
      <c r="P302" s="25">
        <f t="shared" ca="1" si="14"/>
        <v>0</v>
      </c>
    </row>
    <row r="303" spans="12:16" s="23" customFormat="1" ht="13.8">
      <c r="L303" s="23">
        <v>300</v>
      </c>
      <c r="M303" s="23">
        <f ca="1"/>
        <v>263515.24772240839</v>
      </c>
      <c r="N303" s="25">
        <f t="shared" si="12"/>
        <v>244354.99000000005</v>
      </c>
      <c r="O303" s="25">
        <f t="shared" ca="1" si="13"/>
        <v>0</v>
      </c>
      <c r="P303" s="25">
        <f t="shared" ca="1" si="14"/>
        <v>0</v>
      </c>
    </row>
    <row r="304" spans="12:16" s="23" customFormat="1" ht="13.8">
      <c r="L304" s="33">
        <v>301</v>
      </c>
      <c r="M304" s="23">
        <f ca="1"/>
        <v>303018.74310507003</v>
      </c>
      <c r="N304" s="25">
        <f t="shared" si="12"/>
        <v>244354.99000000005</v>
      </c>
      <c r="O304" s="25">
        <f t="shared" ca="1" si="13"/>
        <v>0</v>
      </c>
      <c r="P304" s="25">
        <f t="shared" ca="1" si="14"/>
        <v>0</v>
      </c>
    </row>
    <row r="305" spans="12:16" s="23" customFormat="1" ht="13.8">
      <c r="L305" s="23">
        <v>302</v>
      </c>
      <c r="M305" s="23">
        <f ca="1"/>
        <v>186264.03104651716</v>
      </c>
      <c r="N305" s="25">
        <f t="shared" si="12"/>
        <v>244354.99000000005</v>
      </c>
      <c r="O305" s="25">
        <f t="shared" ca="1" si="13"/>
        <v>1</v>
      </c>
      <c r="P305" s="25">
        <f t="shared" ca="1" si="14"/>
        <v>0.23773183004563514</v>
      </c>
    </row>
    <row r="306" spans="12:16" s="23" customFormat="1" ht="13.8">
      <c r="L306" s="33">
        <v>303</v>
      </c>
      <c r="M306" s="23">
        <f ca="1"/>
        <v>172072.45973217679</v>
      </c>
      <c r="N306" s="25">
        <f t="shared" si="12"/>
        <v>244354.99000000005</v>
      </c>
      <c r="O306" s="25">
        <f t="shared" ca="1" si="13"/>
        <v>1</v>
      </c>
      <c r="P306" s="25">
        <f t="shared" ca="1" si="14"/>
        <v>0.29580951167734792</v>
      </c>
    </row>
    <row r="307" spans="12:16" s="23" customFormat="1" ht="13.8">
      <c r="L307" s="23">
        <v>304</v>
      </c>
      <c r="M307" s="23">
        <f ca="1"/>
        <v>-1931.4566444261736</v>
      </c>
      <c r="N307" s="25">
        <f t="shared" si="12"/>
        <v>244354.99000000005</v>
      </c>
      <c r="O307" s="25">
        <f t="shared" ca="1" si="13"/>
        <v>1</v>
      </c>
      <c r="P307" s="25">
        <f t="shared" ca="1" si="14"/>
        <v>1.0079043061262067</v>
      </c>
    </row>
    <row r="308" spans="12:16" s="23" customFormat="1" ht="13.8">
      <c r="L308" s="33">
        <v>305</v>
      </c>
      <c r="M308" s="23">
        <f ca="1"/>
        <v>128382.81954015653</v>
      </c>
      <c r="N308" s="25">
        <f t="shared" si="12"/>
        <v>244354.99000000005</v>
      </c>
      <c r="O308" s="25">
        <f t="shared" ca="1" si="13"/>
        <v>1</v>
      </c>
      <c r="P308" s="25">
        <f t="shared" ca="1" si="14"/>
        <v>0.47460528823186093</v>
      </c>
    </row>
    <row r="309" spans="12:16" s="23" customFormat="1" ht="13.8">
      <c r="L309" s="23">
        <v>306</v>
      </c>
      <c r="M309" s="23">
        <f ca="1"/>
        <v>160990.25734405578</v>
      </c>
      <c r="N309" s="25">
        <f t="shared" si="12"/>
        <v>244354.99000000005</v>
      </c>
      <c r="O309" s="25">
        <f t="shared" ca="1" si="13"/>
        <v>1</v>
      </c>
      <c r="P309" s="25">
        <f t="shared" ca="1" si="14"/>
        <v>0.3411623910604169</v>
      </c>
    </row>
    <row r="310" spans="12:16" s="23" customFormat="1" ht="13.8">
      <c r="L310" s="33">
        <v>307</v>
      </c>
      <c r="M310" s="23">
        <f ca="1"/>
        <v>178118.88510239378</v>
      </c>
      <c r="N310" s="25">
        <f t="shared" si="12"/>
        <v>244354.99000000005</v>
      </c>
      <c r="O310" s="25">
        <f t="shared" ca="1" si="13"/>
        <v>1</v>
      </c>
      <c r="P310" s="25">
        <f t="shared" ca="1" si="14"/>
        <v>0.27106507993802892</v>
      </c>
    </row>
    <row r="311" spans="12:16" s="23" customFormat="1" ht="13.8">
      <c r="L311" s="23">
        <v>308</v>
      </c>
      <c r="M311" s="23">
        <f ca="1"/>
        <v>-90594.966332975615</v>
      </c>
      <c r="N311" s="25">
        <f t="shared" si="12"/>
        <v>244354.99000000005</v>
      </c>
      <c r="O311" s="25">
        <f t="shared" ca="1" si="13"/>
        <v>1</v>
      </c>
      <c r="P311" s="25">
        <f t="shared" ca="1" si="14"/>
        <v>1.3707514478545153</v>
      </c>
    </row>
    <row r="312" spans="12:16" s="23" customFormat="1" ht="13.8">
      <c r="L312" s="33">
        <v>309</v>
      </c>
      <c r="M312" s="23">
        <f ca="1"/>
        <v>80716.214529730147</v>
      </c>
      <c r="N312" s="25">
        <f t="shared" si="12"/>
        <v>244354.99000000005</v>
      </c>
      <c r="O312" s="25">
        <f t="shared" ca="1" si="13"/>
        <v>1</v>
      </c>
      <c r="P312" s="25">
        <f t="shared" ca="1" si="14"/>
        <v>0.66967642228329316</v>
      </c>
    </row>
    <row r="313" spans="12:16" s="23" customFormat="1" ht="13.8">
      <c r="L313" s="23">
        <v>310</v>
      </c>
      <c r="M313" s="23">
        <f ca="1"/>
        <v>49463.474294102001</v>
      </c>
      <c r="N313" s="25">
        <f t="shared" si="12"/>
        <v>244354.99000000005</v>
      </c>
      <c r="O313" s="25">
        <f t="shared" ca="1" si="13"/>
        <v>1</v>
      </c>
      <c r="P313" s="25">
        <f t="shared" ca="1" si="14"/>
        <v>0.79757534604019342</v>
      </c>
    </row>
    <row r="314" spans="12:16" s="23" customFormat="1" ht="13.8">
      <c r="L314" s="33">
        <v>311</v>
      </c>
      <c r="M314" s="23">
        <f ca="1"/>
        <v>32462.189189357643</v>
      </c>
      <c r="N314" s="25">
        <f t="shared" si="12"/>
        <v>244354.99000000005</v>
      </c>
      <c r="O314" s="25">
        <f t="shared" ca="1" si="13"/>
        <v>1</v>
      </c>
      <c r="P314" s="25">
        <f t="shared" ca="1" si="14"/>
        <v>0.86715151923290923</v>
      </c>
    </row>
    <row r="315" spans="12:16" s="23" customFormat="1" ht="13.8">
      <c r="L315" s="23">
        <v>312</v>
      </c>
      <c r="M315" s="23">
        <f ca="1"/>
        <v>201793.16355688922</v>
      </c>
      <c r="N315" s="25">
        <f t="shared" si="12"/>
        <v>244354.99000000005</v>
      </c>
      <c r="O315" s="25">
        <f t="shared" ca="1" si="13"/>
        <v>1</v>
      </c>
      <c r="P315" s="25">
        <f t="shared" ca="1" si="14"/>
        <v>0.17418030400406725</v>
      </c>
    </row>
    <row r="316" spans="12:16" s="23" customFormat="1" ht="13.8">
      <c r="L316" s="33">
        <v>313</v>
      </c>
      <c r="M316" s="23">
        <f ca="1"/>
        <v>137313.07459916774</v>
      </c>
      <c r="N316" s="25">
        <f t="shared" si="12"/>
        <v>244354.99000000005</v>
      </c>
      <c r="O316" s="25">
        <f t="shared" ca="1" si="13"/>
        <v>1</v>
      </c>
      <c r="P316" s="25">
        <f t="shared" ca="1" si="14"/>
        <v>0.43805905253186067</v>
      </c>
    </row>
    <row r="317" spans="12:16" s="23" customFormat="1" ht="13.8">
      <c r="L317" s="23">
        <v>314</v>
      </c>
      <c r="M317" s="23">
        <f ca="1"/>
        <v>79692.314609424328</v>
      </c>
      <c r="N317" s="25">
        <f t="shared" si="12"/>
        <v>244354.99000000005</v>
      </c>
      <c r="O317" s="25">
        <f t="shared" ca="1" si="13"/>
        <v>1</v>
      </c>
      <c r="P317" s="25">
        <f t="shared" ca="1" si="14"/>
        <v>0.67386663718459638</v>
      </c>
    </row>
    <row r="318" spans="12:16" s="23" customFormat="1" ht="13.8">
      <c r="L318" s="33">
        <v>315</v>
      </c>
      <c r="M318" s="23">
        <f ca="1"/>
        <v>154592.2878575862</v>
      </c>
      <c r="N318" s="25">
        <f t="shared" si="12"/>
        <v>244354.99000000005</v>
      </c>
      <c r="O318" s="25">
        <f t="shared" ca="1" si="13"/>
        <v>1</v>
      </c>
      <c r="P318" s="25">
        <f t="shared" ca="1" si="14"/>
        <v>0.36734548429894487</v>
      </c>
    </row>
    <row r="319" spans="12:16" s="23" customFormat="1" ht="13.8">
      <c r="L319" s="23">
        <v>316</v>
      </c>
      <c r="M319" s="23">
        <f ca="1"/>
        <v>131325.11902470017</v>
      </c>
      <c r="N319" s="25">
        <f t="shared" si="12"/>
        <v>244354.99000000005</v>
      </c>
      <c r="O319" s="25">
        <f t="shared" ca="1" si="13"/>
        <v>1</v>
      </c>
      <c r="P319" s="25">
        <f t="shared" ca="1" si="14"/>
        <v>0.46256420208688948</v>
      </c>
    </row>
    <row r="320" spans="12:16" s="23" customFormat="1" ht="13.8">
      <c r="L320" s="33">
        <v>317</v>
      </c>
      <c r="M320" s="23">
        <f ca="1"/>
        <v>318938.49690214609</v>
      </c>
      <c r="N320" s="25">
        <f t="shared" si="12"/>
        <v>244354.99000000005</v>
      </c>
      <c r="O320" s="25">
        <f t="shared" ca="1" si="13"/>
        <v>0</v>
      </c>
      <c r="P320" s="25">
        <f t="shared" ca="1" si="14"/>
        <v>0</v>
      </c>
    </row>
    <row r="321" spans="12:16" s="23" customFormat="1" ht="13.8">
      <c r="L321" s="23">
        <v>318</v>
      </c>
      <c r="M321" s="23">
        <f ca="1"/>
        <v>70322.556249641842</v>
      </c>
      <c r="N321" s="25">
        <f t="shared" si="12"/>
        <v>244354.99000000005</v>
      </c>
      <c r="O321" s="25">
        <f t="shared" ca="1" si="13"/>
        <v>1</v>
      </c>
      <c r="P321" s="25">
        <f t="shared" ca="1" si="14"/>
        <v>0.71221149914048476</v>
      </c>
    </row>
    <row r="322" spans="12:16" s="23" customFormat="1" ht="13.8">
      <c r="L322" s="33">
        <v>319</v>
      </c>
      <c r="M322" s="23">
        <f ca="1"/>
        <v>226969.50594477952</v>
      </c>
      <c r="N322" s="25">
        <f t="shared" si="12"/>
        <v>244354.99000000005</v>
      </c>
      <c r="O322" s="25">
        <f t="shared" ca="1" si="13"/>
        <v>1</v>
      </c>
      <c r="P322" s="25">
        <f t="shared" ca="1" si="14"/>
        <v>7.1148471554522072E-2</v>
      </c>
    </row>
    <row r="323" spans="12:16" s="23" customFormat="1" ht="13.8">
      <c r="L323" s="23">
        <v>320</v>
      </c>
      <c r="M323" s="23">
        <f ca="1"/>
        <v>213588.69035753384</v>
      </c>
      <c r="N323" s="25">
        <f t="shared" si="12"/>
        <v>244354.99000000005</v>
      </c>
      <c r="O323" s="25">
        <f t="shared" ca="1" si="13"/>
        <v>1</v>
      </c>
      <c r="P323" s="25">
        <f t="shared" ca="1" si="14"/>
        <v>0.12590821101081753</v>
      </c>
    </row>
    <row r="324" spans="12:16" s="23" customFormat="1" ht="13.8">
      <c r="L324" s="33">
        <v>321</v>
      </c>
      <c r="M324" s="23">
        <f ca="1"/>
        <v>33830.292427304768</v>
      </c>
      <c r="N324" s="25">
        <f t="shared" ref="N324:N387" si="15">($C$22+$E$22)*1.1</f>
        <v>244354.99000000005</v>
      </c>
      <c r="O324" s="25">
        <f t="shared" ca="1" si="13"/>
        <v>1</v>
      </c>
      <c r="P324" s="25">
        <f t="shared" ca="1" si="14"/>
        <v>0.86155268436586963</v>
      </c>
    </row>
    <row r="325" spans="12:16" s="23" customFormat="1" ht="13.8">
      <c r="L325" s="23">
        <v>322</v>
      </c>
      <c r="M325" s="23">
        <f ca="1"/>
        <v>41427.137896611675</v>
      </c>
      <c r="N325" s="25">
        <f t="shared" si="15"/>
        <v>244354.99000000005</v>
      </c>
      <c r="O325" s="25">
        <f t="shared" ref="O325:O388" ca="1" si="16">IF(M325&lt;N325,1,0)</f>
        <v>1</v>
      </c>
      <c r="P325" s="25">
        <f t="shared" ref="P325:P388" ca="1" si="17">MAX((N325-M325)/N325,0)</f>
        <v>0.83046330301414484</v>
      </c>
    </row>
    <row r="326" spans="12:16" s="23" customFormat="1" ht="13.8">
      <c r="L326" s="33">
        <v>323</v>
      </c>
      <c r="M326" s="23">
        <f ca="1"/>
        <v>121798.77340013253</v>
      </c>
      <c r="N326" s="25">
        <f t="shared" si="15"/>
        <v>244354.99000000005</v>
      </c>
      <c r="O326" s="25">
        <f t="shared" ca="1" si="16"/>
        <v>1</v>
      </c>
      <c r="P326" s="25">
        <f t="shared" ca="1" si="17"/>
        <v>0.50154988281543789</v>
      </c>
    </row>
    <row r="327" spans="12:16" s="23" customFormat="1" ht="13.8">
      <c r="L327" s="23">
        <v>324</v>
      </c>
      <c r="M327" s="23">
        <f ca="1"/>
        <v>120832.91543010606</v>
      </c>
      <c r="N327" s="25">
        <f t="shared" si="15"/>
        <v>244354.99000000005</v>
      </c>
      <c r="O327" s="25">
        <f t="shared" ca="1" si="16"/>
        <v>1</v>
      </c>
      <c r="P327" s="25">
        <f t="shared" ca="1" si="17"/>
        <v>0.50550256645012226</v>
      </c>
    </row>
    <row r="328" spans="12:16" s="23" customFormat="1" ht="13.8">
      <c r="L328" s="33">
        <v>325</v>
      </c>
      <c r="M328" s="23">
        <f ca="1"/>
        <v>38429.498119448355</v>
      </c>
      <c r="N328" s="25">
        <f t="shared" si="15"/>
        <v>244354.99000000005</v>
      </c>
      <c r="O328" s="25">
        <f t="shared" ca="1" si="16"/>
        <v>1</v>
      </c>
      <c r="P328" s="25">
        <f t="shared" ca="1" si="17"/>
        <v>0.84273086414380827</v>
      </c>
    </row>
    <row r="329" spans="12:16" s="23" customFormat="1" ht="13.8">
      <c r="L329" s="23">
        <v>326</v>
      </c>
      <c r="M329" s="23">
        <f ca="1"/>
        <v>134945.35304136234</v>
      </c>
      <c r="N329" s="25">
        <f t="shared" si="15"/>
        <v>244354.99000000005</v>
      </c>
      <c r="O329" s="25">
        <f t="shared" ca="1" si="16"/>
        <v>1</v>
      </c>
      <c r="P329" s="25">
        <f t="shared" ca="1" si="17"/>
        <v>0.4477487321156719</v>
      </c>
    </row>
    <row r="330" spans="12:16" s="23" customFormat="1" ht="13.8">
      <c r="L330" s="33">
        <v>327</v>
      </c>
      <c r="M330" s="23">
        <f ca="1"/>
        <v>180950.90465774527</v>
      </c>
      <c r="N330" s="25">
        <f t="shared" si="15"/>
        <v>244354.99000000005</v>
      </c>
      <c r="O330" s="25">
        <f t="shared" ca="1" si="16"/>
        <v>1</v>
      </c>
      <c r="P330" s="25">
        <f t="shared" ca="1" si="17"/>
        <v>0.25947530411494674</v>
      </c>
    </row>
    <row r="331" spans="12:16" s="23" customFormat="1" ht="13.8">
      <c r="L331" s="23">
        <v>328</v>
      </c>
      <c r="M331" s="23">
        <f ca="1"/>
        <v>277520.33714255289</v>
      </c>
      <c r="N331" s="25">
        <f t="shared" si="15"/>
        <v>244354.99000000005</v>
      </c>
      <c r="O331" s="25">
        <f t="shared" ca="1" si="16"/>
        <v>0</v>
      </c>
      <c r="P331" s="25">
        <f t="shared" ca="1" si="17"/>
        <v>0</v>
      </c>
    </row>
    <row r="332" spans="12:16" s="23" customFormat="1" ht="13.8">
      <c r="L332" s="33">
        <v>329</v>
      </c>
      <c r="M332" s="23">
        <f ca="1"/>
        <v>105481.68090024807</v>
      </c>
      <c r="N332" s="25">
        <f t="shared" si="15"/>
        <v>244354.99000000005</v>
      </c>
      <c r="O332" s="25">
        <f t="shared" ca="1" si="16"/>
        <v>1</v>
      </c>
      <c r="P332" s="25">
        <f t="shared" ca="1" si="17"/>
        <v>0.56832606160304711</v>
      </c>
    </row>
    <row r="333" spans="12:16" s="23" customFormat="1" ht="13.8">
      <c r="L333" s="23">
        <v>330</v>
      </c>
      <c r="M333" s="23">
        <f ca="1"/>
        <v>259957.15816403212</v>
      </c>
      <c r="N333" s="25">
        <f t="shared" si="15"/>
        <v>244354.99000000005</v>
      </c>
      <c r="O333" s="25">
        <f t="shared" ca="1" si="16"/>
        <v>0</v>
      </c>
      <c r="P333" s="25">
        <f t="shared" ca="1" si="17"/>
        <v>0</v>
      </c>
    </row>
    <row r="334" spans="12:16" s="23" customFormat="1" ht="13.8">
      <c r="L334" s="33">
        <v>331</v>
      </c>
      <c r="M334" s="23">
        <f ca="1"/>
        <v>241119.65489490668</v>
      </c>
      <c r="N334" s="25">
        <f t="shared" si="15"/>
        <v>244354.99000000005</v>
      </c>
      <c r="O334" s="25">
        <f t="shared" ca="1" si="16"/>
        <v>1</v>
      </c>
      <c r="P334" s="25">
        <f t="shared" ca="1" si="17"/>
        <v>1.3240307083941154E-2</v>
      </c>
    </row>
    <row r="335" spans="12:16" s="23" customFormat="1" ht="13.8">
      <c r="L335" s="23">
        <v>332</v>
      </c>
      <c r="M335" s="23">
        <f ca="1"/>
        <v>481.21127312788553</v>
      </c>
      <c r="N335" s="25">
        <f t="shared" si="15"/>
        <v>244354.99000000005</v>
      </c>
      <c r="O335" s="25">
        <f t="shared" ca="1" si="16"/>
        <v>1</v>
      </c>
      <c r="P335" s="25">
        <f t="shared" ca="1" si="17"/>
        <v>0.9980306877582984</v>
      </c>
    </row>
    <row r="336" spans="12:16" s="23" customFormat="1" ht="13.8">
      <c r="L336" s="33">
        <v>333</v>
      </c>
      <c r="M336" s="23">
        <f ca="1"/>
        <v>283780.25680266897</v>
      </c>
      <c r="N336" s="25">
        <f t="shared" si="15"/>
        <v>244354.99000000005</v>
      </c>
      <c r="O336" s="25">
        <f t="shared" ca="1" si="16"/>
        <v>0</v>
      </c>
      <c r="P336" s="25">
        <f t="shared" ca="1" si="17"/>
        <v>0</v>
      </c>
    </row>
    <row r="337" spans="12:16" s="23" customFormat="1" ht="13.8">
      <c r="L337" s="23">
        <v>334</v>
      </c>
      <c r="M337" s="23">
        <f ca="1"/>
        <v>59114.779952043435</v>
      </c>
      <c r="N337" s="25">
        <f t="shared" si="15"/>
        <v>244354.99000000005</v>
      </c>
      <c r="O337" s="25">
        <f t="shared" ca="1" si="16"/>
        <v>1</v>
      </c>
      <c r="P337" s="25">
        <f t="shared" ca="1" si="17"/>
        <v>0.75807827803294126</v>
      </c>
    </row>
    <row r="338" spans="12:16" s="23" customFormat="1" ht="13.8">
      <c r="L338" s="33">
        <v>335</v>
      </c>
      <c r="M338" s="23">
        <f ca="1"/>
        <v>159823.29970828255</v>
      </c>
      <c r="N338" s="25">
        <f t="shared" si="15"/>
        <v>244354.99000000005</v>
      </c>
      <c r="O338" s="25">
        <f t="shared" ca="1" si="16"/>
        <v>1</v>
      </c>
      <c r="P338" s="25">
        <f t="shared" ca="1" si="17"/>
        <v>0.34593805631600766</v>
      </c>
    </row>
    <row r="339" spans="12:16" s="23" customFormat="1" ht="13.8">
      <c r="L339" s="23">
        <v>336</v>
      </c>
      <c r="M339" s="23">
        <f ca="1"/>
        <v>239105.91723082398</v>
      </c>
      <c r="N339" s="25">
        <f t="shared" si="15"/>
        <v>244354.99000000005</v>
      </c>
      <c r="O339" s="25">
        <f t="shared" ca="1" si="16"/>
        <v>1</v>
      </c>
      <c r="P339" s="25">
        <f t="shared" ca="1" si="17"/>
        <v>2.1481340606860817E-2</v>
      </c>
    </row>
    <row r="340" spans="12:16" s="23" customFormat="1" ht="13.8">
      <c r="L340" s="33">
        <v>337</v>
      </c>
      <c r="M340" s="23">
        <f ca="1"/>
        <v>308513.3016398098</v>
      </c>
      <c r="N340" s="25">
        <f t="shared" si="15"/>
        <v>244354.99000000005</v>
      </c>
      <c r="O340" s="25">
        <f t="shared" ca="1" si="16"/>
        <v>0</v>
      </c>
      <c r="P340" s="25">
        <f t="shared" ca="1" si="17"/>
        <v>0</v>
      </c>
    </row>
    <row r="341" spans="12:16" s="23" customFormat="1" ht="13.8">
      <c r="L341" s="23">
        <v>338</v>
      </c>
      <c r="M341" s="23">
        <f ca="1"/>
        <v>120636.3562634657</v>
      </c>
      <c r="N341" s="25">
        <f t="shared" si="15"/>
        <v>244354.99000000005</v>
      </c>
      <c r="O341" s="25">
        <f t="shared" ca="1" si="16"/>
        <v>1</v>
      </c>
      <c r="P341" s="25">
        <f t="shared" ca="1" si="17"/>
        <v>0.50630696650203189</v>
      </c>
    </row>
    <row r="342" spans="12:16" s="23" customFormat="1" ht="13.8">
      <c r="L342" s="33">
        <v>339</v>
      </c>
      <c r="M342" s="23">
        <f ca="1"/>
        <v>95209.199424443199</v>
      </c>
      <c r="N342" s="25">
        <f t="shared" si="15"/>
        <v>244354.99000000005</v>
      </c>
      <c r="O342" s="25">
        <f t="shared" ca="1" si="16"/>
        <v>1</v>
      </c>
      <c r="P342" s="25">
        <f t="shared" ca="1" si="17"/>
        <v>0.61036523369363904</v>
      </c>
    </row>
    <row r="343" spans="12:16" s="23" customFormat="1" ht="13.8">
      <c r="L343" s="23">
        <v>340</v>
      </c>
      <c r="M343" s="23">
        <f ca="1"/>
        <v>-30089.263554014509</v>
      </c>
      <c r="N343" s="25">
        <f t="shared" si="15"/>
        <v>244354.99000000005</v>
      </c>
      <c r="O343" s="25">
        <f t="shared" ca="1" si="16"/>
        <v>1</v>
      </c>
      <c r="P343" s="25">
        <f t="shared" ca="1" si="17"/>
        <v>1.1231375039814595</v>
      </c>
    </row>
    <row r="344" spans="12:16" s="23" customFormat="1" ht="13.8">
      <c r="L344" s="33">
        <v>341</v>
      </c>
      <c r="M344" s="23">
        <f ca="1"/>
        <v>90711.583544332883</v>
      </c>
      <c r="N344" s="25">
        <f t="shared" si="15"/>
        <v>244354.99000000005</v>
      </c>
      <c r="O344" s="25">
        <f t="shared" ca="1" si="16"/>
        <v>1</v>
      </c>
      <c r="P344" s="25">
        <f t="shared" ca="1" si="17"/>
        <v>0.62877130708755791</v>
      </c>
    </row>
    <row r="345" spans="12:16" s="23" customFormat="1" ht="13.8">
      <c r="L345" s="23">
        <v>342</v>
      </c>
      <c r="M345" s="23">
        <f ca="1"/>
        <v>266237.91544492933</v>
      </c>
      <c r="N345" s="25">
        <f t="shared" si="15"/>
        <v>244354.99000000005</v>
      </c>
      <c r="O345" s="25">
        <f t="shared" ca="1" si="16"/>
        <v>0</v>
      </c>
      <c r="P345" s="25">
        <f t="shared" ca="1" si="17"/>
        <v>0</v>
      </c>
    </row>
    <row r="346" spans="12:16" s="23" customFormat="1" ht="13.8">
      <c r="L346" s="33">
        <v>343</v>
      </c>
      <c r="M346" s="23">
        <f ca="1"/>
        <v>176599.64946065997</v>
      </c>
      <c r="N346" s="25">
        <f t="shared" si="15"/>
        <v>244354.99000000005</v>
      </c>
      <c r="O346" s="25">
        <f t="shared" ca="1" si="16"/>
        <v>1</v>
      </c>
      <c r="P346" s="25">
        <f t="shared" ca="1" si="17"/>
        <v>0.27728241006799192</v>
      </c>
    </row>
    <row r="347" spans="12:16" s="23" customFormat="1" ht="13.8">
      <c r="L347" s="23">
        <v>344</v>
      </c>
      <c r="M347" s="23">
        <f ca="1"/>
        <v>203106.80690757086</v>
      </c>
      <c r="N347" s="25">
        <f t="shared" si="15"/>
        <v>244354.99000000005</v>
      </c>
      <c r="O347" s="25">
        <f t="shared" ca="1" si="16"/>
        <v>1</v>
      </c>
      <c r="P347" s="25">
        <f t="shared" ca="1" si="17"/>
        <v>0.16880434114494317</v>
      </c>
    </row>
    <row r="348" spans="12:16" s="23" customFormat="1" ht="13.8">
      <c r="L348" s="33">
        <v>345</v>
      </c>
      <c r="M348" s="23">
        <f ca="1"/>
        <v>-3991.8297214940558</v>
      </c>
      <c r="N348" s="25">
        <f t="shared" si="15"/>
        <v>244354.99000000005</v>
      </c>
      <c r="O348" s="25">
        <f t="shared" ca="1" si="16"/>
        <v>1</v>
      </c>
      <c r="P348" s="25">
        <f t="shared" ca="1" si="17"/>
        <v>1.0163361907260173</v>
      </c>
    </row>
    <row r="349" spans="12:16" s="23" customFormat="1" ht="13.8">
      <c r="L349" s="23">
        <v>346</v>
      </c>
      <c r="M349" s="23">
        <f ca="1"/>
        <v>146795.01387422864</v>
      </c>
      <c r="N349" s="25">
        <f t="shared" si="15"/>
        <v>244354.99000000005</v>
      </c>
      <c r="O349" s="25">
        <f t="shared" ca="1" si="16"/>
        <v>1</v>
      </c>
      <c r="P349" s="25">
        <f t="shared" ca="1" si="17"/>
        <v>0.39925510064587344</v>
      </c>
    </row>
    <row r="350" spans="12:16" s="23" customFormat="1" ht="13.8">
      <c r="L350" s="33">
        <v>347</v>
      </c>
      <c r="M350" s="23">
        <f ca="1"/>
        <v>125938.39634026792</v>
      </c>
      <c r="N350" s="25">
        <f t="shared" si="15"/>
        <v>244354.99000000005</v>
      </c>
      <c r="O350" s="25">
        <f t="shared" ca="1" si="16"/>
        <v>1</v>
      </c>
      <c r="P350" s="25">
        <f t="shared" ca="1" si="17"/>
        <v>0.48460886213018239</v>
      </c>
    </row>
    <row r="351" spans="12:16" s="23" customFormat="1" ht="13.8">
      <c r="L351" s="23">
        <v>348</v>
      </c>
      <c r="M351" s="23">
        <f ca="1"/>
        <v>-54891.526215616257</v>
      </c>
      <c r="N351" s="25">
        <f t="shared" si="15"/>
        <v>244354.99000000005</v>
      </c>
      <c r="O351" s="25">
        <f t="shared" ca="1" si="16"/>
        <v>1</v>
      </c>
      <c r="P351" s="25">
        <f t="shared" ca="1" si="17"/>
        <v>1.2246384500501351</v>
      </c>
    </row>
    <row r="352" spans="12:16" s="23" customFormat="1" ht="13.8">
      <c r="L352" s="33">
        <v>349</v>
      </c>
      <c r="M352" s="23">
        <f ca="1"/>
        <v>39160.593941184241</v>
      </c>
      <c r="N352" s="25">
        <f t="shared" si="15"/>
        <v>244354.99000000005</v>
      </c>
      <c r="O352" s="25">
        <f t="shared" ca="1" si="16"/>
        <v>1</v>
      </c>
      <c r="P352" s="25">
        <f t="shared" ca="1" si="17"/>
        <v>0.83973892269937189</v>
      </c>
    </row>
    <row r="353" spans="12:16" s="23" customFormat="1" ht="13.8">
      <c r="L353" s="23">
        <v>350</v>
      </c>
      <c r="M353" s="23">
        <f ca="1"/>
        <v>137308.7333498497</v>
      </c>
      <c r="N353" s="25">
        <f t="shared" si="15"/>
        <v>244354.99000000005</v>
      </c>
      <c r="O353" s="25">
        <f t="shared" ca="1" si="16"/>
        <v>1</v>
      </c>
      <c r="P353" s="25">
        <f t="shared" ca="1" si="17"/>
        <v>0.43807681868968718</v>
      </c>
    </row>
    <row r="354" spans="12:16" s="23" customFormat="1" ht="13.8">
      <c r="L354" s="33">
        <v>351</v>
      </c>
      <c r="M354" s="23">
        <f ca="1"/>
        <v>142417.58639230751</v>
      </c>
      <c r="N354" s="25">
        <f t="shared" si="15"/>
        <v>244354.99000000005</v>
      </c>
      <c r="O354" s="25">
        <f t="shared" ca="1" si="16"/>
        <v>1</v>
      </c>
      <c r="P354" s="25">
        <f t="shared" ca="1" si="17"/>
        <v>0.41716931423292203</v>
      </c>
    </row>
    <row r="355" spans="12:16" s="23" customFormat="1" ht="13.8">
      <c r="L355" s="23">
        <v>352</v>
      </c>
      <c r="M355" s="23">
        <f ca="1"/>
        <v>157825.35910047221</v>
      </c>
      <c r="N355" s="25">
        <f t="shared" si="15"/>
        <v>244354.99000000005</v>
      </c>
      <c r="O355" s="25">
        <f t="shared" ca="1" si="16"/>
        <v>1</v>
      </c>
      <c r="P355" s="25">
        <f t="shared" ca="1" si="17"/>
        <v>0.35411444185988517</v>
      </c>
    </row>
    <row r="356" spans="12:16" s="23" customFormat="1" ht="13.8">
      <c r="L356" s="33">
        <v>353</v>
      </c>
      <c r="M356" s="23">
        <f ca="1"/>
        <v>-34795.705004091848</v>
      </c>
      <c r="N356" s="25">
        <f t="shared" si="15"/>
        <v>244354.99000000005</v>
      </c>
      <c r="O356" s="25">
        <f t="shared" ca="1" si="16"/>
        <v>1</v>
      </c>
      <c r="P356" s="25">
        <f t="shared" ca="1" si="17"/>
        <v>1.1423981765385345</v>
      </c>
    </row>
    <row r="357" spans="12:16" s="23" customFormat="1" ht="13.8">
      <c r="L357" s="23">
        <v>354</v>
      </c>
      <c r="M357" s="23">
        <f ca="1"/>
        <v>276766.48160165822</v>
      </c>
      <c r="N357" s="25">
        <f t="shared" si="15"/>
        <v>244354.99000000005</v>
      </c>
      <c r="O357" s="25">
        <f t="shared" ca="1" si="16"/>
        <v>0</v>
      </c>
      <c r="P357" s="25">
        <f t="shared" ca="1" si="17"/>
        <v>0</v>
      </c>
    </row>
    <row r="358" spans="12:16" s="23" customFormat="1" ht="13.8">
      <c r="L358" s="33">
        <v>355</v>
      </c>
      <c r="M358" s="23">
        <f ca="1"/>
        <v>59253.767804027499</v>
      </c>
      <c r="N358" s="25">
        <f t="shared" si="15"/>
        <v>244354.99000000005</v>
      </c>
      <c r="O358" s="25">
        <f t="shared" ca="1" si="16"/>
        <v>1</v>
      </c>
      <c r="P358" s="25">
        <f t="shared" ca="1" si="17"/>
        <v>0.75750948321527012</v>
      </c>
    </row>
    <row r="359" spans="12:16" s="23" customFormat="1" ht="13.8">
      <c r="L359" s="23">
        <v>356</v>
      </c>
      <c r="M359" s="23">
        <f ca="1"/>
        <v>131456.99164558994</v>
      </c>
      <c r="N359" s="25">
        <f t="shared" si="15"/>
        <v>244354.99000000005</v>
      </c>
      <c r="O359" s="25">
        <f t="shared" ca="1" si="16"/>
        <v>1</v>
      </c>
      <c r="P359" s="25">
        <f t="shared" ca="1" si="17"/>
        <v>0.46202452568867158</v>
      </c>
    </row>
    <row r="360" spans="12:16" s="23" customFormat="1" ht="13.8">
      <c r="L360" s="33">
        <v>357</v>
      </c>
      <c r="M360" s="23">
        <f ca="1"/>
        <v>226021.84454819554</v>
      </c>
      <c r="N360" s="25">
        <f t="shared" si="15"/>
        <v>244354.99000000005</v>
      </c>
      <c r="O360" s="25">
        <f t="shared" ca="1" si="16"/>
        <v>1</v>
      </c>
      <c r="P360" s="25">
        <f t="shared" ca="1" si="17"/>
        <v>7.5026687410003387E-2</v>
      </c>
    </row>
    <row r="361" spans="12:16" s="23" customFormat="1" ht="13.8">
      <c r="L361" s="23">
        <v>358</v>
      </c>
      <c r="M361" s="23">
        <f ca="1"/>
        <v>61942.07757896636</v>
      </c>
      <c r="N361" s="25">
        <f t="shared" si="15"/>
        <v>244354.99000000005</v>
      </c>
      <c r="O361" s="25">
        <f t="shared" ca="1" si="16"/>
        <v>1</v>
      </c>
      <c r="P361" s="25">
        <f t="shared" ca="1" si="17"/>
        <v>0.74650782626143075</v>
      </c>
    </row>
    <row r="362" spans="12:16" s="23" customFormat="1" ht="13.8">
      <c r="L362" s="33">
        <v>359</v>
      </c>
      <c r="M362" s="23">
        <f ca="1"/>
        <v>48527.273835556291</v>
      </c>
      <c r="N362" s="25">
        <f t="shared" si="15"/>
        <v>244354.99000000005</v>
      </c>
      <c r="O362" s="25">
        <f t="shared" ca="1" si="16"/>
        <v>1</v>
      </c>
      <c r="P362" s="25">
        <f t="shared" ca="1" si="17"/>
        <v>0.80140665907597675</v>
      </c>
    </row>
    <row r="363" spans="12:16" s="23" customFormat="1" ht="13.8">
      <c r="L363" s="23">
        <v>360</v>
      </c>
      <c r="M363" s="23">
        <f ca="1"/>
        <v>175333.95271161359</v>
      </c>
      <c r="N363" s="25">
        <f t="shared" si="15"/>
        <v>244354.99000000005</v>
      </c>
      <c r="O363" s="25">
        <f t="shared" ca="1" si="16"/>
        <v>1</v>
      </c>
      <c r="P363" s="25">
        <f t="shared" ca="1" si="17"/>
        <v>0.28246215593299917</v>
      </c>
    </row>
    <row r="364" spans="12:16" s="23" customFormat="1" ht="13.8">
      <c r="L364" s="33">
        <v>361</v>
      </c>
      <c r="M364" s="23">
        <f ca="1"/>
        <v>237446.51994163165</v>
      </c>
      <c r="N364" s="25">
        <f t="shared" si="15"/>
        <v>244354.99000000005</v>
      </c>
      <c r="O364" s="25">
        <f t="shared" ca="1" si="16"/>
        <v>1</v>
      </c>
      <c r="P364" s="25">
        <f t="shared" ca="1" si="17"/>
        <v>2.8272269202967375E-2</v>
      </c>
    </row>
    <row r="365" spans="12:16" s="23" customFormat="1" ht="13.8">
      <c r="L365" s="23">
        <v>362</v>
      </c>
      <c r="M365" s="23">
        <f ca="1"/>
        <v>101646.87185137486</v>
      </c>
      <c r="N365" s="25">
        <f t="shared" si="15"/>
        <v>244354.99000000005</v>
      </c>
      <c r="O365" s="25">
        <f t="shared" ca="1" si="16"/>
        <v>1</v>
      </c>
      <c r="P365" s="25">
        <f t="shared" ca="1" si="17"/>
        <v>0.5840196598752706</v>
      </c>
    </row>
    <row r="366" spans="12:16" s="23" customFormat="1" ht="13.8">
      <c r="L366" s="33">
        <v>363</v>
      </c>
      <c r="M366" s="23">
        <f ca="1"/>
        <v>-76076.837124375365</v>
      </c>
      <c r="N366" s="25">
        <f t="shared" si="15"/>
        <v>244354.99000000005</v>
      </c>
      <c r="O366" s="25">
        <f t="shared" ca="1" si="16"/>
        <v>1</v>
      </c>
      <c r="P366" s="25">
        <f t="shared" ca="1" si="17"/>
        <v>1.3113373585060626</v>
      </c>
    </row>
    <row r="367" spans="12:16" s="23" customFormat="1" ht="13.8">
      <c r="L367" s="23">
        <v>364</v>
      </c>
      <c r="M367" s="23">
        <f ca="1"/>
        <v>129571.56328964497</v>
      </c>
      <c r="N367" s="25">
        <f t="shared" si="15"/>
        <v>244354.99000000005</v>
      </c>
      <c r="O367" s="25">
        <f t="shared" ca="1" si="16"/>
        <v>1</v>
      </c>
      <c r="P367" s="25">
        <f t="shared" ca="1" si="17"/>
        <v>0.46974046533837943</v>
      </c>
    </row>
    <row r="368" spans="12:16" s="23" customFormat="1" ht="13.8">
      <c r="L368" s="33">
        <v>365</v>
      </c>
      <c r="M368" s="23">
        <f ca="1"/>
        <v>64739.911892224125</v>
      </c>
      <c r="N368" s="25">
        <f t="shared" si="15"/>
        <v>244354.99000000005</v>
      </c>
      <c r="O368" s="25">
        <f t="shared" ca="1" si="16"/>
        <v>1</v>
      </c>
      <c r="P368" s="25">
        <f t="shared" ca="1" si="17"/>
        <v>0.7350579503523782</v>
      </c>
    </row>
    <row r="369" spans="12:16" s="23" customFormat="1" ht="13.8">
      <c r="L369" s="23">
        <v>366</v>
      </c>
      <c r="M369" s="23">
        <f ca="1"/>
        <v>109019.98485655084</v>
      </c>
      <c r="N369" s="25">
        <f t="shared" si="15"/>
        <v>244354.99000000005</v>
      </c>
      <c r="O369" s="25">
        <f t="shared" ca="1" si="16"/>
        <v>1</v>
      </c>
      <c r="P369" s="25">
        <f t="shared" ca="1" si="17"/>
        <v>0.55384588276036095</v>
      </c>
    </row>
    <row r="370" spans="12:16" s="23" customFormat="1" ht="13.8">
      <c r="L370" s="33">
        <v>367</v>
      </c>
      <c r="M370" s="23">
        <f ca="1"/>
        <v>111614.57858778178</v>
      </c>
      <c r="N370" s="25">
        <f t="shared" si="15"/>
        <v>244354.99000000005</v>
      </c>
      <c r="O370" s="25">
        <f t="shared" ca="1" si="16"/>
        <v>1</v>
      </c>
      <c r="P370" s="25">
        <f t="shared" ca="1" si="17"/>
        <v>0.54322774997235879</v>
      </c>
    </row>
    <row r="371" spans="12:16" s="23" customFormat="1" ht="13.8">
      <c r="L371" s="23">
        <v>368</v>
      </c>
      <c r="M371" s="23">
        <f ca="1"/>
        <v>215251.18724466334</v>
      </c>
      <c r="N371" s="25">
        <f t="shared" si="15"/>
        <v>244354.99000000005</v>
      </c>
      <c r="O371" s="25">
        <f t="shared" ca="1" si="16"/>
        <v>1</v>
      </c>
      <c r="P371" s="25">
        <f t="shared" ca="1" si="17"/>
        <v>0.11910459759932346</v>
      </c>
    </row>
    <row r="372" spans="12:16" s="23" customFormat="1" ht="13.8">
      <c r="L372" s="33">
        <v>369</v>
      </c>
      <c r="M372" s="23">
        <f ca="1"/>
        <v>109606.70288582155</v>
      </c>
      <c r="N372" s="25">
        <f t="shared" si="15"/>
        <v>244354.99000000005</v>
      </c>
      <c r="O372" s="25">
        <f t="shared" ca="1" si="16"/>
        <v>1</v>
      </c>
      <c r="P372" s="25">
        <f t="shared" ca="1" si="17"/>
        <v>0.5514447939621715</v>
      </c>
    </row>
    <row r="373" spans="12:16" s="23" customFormat="1" ht="13.8">
      <c r="L373" s="23">
        <v>370</v>
      </c>
      <c r="M373" s="23">
        <f ca="1"/>
        <v>284534.74938778376</v>
      </c>
      <c r="N373" s="25">
        <f t="shared" si="15"/>
        <v>244354.99000000005</v>
      </c>
      <c r="O373" s="25">
        <f t="shared" ca="1" si="16"/>
        <v>0</v>
      </c>
      <c r="P373" s="25">
        <f t="shared" ca="1" si="17"/>
        <v>0</v>
      </c>
    </row>
    <row r="374" spans="12:16" s="23" customFormat="1" ht="13.8">
      <c r="L374" s="33">
        <v>371</v>
      </c>
      <c r="M374" s="23">
        <f ca="1"/>
        <v>-157023.7341270551</v>
      </c>
      <c r="N374" s="25">
        <f t="shared" si="15"/>
        <v>244354.99000000005</v>
      </c>
      <c r="O374" s="25">
        <f t="shared" ca="1" si="16"/>
        <v>1</v>
      </c>
      <c r="P374" s="25">
        <f t="shared" ca="1" si="17"/>
        <v>1.6426049827222888</v>
      </c>
    </row>
    <row r="375" spans="12:16" s="23" customFormat="1" ht="13.8">
      <c r="L375" s="23">
        <v>372</v>
      </c>
      <c r="M375" s="23">
        <f ca="1"/>
        <v>122476.73067890214</v>
      </c>
      <c r="N375" s="25">
        <f t="shared" si="15"/>
        <v>244354.99000000005</v>
      </c>
      <c r="O375" s="25">
        <f t="shared" ca="1" si="16"/>
        <v>1</v>
      </c>
      <c r="P375" s="25">
        <f t="shared" ca="1" si="17"/>
        <v>0.49877540590064434</v>
      </c>
    </row>
    <row r="376" spans="12:16" s="23" customFormat="1" ht="13.8">
      <c r="L376" s="33">
        <v>373</v>
      </c>
      <c r="M376" s="23">
        <f ca="1"/>
        <v>14171.219765566579</v>
      </c>
      <c r="N376" s="25">
        <f t="shared" si="15"/>
        <v>244354.99000000005</v>
      </c>
      <c r="O376" s="25">
        <f t="shared" ca="1" si="16"/>
        <v>1</v>
      </c>
      <c r="P376" s="25">
        <f t="shared" ca="1" si="17"/>
        <v>0.94200560518298981</v>
      </c>
    </row>
    <row r="377" spans="12:16" s="23" customFormat="1" ht="13.8">
      <c r="L377" s="23">
        <v>374</v>
      </c>
      <c r="M377" s="23">
        <f ca="1"/>
        <v>8932.6158197290442</v>
      </c>
      <c r="N377" s="25">
        <f t="shared" si="15"/>
        <v>244354.99000000005</v>
      </c>
      <c r="O377" s="25">
        <f t="shared" ca="1" si="16"/>
        <v>1</v>
      </c>
      <c r="P377" s="25">
        <f t="shared" ca="1" si="17"/>
        <v>0.96344410310700412</v>
      </c>
    </row>
    <row r="378" spans="12:16" s="23" customFormat="1" ht="13.8">
      <c r="L378" s="33">
        <v>375</v>
      </c>
      <c r="M378" s="23">
        <f ca="1"/>
        <v>336535.98934438662</v>
      </c>
      <c r="N378" s="25">
        <f t="shared" si="15"/>
        <v>244354.99000000005</v>
      </c>
      <c r="O378" s="25">
        <f t="shared" ca="1" si="16"/>
        <v>0</v>
      </c>
      <c r="P378" s="25">
        <f t="shared" ca="1" si="17"/>
        <v>0</v>
      </c>
    </row>
    <row r="379" spans="12:16" s="23" customFormat="1" ht="13.8">
      <c r="L379" s="23">
        <v>376</v>
      </c>
      <c r="M379" s="23">
        <f ca="1"/>
        <v>109861.93613471751</v>
      </c>
      <c r="N379" s="25">
        <f t="shared" si="15"/>
        <v>244354.99000000005</v>
      </c>
      <c r="O379" s="25">
        <f t="shared" ca="1" si="16"/>
        <v>1</v>
      </c>
      <c r="P379" s="25">
        <f t="shared" ca="1" si="17"/>
        <v>0.55040027570250361</v>
      </c>
    </row>
    <row r="380" spans="12:16" s="23" customFormat="1" ht="13.8">
      <c r="L380" s="33">
        <v>377</v>
      </c>
      <c r="M380" s="23">
        <f ca="1"/>
        <v>160078.30668821864</v>
      </c>
      <c r="N380" s="25">
        <f t="shared" si="15"/>
        <v>244354.99000000005</v>
      </c>
      <c r="O380" s="25">
        <f t="shared" ca="1" si="16"/>
        <v>1</v>
      </c>
      <c r="P380" s="25">
        <f t="shared" ca="1" si="17"/>
        <v>0.34489446404094876</v>
      </c>
    </row>
    <row r="381" spans="12:16" s="23" customFormat="1" ht="13.8">
      <c r="L381" s="23">
        <v>378</v>
      </c>
      <c r="M381" s="23">
        <f ca="1"/>
        <v>285118.56654239743</v>
      </c>
      <c r="N381" s="25">
        <f t="shared" si="15"/>
        <v>244354.99000000005</v>
      </c>
      <c r="O381" s="25">
        <f t="shared" ca="1" si="16"/>
        <v>0</v>
      </c>
      <c r="P381" s="25">
        <f t="shared" ca="1" si="17"/>
        <v>0</v>
      </c>
    </row>
    <row r="382" spans="12:16" s="23" customFormat="1" ht="13.8">
      <c r="L382" s="33">
        <v>379</v>
      </c>
      <c r="M382" s="23">
        <f ca="1"/>
        <v>191773.39871799087</v>
      </c>
      <c r="N382" s="25">
        <f t="shared" si="15"/>
        <v>244354.99000000005</v>
      </c>
      <c r="O382" s="25">
        <f t="shared" ca="1" si="16"/>
        <v>1</v>
      </c>
      <c r="P382" s="25">
        <f t="shared" ca="1" si="17"/>
        <v>0.21518525683477618</v>
      </c>
    </row>
    <row r="383" spans="12:16" s="23" customFormat="1" ht="13.8">
      <c r="L383" s="23">
        <v>380</v>
      </c>
      <c r="M383" s="23">
        <f ca="1"/>
        <v>77163.86093169784</v>
      </c>
      <c r="N383" s="25">
        <f t="shared" si="15"/>
        <v>244354.99000000005</v>
      </c>
      <c r="O383" s="25">
        <f t="shared" ca="1" si="16"/>
        <v>1</v>
      </c>
      <c r="P383" s="25">
        <f t="shared" ca="1" si="17"/>
        <v>0.68421409797402621</v>
      </c>
    </row>
    <row r="384" spans="12:16" s="23" customFormat="1" ht="13.8">
      <c r="L384" s="33">
        <v>381</v>
      </c>
      <c r="M384" s="23">
        <f ca="1"/>
        <v>-193130.40320563459</v>
      </c>
      <c r="N384" s="25">
        <f t="shared" si="15"/>
        <v>244354.99000000005</v>
      </c>
      <c r="O384" s="25">
        <f t="shared" ca="1" si="16"/>
        <v>1</v>
      </c>
      <c r="P384" s="25">
        <f t="shared" ca="1" si="17"/>
        <v>1.7903681574320811</v>
      </c>
    </row>
    <row r="385" spans="12:16" s="23" customFormat="1" ht="13.8">
      <c r="L385" s="23">
        <v>382</v>
      </c>
      <c r="M385" s="23">
        <f ca="1"/>
        <v>78728.882407936529</v>
      </c>
      <c r="N385" s="25">
        <f t="shared" si="15"/>
        <v>244354.99000000005</v>
      </c>
      <c r="O385" s="25">
        <f t="shared" ca="1" si="16"/>
        <v>1</v>
      </c>
      <c r="P385" s="25">
        <f t="shared" ca="1" si="17"/>
        <v>0.6778093935878432</v>
      </c>
    </row>
    <row r="386" spans="12:16" s="23" customFormat="1" ht="13.8">
      <c r="L386" s="33">
        <v>383</v>
      </c>
      <c r="M386" s="23">
        <f ca="1"/>
        <v>73742.833212593541</v>
      </c>
      <c r="N386" s="25">
        <f t="shared" si="15"/>
        <v>244354.99000000005</v>
      </c>
      <c r="O386" s="25">
        <f t="shared" ca="1" si="16"/>
        <v>1</v>
      </c>
      <c r="P386" s="25">
        <f t="shared" ca="1" si="17"/>
        <v>0.69821433475701267</v>
      </c>
    </row>
    <row r="387" spans="12:16" s="23" customFormat="1" ht="13.8">
      <c r="L387" s="23">
        <v>384</v>
      </c>
      <c r="M387" s="23">
        <f ca="1"/>
        <v>142265.69423595769</v>
      </c>
      <c r="N387" s="25">
        <f t="shared" si="15"/>
        <v>244354.99000000005</v>
      </c>
      <c r="O387" s="25">
        <f t="shared" ca="1" si="16"/>
        <v>1</v>
      </c>
      <c r="P387" s="25">
        <f t="shared" ca="1" si="17"/>
        <v>0.41779091871233054</v>
      </c>
    </row>
    <row r="388" spans="12:16" s="23" customFormat="1" ht="13.8">
      <c r="L388" s="33">
        <v>385</v>
      </c>
      <c r="M388" s="23">
        <f ca="1"/>
        <v>18819.172202068999</v>
      </c>
      <c r="N388" s="25">
        <f t="shared" ref="N388:N451" si="18">($C$22+$E$22)*1.1</f>
        <v>244354.99000000005</v>
      </c>
      <c r="O388" s="25">
        <f t="shared" ca="1" si="16"/>
        <v>1</v>
      </c>
      <c r="P388" s="25">
        <f t="shared" ca="1" si="17"/>
        <v>0.92298429345736299</v>
      </c>
    </row>
    <row r="389" spans="12:16" s="23" customFormat="1" ht="13.8">
      <c r="L389" s="23">
        <v>386</v>
      </c>
      <c r="M389" s="23">
        <f ca="1"/>
        <v>204263.84388437861</v>
      </c>
      <c r="N389" s="25">
        <f t="shared" si="18"/>
        <v>244354.99000000005</v>
      </c>
      <c r="O389" s="25">
        <f t="shared" ref="O389:O452" ca="1" si="19">IF(M389&lt;N389,1,0)</f>
        <v>1</v>
      </c>
      <c r="P389" s="25">
        <f t="shared" ref="P389:P452" ca="1" si="20">MAX((N389-M389)/N389,0)</f>
        <v>0.16406927526064202</v>
      </c>
    </row>
    <row r="390" spans="12:16" s="23" customFormat="1" ht="13.8">
      <c r="L390" s="33">
        <v>387</v>
      </c>
      <c r="M390" s="23">
        <f ca="1"/>
        <v>214061.92537393741</v>
      </c>
      <c r="N390" s="25">
        <f t="shared" si="18"/>
        <v>244354.99000000005</v>
      </c>
      <c r="O390" s="25">
        <f t="shared" ca="1" si="19"/>
        <v>1</v>
      </c>
      <c r="P390" s="25">
        <f t="shared" ca="1" si="20"/>
        <v>0.12397154085563233</v>
      </c>
    </row>
    <row r="391" spans="12:16" s="23" customFormat="1" ht="13.8">
      <c r="L391" s="23">
        <v>388</v>
      </c>
      <c r="M391" s="23">
        <f ca="1"/>
        <v>287721.03673420538</v>
      </c>
      <c r="N391" s="25">
        <f t="shared" si="18"/>
        <v>244354.99000000005</v>
      </c>
      <c r="O391" s="25">
        <f t="shared" ca="1" si="19"/>
        <v>0</v>
      </c>
      <c r="P391" s="25">
        <f t="shared" ca="1" si="20"/>
        <v>0</v>
      </c>
    </row>
    <row r="392" spans="12:16" s="23" customFormat="1" ht="13.8">
      <c r="L392" s="33">
        <v>389</v>
      </c>
      <c r="M392" s="23">
        <f ca="1"/>
        <v>178918.57127641549</v>
      </c>
      <c r="N392" s="25">
        <f t="shared" si="18"/>
        <v>244354.99000000005</v>
      </c>
      <c r="O392" s="25">
        <f t="shared" ca="1" si="19"/>
        <v>1</v>
      </c>
      <c r="P392" s="25">
        <f t="shared" ca="1" si="20"/>
        <v>0.26779243887585247</v>
      </c>
    </row>
    <row r="393" spans="12:16" s="23" customFormat="1" ht="13.8">
      <c r="L393" s="23">
        <v>390</v>
      </c>
      <c r="M393" s="23">
        <f ca="1"/>
        <v>108853.0572138477</v>
      </c>
      <c r="N393" s="25">
        <f t="shared" si="18"/>
        <v>244354.99000000005</v>
      </c>
      <c r="O393" s="25">
        <f t="shared" ca="1" si="19"/>
        <v>1</v>
      </c>
      <c r="P393" s="25">
        <f t="shared" ca="1" si="20"/>
        <v>0.55452901856496695</v>
      </c>
    </row>
    <row r="394" spans="12:16" s="23" customFormat="1" ht="13.8">
      <c r="L394" s="33">
        <v>391</v>
      </c>
      <c r="M394" s="23">
        <f ca="1"/>
        <v>187281.65265727753</v>
      </c>
      <c r="N394" s="25">
        <f t="shared" si="18"/>
        <v>244354.99000000005</v>
      </c>
      <c r="O394" s="25">
        <f t="shared" ca="1" si="19"/>
        <v>1</v>
      </c>
      <c r="P394" s="25">
        <f t="shared" ca="1" si="20"/>
        <v>0.23356730854042515</v>
      </c>
    </row>
    <row r="395" spans="12:16" s="23" customFormat="1" ht="13.8">
      <c r="L395" s="23">
        <v>392</v>
      </c>
      <c r="M395" s="23">
        <f ca="1"/>
        <v>173990.14846249262</v>
      </c>
      <c r="N395" s="25">
        <f t="shared" si="18"/>
        <v>244354.99000000005</v>
      </c>
      <c r="O395" s="25">
        <f t="shared" ca="1" si="19"/>
        <v>1</v>
      </c>
      <c r="P395" s="25">
        <f t="shared" ca="1" si="20"/>
        <v>0.28796154945518981</v>
      </c>
    </row>
    <row r="396" spans="12:16" s="23" customFormat="1" ht="13.8">
      <c r="L396" s="33">
        <v>393</v>
      </c>
      <c r="M396" s="23">
        <f ca="1"/>
        <v>82714.48731306415</v>
      </c>
      <c r="N396" s="25">
        <f t="shared" si="18"/>
        <v>244354.99000000005</v>
      </c>
      <c r="O396" s="25">
        <f t="shared" ca="1" si="19"/>
        <v>1</v>
      </c>
      <c r="P396" s="25">
        <f t="shared" ca="1" si="20"/>
        <v>0.66149867734207457</v>
      </c>
    </row>
    <row r="397" spans="12:16" s="23" customFormat="1" ht="13.8">
      <c r="L397" s="23">
        <v>394</v>
      </c>
      <c r="M397" s="23">
        <f ca="1"/>
        <v>66544.020233748874</v>
      </c>
      <c r="N397" s="25">
        <f t="shared" si="18"/>
        <v>244354.99000000005</v>
      </c>
      <c r="O397" s="25">
        <f t="shared" ca="1" si="19"/>
        <v>1</v>
      </c>
      <c r="P397" s="25">
        <f t="shared" ca="1" si="20"/>
        <v>0.72767480527510864</v>
      </c>
    </row>
    <row r="398" spans="12:16" s="23" customFormat="1" ht="13.8">
      <c r="L398" s="33">
        <v>395</v>
      </c>
      <c r="M398" s="23">
        <f ca="1"/>
        <v>226659.78587968234</v>
      </c>
      <c r="N398" s="25">
        <f t="shared" si="18"/>
        <v>244354.99000000005</v>
      </c>
      <c r="O398" s="25">
        <f t="shared" ca="1" si="19"/>
        <v>1</v>
      </c>
      <c r="P398" s="25">
        <f t="shared" ca="1" si="20"/>
        <v>7.2415972026262709E-2</v>
      </c>
    </row>
    <row r="399" spans="12:16" s="23" customFormat="1" ht="13.8">
      <c r="L399" s="23">
        <v>396</v>
      </c>
      <c r="M399" s="23">
        <f ca="1"/>
        <v>244849.17672626075</v>
      </c>
      <c r="N399" s="25">
        <f t="shared" si="18"/>
        <v>244354.99000000005</v>
      </c>
      <c r="O399" s="25">
        <f t="shared" ca="1" si="19"/>
        <v>0</v>
      </c>
      <c r="P399" s="25">
        <f t="shared" ca="1" si="20"/>
        <v>0</v>
      </c>
    </row>
    <row r="400" spans="12:16" s="23" customFormat="1" ht="13.8">
      <c r="L400" s="33">
        <v>397</v>
      </c>
      <c r="M400" s="23">
        <f ca="1"/>
        <v>30313.639411530501</v>
      </c>
      <c r="N400" s="25">
        <f t="shared" si="18"/>
        <v>244354.99000000005</v>
      </c>
      <c r="O400" s="25">
        <f t="shared" ca="1" si="19"/>
        <v>1</v>
      </c>
      <c r="P400" s="25">
        <f t="shared" ca="1" si="20"/>
        <v>0.87594425875432091</v>
      </c>
    </row>
    <row r="401" spans="12:16" s="23" customFormat="1" ht="13.8">
      <c r="L401" s="23">
        <v>398</v>
      </c>
      <c r="M401" s="23">
        <f ca="1"/>
        <v>279047.08610181295</v>
      </c>
      <c r="N401" s="25">
        <f t="shared" si="18"/>
        <v>244354.99000000005</v>
      </c>
      <c r="O401" s="25">
        <f t="shared" ca="1" si="19"/>
        <v>0</v>
      </c>
      <c r="P401" s="25">
        <f t="shared" ca="1" si="20"/>
        <v>0</v>
      </c>
    </row>
    <row r="402" spans="12:16" s="23" customFormat="1" ht="13.8">
      <c r="L402" s="33">
        <v>399</v>
      </c>
      <c r="M402" s="23">
        <f ca="1"/>
        <v>53186.881641418157</v>
      </c>
      <c r="N402" s="25">
        <f t="shared" si="18"/>
        <v>244354.99000000005</v>
      </c>
      <c r="O402" s="25">
        <f t="shared" ca="1" si="19"/>
        <v>1</v>
      </c>
      <c r="P402" s="25">
        <f t="shared" ca="1" si="20"/>
        <v>0.78233764883860923</v>
      </c>
    </row>
    <row r="403" spans="12:16" s="23" customFormat="1" ht="13.8">
      <c r="L403" s="23">
        <v>400</v>
      </c>
      <c r="M403" s="23">
        <f ca="1"/>
        <v>85930.742786705596</v>
      </c>
      <c r="N403" s="25">
        <f t="shared" si="18"/>
        <v>244354.99000000005</v>
      </c>
      <c r="O403" s="25">
        <f t="shared" ca="1" si="19"/>
        <v>1</v>
      </c>
      <c r="P403" s="25">
        <f t="shared" ca="1" si="20"/>
        <v>0.64833645186985711</v>
      </c>
    </row>
    <row r="404" spans="12:16" s="23" customFormat="1" ht="13.8">
      <c r="L404" s="33">
        <v>401</v>
      </c>
      <c r="M404" s="23">
        <f ca="1"/>
        <v>212118.18583708175</v>
      </c>
      <c r="N404" s="25">
        <f t="shared" si="18"/>
        <v>244354.99000000005</v>
      </c>
      <c r="O404" s="25">
        <f t="shared" ca="1" si="19"/>
        <v>1</v>
      </c>
      <c r="P404" s="25">
        <f t="shared" ca="1" si="20"/>
        <v>0.13192611357320058</v>
      </c>
    </row>
    <row r="405" spans="12:16" s="23" customFormat="1" ht="13.8">
      <c r="L405" s="23">
        <v>402</v>
      </c>
      <c r="M405" s="23">
        <f ca="1"/>
        <v>91812.362081208703</v>
      </c>
      <c r="N405" s="25">
        <f t="shared" si="18"/>
        <v>244354.99000000005</v>
      </c>
      <c r="O405" s="25">
        <f t="shared" ca="1" si="19"/>
        <v>1</v>
      </c>
      <c r="P405" s="25">
        <f t="shared" ca="1" si="20"/>
        <v>0.62426647362016763</v>
      </c>
    </row>
    <row r="406" spans="12:16" s="23" customFormat="1" ht="13.8">
      <c r="L406" s="33">
        <v>403</v>
      </c>
      <c r="M406" s="23">
        <f ca="1"/>
        <v>234222.11817942283</v>
      </c>
      <c r="N406" s="25">
        <f t="shared" si="18"/>
        <v>244354.99000000005</v>
      </c>
      <c r="O406" s="25">
        <f t="shared" ca="1" si="19"/>
        <v>1</v>
      </c>
      <c r="P406" s="25">
        <f t="shared" ca="1" si="20"/>
        <v>4.1467832601156274E-2</v>
      </c>
    </row>
    <row r="407" spans="12:16" s="23" customFormat="1" ht="13.8">
      <c r="L407" s="23">
        <v>404</v>
      </c>
      <c r="M407" s="23">
        <f ca="1"/>
        <v>-54331.685684079624</v>
      </c>
      <c r="N407" s="25">
        <f t="shared" si="18"/>
        <v>244354.99000000005</v>
      </c>
      <c r="O407" s="25">
        <f t="shared" ca="1" si="19"/>
        <v>1</v>
      </c>
      <c r="P407" s="25">
        <f t="shared" ca="1" si="20"/>
        <v>1.2223473549039436</v>
      </c>
    </row>
    <row r="408" spans="12:16" s="23" customFormat="1" ht="13.8">
      <c r="L408" s="33">
        <v>405</v>
      </c>
      <c r="M408" s="23">
        <f ca="1"/>
        <v>22597.030180726608</v>
      </c>
      <c r="N408" s="25">
        <f t="shared" si="18"/>
        <v>244354.99000000005</v>
      </c>
      <c r="O408" s="25">
        <f t="shared" ca="1" si="19"/>
        <v>1</v>
      </c>
      <c r="P408" s="25">
        <f t="shared" ca="1" si="20"/>
        <v>0.9075237621268688</v>
      </c>
    </row>
    <row r="409" spans="12:16" s="23" customFormat="1" ht="13.8">
      <c r="L409" s="23">
        <v>406</v>
      </c>
      <c r="M409" s="23">
        <f ca="1"/>
        <v>238680.91024791187</v>
      </c>
      <c r="N409" s="25">
        <f t="shared" si="18"/>
        <v>244354.99000000005</v>
      </c>
      <c r="O409" s="25">
        <f t="shared" ca="1" si="19"/>
        <v>1</v>
      </c>
      <c r="P409" s="25">
        <f t="shared" ca="1" si="20"/>
        <v>2.322064203431317E-2</v>
      </c>
    </row>
    <row r="410" spans="12:16" s="23" customFormat="1" ht="13.8">
      <c r="L410" s="33">
        <v>407</v>
      </c>
      <c r="M410" s="23">
        <f ca="1"/>
        <v>82517.654419573315</v>
      </c>
      <c r="N410" s="25">
        <f t="shared" si="18"/>
        <v>244354.99000000005</v>
      </c>
      <c r="O410" s="25">
        <f t="shared" ca="1" si="19"/>
        <v>1</v>
      </c>
      <c r="P410" s="25">
        <f t="shared" ca="1" si="20"/>
        <v>0.66230419759558301</v>
      </c>
    </row>
    <row r="411" spans="12:16" s="23" customFormat="1" ht="13.8">
      <c r="L411" s="23">
        <v>408</v>
      </c>
      <c r="M411" s="23">
        <f ca="1"/>
        <v>284483.38238389697</v>
      </c>
      <c r="N411" s="25">
        <f t="shared" si="18"/>
        <v>244354.99000000005</v>
      </c>
      <c r="O411" s="25">
        <f t="shared" ca="1" si="19"/>
        <v>0</v>
      </c>
      <c r="P411" s="25">
        <f t="shared" ca="1" si="20"/>
        <v>0</v>
      </c>
    </row>
    <row r="412" spans="12:16" s="23" customFormat="1" ht="13.8">
      <c r="L412" s="33">
        <v>409</v>
      </c>
      <c r="M412" s="23">
        <f ca="1"/>
        <v>5265.1330512781042</v>
      </c>
      <c r="N412" s="25">
        <f t="shared" si="18"/>
        <v>244354.99000000005</v>
      </c>
      <c r="O412" s="25">
        <f t="shared" ca="1" si="19"/>
        <v>1</v>
      </c>
      <c r="P412" s="25">
        <f t="shared" ca="1" si="20"/>
        <v>0.97845293418694623</v>
      </c>
    </row>
    <row r="413" spans="12:16" s="23" customFormat="1" ht="13.8">
      <c r="L413" s="23">
        <v>410</v>
      </c>
      <c r="M413" s="23">
        <f ca="1"/>
        <v>9948.151874986117</v>
      </c>
      <c r="N413" s="25">
        <f t="shared" si="18"/>
        <v>244354.99000000005</v>
      </c>
      <c r="O413" s="25">
        <f t="shared" ca="1" si="19"/>
        <v>1</v>
      </c>
      <c r="P413" s="25">
        <f t="shared" ca="1" si="20"/>
        <v>0.95928811654312385</v>
      </c>
    </row>
    <row r="414" spans="12:16" s="23" customFormat="1" ht="13.8">
      <c r="L414" s="33">
        <v>411</v>
      </c>
      <c r="M414" s="23">
        <f ca="1"/>
        <v>171727.06370304897</v>
      </c>
      <c r="N414" s="25">
        <f t="shared" si="18"/>
        <v>244354.99000000005</v>
      </c>
      <c r="O414" s="25">
        <f t="shared" ca="1" si="19"/>
        <v>1</v>
      </c>
      <c r="P414" s="25">
        <f t="shared" ca="1" si="20"/>
        <v>0.29722301270357138</v>
      </c>
    </row>
    <row r="415" spans="12:16" s="23" customFormat="1" ht="13.8">
      <c r="L415" s="23">
        <v>412</v>
      </c>
      <c r="M415" s="23">
        <f ca="1"/>
        <v>75296.295155739906</v>
      </c>
      <c r="N415" s="25">
        <f t="shared" si="18"/>
        <v>244354.99000000005</v>
      </c>
      <c r="O415" s="25">
        <f t="shared" ca="1" si="19"/>
        <v>1</v>
      </c>
      <c r="P415" s="25">
        <f t="shared" ca="1" si="20"/>
        <v>0.69185693668158821</v>
      </c>
    </row>
    <row r="416" spans="12:16" s="23" customFormat="1" ht="13.8">
      <c r="L416" s="33">
        <v>413</v>
      </c>
      <c r="M416" s="23">
        <f ca="1"/>
        <v>-8123.7793728150173</v>
      </c>
      <c r="N416" s="25">
        <f t="shared" si="18"/>
        <v>244354.99000000005</v>
      </c>
      <c r="O416" s="25">
        <f t="shared" ca="1" si="19"/>
        <v>1</v>
      </c>
      <c r="P416" s="25">
        <f t="shared" ca="1" si="20"/>
        <v>1.0332458091926628</v>
      </c>
    </row>
    <row r="417" spans="12:16" s="23" customFormat="1" ht="13.8">
      <c r="L417" s="23">
        <v>414</v>
      </c>
      <c r="M417" s="23">
        <f ca="1"/>
        <v>-64660.828094522381</v>
      </c>
      <c r="N417" s="25">
        <f t="shared" si="18"/>
        <v>244354.99000000005</v>
      </c>
      <c r="O417" s="25">
        <f t="shared" ca="1" si="19"/>
        <v>1</v>
      </c>
      <c r="P417" s="25">
        <f t="shared" ca="1" si="20"/>
        <v>1.2646184065834809</v>
      </c>
    </row>
    <row r="418" spans="12:16" s="23" customFormat="1" ht="13.8">
      <c r="L418" s="33">
        <v>415</v>
      </c>
      <c r="M418" s="23">
        <f ca="1"/>
        <v>324211.87773971388</v>
      </c>
      <c r="N418" s="25">
        <f t="shared" si="18"/>
        <v>244354.99000000005</v>
      </c>
      <c r="O418" s="25">
        <f t="shared" ca="1" si="19"/>
        <v>0</v>
      </c>
      <c r="P418" s="25">
        <f t="shared" ca="1" si="20"/>
        <v>0</v>
      </c>
    </row>
    <row r="419" spans="12:16" s="23" customFormat="1" ht="13.8">
      <c r="L419" s="23">
        <v>416</v>
      </c>
      <c r="M419" s="23">
        <f ca="1"/>
        <v>214125.11144757201</v>
      </c>
      <c r="N419" s="25">
        <f t="shared" si="18"/>
        <v>244354.99000000005</v>
      </c>
      <c r="O419" s="25">
        <f t="shared" ca="1" si="19"/>
        <v>1</v>
      </c>
      <c r="P419" s="25">
        <f t="shared" ca="1" si="20"/>
        <v>0.12371295774409204</v>
      </c>
    </row>
    <row r="420" spans="12:16" s="23" customFormat="1" ht="13.8">
      <c r="L420" s="33">
        <v>417</v>
      </c>
      <c r="M420" s="23">
        <f ca="1"/>
        <v>-58752.014374100239</v>
      </c>
      <c r="N420" s="25">
        <f t="shared" si="18"/>
        <v>244354.99000000005</v>
      </c>
      <c r="O420" s="25">
        <f t="shared" ca="1" si="19"/>
        <v>1</v>
      </c>
      <c r="P420" s="25">
        <f t="shared" ca="1" si="20"/>
        <v>1.2404371376827632</v>
      </c>
    </row>
    <row r="421" spans="12:16" s="23" customFormat="1" ht="13.8">
      <c r="L421" s="23">
        <v>418</v>
      </c>
      <c r="M421" s="23">
        <f ca="1"/>
        <v>255627.74887433051</v>
      </c>
      <c r="N421" s="25">
        <f t="shared" si="18"/>
        <v>244354.99000000005</v>
      </c>
      <c r="O421" s="25">
        <f t="shared" ca="1" si="19"/>
        <v>0</v>
      </c>
      <c r="P421" s="25">
        <f t="shared" ca="1" si="20"/>
        <v>0</v>
      </c>
    </row>
    <row r="422" spans="12:16" s="23" customFormat="1" ht="13.8">
      <c r="L422" s="33">
        <v>419</v>
      </c>
      <c r="M422" s="23">
        <f ca="1"/>
        <v>91610.827576126205</v>
      </c>
      <c r="N422" s="25">
        <f t="shared" si="18"/>
        <v>244354.99000000005</v>
      </c>
      <c r="O422" s="25">
        <f t="shared" ca="1" si="19"/>
        <v>1</v>
      </c>
      <c r="P422" s="25">
        <f t="shared" ca="1" si="20"/>
        <v>0.62509123478048811</v>
      </c>
    </row>
    <row r="423" spans="12:16" s="23" customFormat="1" ht="13.8">
      <c r="L423" s="23">
        <v>420</v>
      </c>
      <c r="M423" s="23">
        <f ca="1"/>
        <v>131495.98967788933</v>
      </c>
      <c r="N423" s="25">
        <f t="shared" si="18"/>
        <v>244354.99000000005</v>
      </c>
      <c r="O423" s="25">
        <f t="shared" ca="1" si="19"/>
        <v>1</v>
      </c>
      <c r="P423" s="25">
        <f t="shared" ca="1" si="20"/>
        <v>0.46186492987972416</v>
      </c>
    </row>
    <row r="424" spans="12:16" s="23" customFormat="1" ht="13.8">
      <c r="L424" s="33">
        <v>421</v>
      </c>
      <c r="M424" s="23">
        <f ca="1"/>
        <v>316137.65117484541</v>
      </c>
      <c r="N424" s="25">
        <f t="shared" si="18"/>
        <v>244354.99000000005</v>
      </c>
      <c r="O424" s="25">
        <f t="shared" ca="1" si="19"/>
        <v>0</v>
      </c>
      <c r="P424" s="25">
        <f t="shared" ca="1" si="20"/>
        <v>0</v>
      </c>
    </row>
    <row r="425" spans="12:16" s="23" customFormat="1" ht="13.8">
      <c r="L425" s="23">
        <v>422</v>
      </c>
      <c r="M425" s="23">
        <f ca="1"/>
        <v>106941.53915099098</v>
      </c>
      <c r="N425" s="25">
        <f t="shared" si="18"/>
        <v>244354.99000000005</v>
      </c>
      <c r="O425" s="25">
        <f t="shared" ca="1" si="19"/>
        <v>1</v>
      </c>
      <c r="P425" s="25">
        <f t="shared" ca="1" si="20"/>
        <v>0.56235172790622789</v>
      </c>
    </row>
    <row r="426" spans="12:16" s="23" customFormat="1" ht="13.8">
      <c r="L426" s="33">
        <v>423</v>
      </c>
      <c r="M426" s="23">
        <f ca="1"/>
        <v>263048.39270734973</v>
      </c>
      <c r="N426" s="25">
        <f t="shared" si="18"/>
        <v>244354.99000000005</v>
      </c>
      <c r="O426" s="25">
        <f t="shared" ca="1" si="19"/>
        <v>0</v>
      </c>
      <c r="P426" s="25">
        <f t="shared" ca="1" si="20"/>
        <v>0</v>
      </c>
    </row>
    <row r="427" spans="12:16" s="23" customFormat="1" ht="13.8">
      <c r="L427" s="23">
        <v>424</v>
      </c>
      <c r="M427" s="23">
        <f ca="1"/>
        <v>115680.59705449875</v>
      </c>
      <c r="N427" s="25">
        <f t="shared" si="18"/>
        <v>244354.99000000005</v>
      </c>
      <c r="O427" s="25">
        <f t="shared" ca="1" si="19"/>
        <v>1</v>
      </c>
      <c r="P427" s="25">
        <f t="shared" ca="1" si="20"/>
        <v>0.52658794872779668</v>
      </c>
    </row>
    <row r="428" spans="12:16" s="23" customFormat="1" ht="13.8">
      <c r="L428" s="33">
        <v>425</v>
      </c>
      <c r="M428" s="23">
        <f ca="1"/>
        <v>109383.19068614677</v>
      </c>
      <c r="N428" s="25">
        <f t="shared" si="18"/>
        <v>244354.99000000005</v>
      </c>
      <c r="O428" s="25">
        <f t="shared" ca="1" si="19"/>
        <v>1</v>
      </c>
      <c r="P428" s="25">
        <f t="shared" ca="1" si="20"/>
        <v>0.55235949678724894</v>
      </c>
    </row>
    <row r="429" spans="12:16" s="23" customFormat="1" ht="13.8">
      <c r="L429" s="23">
        <v>426</v>
      </c>
      <c r="M429" s="23">
        <f ca="1"/>
        <v>188256.58130361934</v>
      </c>
      <c r="N429" s="25">
        <f t="shared" si="18"/>
        <v>244354.99000000005</v>
      </c>
      <c r="O429" s="25">
        <f t="shared" ca="1" si="19"/>
        <v>1</v>
      </c>
      <c r="P429" s="25">
        <f t="shared" ca="1" si="20"/>
        <v>0.22957750400914953</v>
      </c>
    </row>
    <row r="430" spans="12:16" s="23" customFormat="1" ht="13.8">
      <c r="L430" s="33">
        <v>427</v>
      </c>
      <c r="M430" s="23">
        <f ca="1"/>
        <v>244124.97672850516</v>
      </c>
      <c r="N430" s="25">
        <f t="shared" si="18"/>
        <v>244354.99000000005</v>
      </c>
      <c r="O430" s="25">
        <f t="shared" ca="1" si="19"/>
        <v>1</v>
      </c>
      <c r="P430" s="25">
        <f t="shared" ca="1" si="20"/>
        <v>9.4130785499770204E-4</v>
      </c>
    </row>
    <row r="431" spans="12:16" s="23" customFormat="1" ht="13.8">
      <c r="L431" s="23">
        <v>428</v>
      </c>
      <c r="M431" s="23">
        <f ca="1"/>
        <v>210498.82595786781</v>
      </c>
      <c r="N431" s="25">
        <f t="shared" si="18"/>
        <v>244354.99000000005</v>
      </c>
      <c r="O431" s="25">
        <f t="shared" ca="1" si="19"/>
        <v>1</v>
      </c>
      <c r="P431" s="25">
        <f t="shared" ca="1" si="20"/>
        <v>0.13855319280417491</v>
      </c>
    </row>
    <row r="432" spans="12:16" s="23" customFormat="1" ht="13.8">
      <c r="L432" s="33">
        <v>429</v>
      </c>
      <c r="M432" s="23">
        <f ca="1"/>
        <v>261481.24421460211</v>
      </c>
      <c r="N432" s="25">
        <f t="shared" si="18"/>
        <v>244354.99000000005</v>
      </c>
      <c r="O432" s="25">
        <f t="shared" ca="1" si="19"/>
        <v>0</v>
      </c>
      <c r="P432" s="25">
        <f t="shared" ca="1" si="20"/>
        <v>0</v>
      </c>
    </row>
    <row r="433" spans="12:16" s="23" customFormat="1" ht="13.8">
      <c r="L433" s="23">
        <v>430</v>
      </c>
      <c r="M433" s="23">
        <f ca="1"/>
        <v>213374.76534731089</v>
      </c>
      <c r="N433" s="25">
        <f t="shared" si="18"/>
        <v>244354.99000000005</v>
      </c>
      <c r="O433" s="25">
        <f t="shared" ca="1" si="19"/>
        <v>1</v>
      </c>
      <c r="P433" s="25">
        <f t="shared" ca="1" si="20"/>
        <v>0.12678367915747965</v>
      </c>
    </row>
    <row r="434" spans="12:16" s="23" customFormat="1" ht="13.8">
      <c r="L434" s="33">
        <v>431</v>
      </c>
      <c r="M434" s="23">
        <f ca="1"/>
        <v>276038.69774953846</v>
      </c>
      <c r="N434" s="25">
        <f t="shared" si="18"/>
        <v>244354.99000000005</v>
      </c>
      <c r="O434" s="25">
        <f t="shared" ca="1" si="19"/>
        <v>0</v>
      </c>
      <c r="P434" s="25">
        <f t="shared" ca="1" si="20"/>
        <v>0</v>
      </c>
    </row>
    <row r="435" spans="12:16" s="23" customFormat="1" ht="13.8">
      <c r="L435" s="23">
        <v>432</v>
      </c>
      <c r="M435" s="23">
        <f ca="1"/>
        <v>74066.793495796446</v>
      </c>
      <c r="N435" s="25">
        <f t="shared" si="18"/>
        <v>244354.99000000005</v>
      </c>
      <c r="O435" s="25">
        <f t="shared" ca="1" si="19"/>
        <v>1</v>
      </c>
      <c r="P435" s="25">
        <f t="shared" ca="1" si="20"/>
        <v>0.69688855752118495</v>
      </c>
    </row>
    <row r="436" spans="12:16" s="23" customFormat="1" ht="13.8">
      <c r="L436" s="33">
        <v>433</v>
      </c>
      <c r="M436" s="23">
        <f ca="1"/>
        <v>-19855.586146978156</v>
      </c>
      <c r="N436" s="25">
        <f t="shared" si="18"/>
        <v>244354.99000000005</v>
      </c>
      <c r="O436" s="25">
        <f t="shared" ca="1" si="19"/>
        <v>1</v>
      </c>
      <c r="P436" s="25">
        <f t="shared" ca="1" si="20"/>
        <v>1.0812571339221602</v>
      </c>
    </row>
    <row r="437" spans="12:16" s="23" customFormat="1" ht="13.8">
      <c r="L437" s="23">
        <v>434</v>
      </c>
      <c r="M437" s="23">
        <f ca="1"/>
        <v>162271.44505142461</v>
      </c>
      <c r="N437" s="25">
        <f t="shared" si="18"/>
        <v>244354.99000000005</v>
      </c>
      <c r="O437" s="25">
        <f t="shared" ca="1" si="19"/>
        <v>1</v>
      </c>
      <c r="P437" s="25">
        <f t="shared" ca="1" si="20"/>
        <v>0.33591924989367078</v>
      </c>
    </row>
    <row r="438" spans="12:16" s="23" customFormat="1" ht="13.8">
      <c r="L438" s="33">
        <v>435</v>
      </c>
      <c r="M438" s="23">
        <f ca="1"/>
        <v>32861.929876156915</v>
      </c>
      <c r="N438" s="25">
        <f t="shared" si="18"/>
        <v>244354.99000000005</v>
      </c>
      <c r="O438" s="25">
        <f t="shared" ca="1" si="19"/>
        <v>1</v>
      </c>
      <c r="P438" s="25">
        <f t="shared" ca="1" si="20"/>
        <v>0.86551561776513386</v>
      </c>
    </row>
    <row r="439" spans="12:16" s="23" customFormat="1" ht="13.8">
      <c r="L439" s="23">
        <v>436</v>
      </c>
      <c r="M439" s="23">
        <f ca="1"/>
        <v>-35027.637287308782</v>
      </c>
      <c r="N439" s="25">
        <f t="shared" si="18"/>
        <v>244354.99000000005</v>
      </c>
      <c r="O439" s="25">
        <f t="shared" ca="1" si="19"/>
        <v>1</v>
      </c>
      <c r="P439" s="25">
        <f t="shared" ca="1" si="20"/>
        <v>1.1433473377699745</v>
      </c>
    </row>
    <row r="440" spans="12:16" s="23" customFormat="1" ht="13.8">
      <c r="L440" s="33">
        <v>437</v>
      </c>
      <c r="M440" s="23">
        <f ca="1"/>
        <v>11001.373410763537</v>
      </c>
      <c r="N440" s="25">
        <f t="shared" si="18"/>
        <v>244354.99000000005</v>
      </c>
      <c r="O440" s="25">
        <f t="shared" ca="1" si="19"/>
        <v>1</v>
      </c>
      <c r="P440" s="25">
        <f t="shared" ca="1" si="20"/>
        <v>0.95497790566600038</v>
      </c>
    </row>
    <row r="441" spans="12:16" s="23" customFormat="1" ht="13.8">
      <c r="L441" s="23">
        <v>438</v>
      </c>
      <c r="M441" s="23">
        <f ca="1"/>
        <v>194009.8996420333</v>
      </c>
      <c r="N441" s="25">
        <f t="shared" si="18"/>
        <v>244354.99000000005</v>
      </c>
      <c r="O441" s="25">
        <f t="shared" ca="1" si="19"/>
        <v>1</v>
      </c>
      <c r="P441" s="25">
        <f t="shared" ca="1" si="20"/>
        <v>0.20603258545269218</v>
      </c>
    </row>
    <row r="442" spans="12:16" s="23" customFormat="1" ht="13.8">
      <c r="L442" s="33">
        <v>439</v>
      </c>
      <c r="M442" s="23">
        <f ca="1"/>
        <v>320167.32865088247</v>
      </c>
      <c r="N442" s="25">
        <f t="shared" si="18"/>
        <v>244354.99000000005</v>
      </c>
      <c r="O442" s="25">
        <f t="shared" ca="1" si="19"/>
        <v>0</v>
      </c>
      <c r="P442" s="25">
        <f t="shared" ca="1" si="20"/>
        <v>0</v>
      </c>
    </row>
    <row r="443" spans="12:16" s="23" customFormat="1" ht="13.8">
      <c r="L443" s="23">
        <v>440</v>
      </c>
      <c r="M443" s="23">
        <f ca="1"/>
        <v>227274.03822768302</v>
      </c>
      <c r="N443" s="25">
        <f t="shared" si="18"/>
        <v>244354.99000000005</v>
      </c>
      <c r="O443" s="25">
        <f t="shared" ca="1" si="19"/>
        <v>1</v>
      </c>
      <c r="P443" s="25">
        <f t="shared" ca="1" si="20"/>
        <v>6.990220159742605E-2</v>
      </c>
    </row>
    <row r="444" spans="12:16" s="23" customFormat="1" ht="13.8">
      <c r="L444" s="33">
        <v>441</v>
      </c>
      <c r="M444" s="23">
        <f ca="1"/>
        <v>139507.04137810148</v>
      </c>
      <c r="N444" s="25">
        <f t="shared" si="18"/>
        <v>244354.99000000005</v>
      </c>
      <c r="O444" s="25">
        <f t="shared" ca="1" si="19"/>
        <v>1</v>
      </c>
      <c r="P444" s="25">
        <f t="shared" ca="1" si="20"/>
        <v>0.42908044817050206</v>
      </c>
    </row>
    <row r="445" spans="12:16" s="23" customFormat="1" ht="13.8">
      <c r="L445" s="23">
        <v>442</v>
      </c>
      <c r="M445" s="23">
        <f ca="1"/>
        <v>172221.02667763107</v>
      </c>
      <c r="N445" s="25">
        <f t="shared" si="18"/>
        <v>244354.99000000005</v>
      </c>
      <c r="O445" s="25">
        <f t="shared" ca="1" si="19"/>
        <v>1</v>
      </c>
      <c r="P445" s="25">
        <f t="shared" ca="1" si="20"/>
        <v>0.29520151531331101</v>
      </c>
    </row>
    <row r="446" spans="12:16" s="23" customFormat="1" ht="13.8">
      <c r="L446" s="33">
        <v>443</v>
      </c>
      <c r="M446" s="23">
        <f ca="1"/>
        <v>166064.24246083162</v>
      </c>
      <c r="N446" s="25">
        <f t="shared" si="18"/>
        <v>244354.99000000005</v>
      </c>
      <c r="O446" s="25">
        <f t="shared" ca="1" si="19"/>
        <v>1</v>
      </c>
      <c r="P446" s="25">
        <f t="shared" ca="1" si="20"/>
        <v>0.32039758033657678</v>
      </c>
    </row>
    <row r="447" spans="12:16" s="23" customFormat="1" ht="13.8">
      <c r="L447" s="23">
        <v>444</v>
      </c>
      <c r="M447" s="23">
        <f ca="1"/>
        <v>133627.66819665278</v>
      </c>
      <c r="N447" s="25">
        <f t="shared" si="18"/>
        <v>244354.99000000005</v>
      </c>
      <c r="O447" s="25">
        <f t="shared" ca="1" si="19"/>
        <v>1</v>
      </c>
      <c r="P447" s="25">
        <f t="shared" ca="1" si="20"/>
        <v>0.45314123441206272</v>
      </c>
    </row>
    <row r="448" spans="12:16" s="23" customFormat="1" ht="13.8">
      <c r="L448" s="33">
        <v>445</v>
      </c>
      <c r="M448" s="23">
        <f ca="1"/>
        <v>137300.83268668471</v>
      </c>
      <c r="N448" s="25">
        <f t="shared" si="18"/>
        <v>244354.99000000005</v>
      </c>
      <c r="O448" s="25">
        <f t="shared" ca="1" si="19"/>
        <v>1</v>
      </c>
      <c r="P448" s="25">
        <f t="shared" ca="1" si="20"/>
        <v>0.4381091514166145</v>
      </c>
    </row>
    <row r="449" spans="12:16" s="23" customFormat="1" ht="13.8">
      <c r="L449" s="23">
        <v>446</v>
      </c>
      <c r="M449" s="23">
        <f ca="1"/>
        <v>-21619.579135972981</v>
      </c>
      <c r="N449" s="25">
        <f t="shared" si="18"/>
        <v>244354.99000000005</v>
      </c>
      <c r="O449" s="25">
        <f t="shared" ca="1" si="19"/>
        <v>1</v>
      </c>
      <c r="P449" s="25">
        <f t="shared" ca="1" si="20"/>
        <v>1.0884761106616772</v>
      </c>
    </row>
    <row r="450" spans="12:16" s="23" customFormat="1" ht="13.8">
      <c r="L450" s="33">
        <v>447</v>
      </c>
      <c r="M450" s="23">
        <f ca="1"/>
        <v>128727.95392585557</v>
      </c>
      <c r="N450" s="25">
        <f t="shared" si="18"/>
        <v>244354.99000000005</v>
      </c>
      <c r="O450" s="25">
        <f t="shared" ca="1" si="19"/>
        <v>1</v>
      </c>
      <c r="P450" s="25">
        <f t="shared" ca="1" si="20"/>
        <v>0.47319285795696031</v>
      </c>
    </row>
    <row r="451" spans="12:16" s="23" customFormat="1" ht="13.8">
      <c r="L451" s="23">
        <v>448</v>
      </c>
      <c r="M451" s="23">
        <f ca="1"/>
        <v>291149.08169127314</v>
      </c>
      <c r="N451" s="25">
        <f t="shared" si="18"/>
        <v>244354.99000000005</v>
      </c>
      <c r="O451" s="25">
        <f t="shared" ca="1" si="19"/>
        <v>0</v>
      </c>
      <c r="P451" s="25">
        <f t="shared" ca="1" si="20"/>
        <v>0</v>
      </c>
    </row>
    <row r="452" spans="12:16" s="23" customFormat="1" ht="13.8">
      <c r="L452" s="33">
        <v>449</v>
      </c>
      <c r="M452" s="23">
        <f ca="1"/>
        <v>84762.260412871634</v>
      </c>
      <c r="N452" s="25">
        <f t="shared" ref="N452:N515" si="21">($C$22+$E$22)*1.1</f>
        <v>244354.99000000005</v>
      </c>
      <c r="O452" s="25">
        <f t="shared" ca="1" si="19"/>
        <v>1</v>
      </c>
      <c r="P452" s="25">
        <f t="shared" ca="1" si="20"/>
        <v>0.65311835697371423</v>
      </c>
    </row>
    <row r="453" spans="12:16" s="23" customFormat="1" ht="13.8">
      <c r="L453" s="23">
        <v>450</v>
      </c>
      <c r="M453" s="23">
        <f ca="1"/>
        <v>222430.13642913185</v>
      </c>
      <c r="N453" s="25">
        <f t="shared" si="21"/>
        <v>244354.99000000005</v>
      </c>
      <c r="O453" s="25">
        <f t="shared" ref="O453:O516" ca="1" si="22">IF(M453&lt;N453,1,0)</f>
        <v>1</v>
      </c>
      <c r="P453" s="25">
        <f t="shared" ref="P453:P516" ca="1" si="23">MAX((N453-M453)/N453,0)</f>
        <v>8.9725417806561666E-2</v>
      </c>
    </row>
    <row r="454" spans="12:16" s="23" customFormat="1" ht="13.8">
      <c r="L454" s="33">
        <v>451</v>
      </c>
      <c r="M454" s="23">
        <f ca="1"/>
        <v>21812.697398796237</v>
      </c>
      <c r="N454" s="25">
        <f t="shared" si="21"/>
        <v>244354.99000000005</v>
      </c>
      <c r="O454" s="25">
        <f t="shared" ca="1" si="22"/>
        <v>1</v>
      </c>
      <c r="P454" s="25">
        <f t="shared" ca="1" si="23"/>
        <v>0.9107335708642732</v>
      </c>
    </row>
    <row r="455" spans="12:16" s="23" customFormat="1" ht="13.8">
      <c r="L455" s="23">
        <v>452</v>
      </c>
      <c r="M455" s="23">
        <f ca="1"/>
        <v>199928.35303416511</v>
      </c>
      <c r="N455" s="25">
        <f t="shared" si="21"/>
        <v>244354.99000000005</v>
      </c>
      <c r="O455" s="25">
        <f t="shared" ca="1" si="22"/>
        <v>1</v>
      </c>
      <c r="P455" s="25">
        <f t="shared" ca="1" si="23"/>
        <v>0.18181186709481534</v>
      </c>
    </row>
    <row r="456" spans="12:16" s="23" customFormat="1" ht="13.8">
      <c r="L456" s="33">
        <v>453</v>
      </c>
      <c r="M456" s="23">
        <f ca="1"/>
        <v>141569.6248342662</v>
      </c>
      <c r="N456" s="25">
        <f t="shared" si="21"/>
        <v>244354.99000000005</v>
      </c>
      <c r="O456" s="25">
        <f t="shared" ca="1" si="22"/>
        <v>1</v>
      </c>
      <c r="P456" s="25">
        <f t="shared" ca="1" si="23"/>
        <v>0.42063951780045017</v>
      </c>
    </row>
    <row r="457" spans="12:16" s="23" customFormat="1" ht="13.8">
      <c r="L457" s="23">
        <v>454</v>
      </c>
      <c r="M457" s="23">
        <f ca="1"/>
        <v>273987.30444179167</v>
      </c>
      <c r="N457" s="25">
        <f t="shared" si="21"/>
        <v>244354.99000000005</v>
      </c>
      <c r="O457" s="25">
        <f t="shared" ca="1" si="22"/>
        <v>0</v>
      </c>
      <c r="P457" s="25">
        <f t="shared" ca="1" si="23"/>
        <v>0</v>
      </c>
    </row>
    <row r="458" spans="12:16" s="23" customFormat="1" ht="13.8">
      <c r="L458" s="33">
        <v>455</v>
      </c>
      <c r="M458" s="23">
        <f ca="1"/>
        <v>88914.29266933183</v>
      </c>
      <c r="N458" s="25">
        <f t="shared" si="21"/>
        <v>244354.99000000005</v>
      </c>
      <c r="O458" s="25">
        <f t="shared" ca="1" si="22"/>
        <v>1</v>
      </c>
      <c r="P458" s="25">
        <f t="shared" ca="1" si="23"/>
        <v>0.63612655231910009</v>
      </c>
    </row>
    <row r="459" spans="12:16" s="23" customFormat="1" ht="13.8">
      <c r="L459" s="23">
        <v>456</v>
      </c>
      <c r="M459" s="23">
        <f ca="1"/>
        <v>71836.060259572012</v>
      </c>
      <c r="N459" s="25">
        <f t="shared" si="21"/>
        <v>244354.99000000005</v>
      </c>
      <c r="O459" s="25">
        <f t="shared" ca="1" si="22"/>
        <v>1</v>
      </c>
      <c r="P459" s="25">
        <f t="shared" ca="1" si="23"/>
        <v>0.70601762517895794</v>
      </c>
    </row>
    <row r="460" spans="12:16" s="23" customFormat="1" ht="13.8">
      <c r="L460" s="33">
        <v>457</v>
      </c>
      <c r="M460" s="23">
        <f ca="1"/>
        <v>143444.42891231048</v>
      </c>
      <c r="N460" s="25">
        <f t="shared" si="21"/>
        <v>244354.99000000005</v>
      </c>
      <c r="O460" s="25">
        <f t="shared" ca="1" si="22"/>
        <v>1</v>
      </c>
      <c r="P460" s="25">
        <f t="shared" ca="1" si="23"/>
        <v>0.41296705701688163</v>
      </c>
    </row>
    <row r="461" spans="12:16" s="23" customFormat="1" ht="13.8">
      <c r="L461" s="23">
        <v>458</v>
      </c>
      <c r="M461" s="23">
        <f ca="1"/>
        <v>1646.8599524650233</v>
      </c>
      <c r="N461" s="25">
        <f t="shared" si="21"/>
        <v>244354.99000000005</v>
      </c>
      <c r="O461" s="25">
        <f t="shared" ca="1" si="22"/>
        <v>1</v>
      </c>
      <c r="P461" s="25">
        <f t="shared" ca="1" si="23"/>
        <v>0.99326037928480604</v>
      </c>
    </row>
    <row r="462" spans="12:16" s="23" customFormat="1" ht="13.8">
      <c r="L462" s="33">
        <v>459</v>
      </c>
      <c r="M462" s="23">
        <f ca="1"/>
        <v>299380.00519497209</v>
      </c>
      <c r="N462" s="25">
        <f t="shared" si="21"/>
        <v>244354.99000000005</v>
      </c>
      <c r="O462" s="25">
        <f t="shared" ca="1" si="22"/>
        <v>0</v>
      </c>
      <c r="P462" s="25">
        <f t="shared" ca="1" si="23"/>
        <v>0</v>
      </c>
    </row>
    <row r="463" spans="12:16" s="23" customFormat="1" ht="13.8">
      <c r="L463" s="23">
        <v>460</v>
      </c>
      <c r="M463" s="23">
        <f ca="1"/>
        <v>41234.483060410006</v>
      </c>
      <c r="N463" s="25">
        <f t="shared" si="21"/>
        <v>244354.99000000005</v>
      </c>
      <c r="O463" s="25">
        <f t="shared" ca="1" si="22"/>
        <v>1</v>
      </c>
      <c r="P463" s="25">
        <f t="shared" ca="1" si="23"/>
        <v>0.83125172495798016</v>
      </c>
    </row>
    <row r="464" spans="12:16" s="23" customFormat="1" ht="13.8">
      <c r="L464" s="33">
        <v>461</v>
      </c>
      <c r="M464" s="23">
        <f ca="1"/>
        <v>315333.8800629559</v>
      </c>
      <c r="N464" s="25">
        <f t="shared" si="21"/>
        <v>244354.99000000005</v>
      </c>
      <c r="O464" s="25">
        <f t="shared" ca="1" si="22"/>
        <v>0</v>
      </c>
      <c r="P464" s="25">
        <f t="shared" ca="1" si="23"/>
        <v>0</v>
      </c>
    </row>
    <row r="465" spans="12:16" s="23" customFormat="1" ht="13.8">
      <c r="L465" s="23">
        <v>462</v>
      </c>
      <c r="M465" s="23">
        <f ca="1"/>
        <v>62781.351355639163</v>
      </c>
      <c r="N465" s="25">
        <f t="shared" si="21"/>
        <v>244354.99000000005</v>
      </c>
      <c r="O465" s="25">
        <f t="shared" ca="1" si="22"/>
        <v>1</v>
      </c>
      <c r="P465" s="25">
        <f t="shared" ca="1" si="23"/>
        <v>0.74307317662864525</v>
      </c>
    </row>
    <row r="466" spans="12:16" s="23" customFormat="1" ht="13.8">
      <c r="L466" s="33">
        <v>463</v>
      </c>
      <c r="M466" s="23">
        <f ca="1"/>
        <v>183027.45077322947</v>
      </c>
      <c r="N466" s="25">
        <f t="shared" si="21"/>
        <v>244354.99000000005</v>
      </c>
      <c r="O466" s="25">
        <f t="shared" ca="1" si="22"/>
        <v>1</v>
      </c>
      <c r="P466" s="25">
        <f t="shared" ca="1" si="23"/>
        <v>0.25097723286424622</v>
      </c>
    </row>
    <row r="467" spans="12:16" s="23" customFormat="1" ht="13.8">
      <c r="L467" s="23">
        <v>464</v>
      </c>
      <c r="M467" s="23">
        <f ca="1"/>
        <v>145058.38918451738</v>
      </c>
      <c r="N467" s="25">
        <f t="shared" si="21"/>
        <v>244354.99000000005</v>
      </c>
      <c r="O467" s="25">
        <f t="shared" ca="1" si="22"/>
        <v>1</v>
      </c>
      <c r="P467" s="25">
        <f t="shared" ca="1" si="23"/>
        <v>0.40636207517383888</v>
      </c>
    </row>
    <row r="468" spans="12:16" s="23" customFormat="1" ht="13.8">
      <c r="L468" s="33">
        <v>465</v>
      </c>
      <c r="M468" s="23">
        <f ca="1"/>
        <v>93012.767650159978</v>
      </c>
      <c r="N468" s="25">
        <f t="shared" si="21"/>
        <v>244354.99000000005</v>
      </c>
      <c r="O468" s="25">
        <f t="shared" ca="1" si="22"/>
        <v>1</v>
      </c>
      <c r="P468" s="25">
        <f t="shared" ca="1" si="23"/>
        <v>0.61935392581849891</v>
      </c>
    </row>
    <row r="469" spans="12:16" s="23" customFormat="1" ht="13.8">
      <c r="L469" s="23">
        <v>466</v>
      </c>
      <c r="M469" s="23">
        <f ca="1"/>
        <v>86791.887429569717</v>
      </c>
      <c r="N469" s="25">
        <f t="shared" si="21"/>
        <v>244354.99000000005</v>
      </c>
      <c r="O469" s="25">
        <f t="shared" ca="1" si="22"/>
        <v>1</v>
      </c>
      <c r="P469" s="25">
        <f t="shared" ca="1" si="23"/>
        <v>0.6448122977575792</v>
      </c>
    </row>
    <row r="470" spans="12:16" s="23" customFormat="1" ht="13.8">
      <c r="L470" s="33">
        <v>467</v>
      </c>
      <c r="M470" s="23">
        <f ca="1"/>
        <v>133031.54795129973</v>
      </c>
      <c r="N470" s="25">
        <f t="shared" si="21"/>
        <v>244354.99000000005</v>
      </c>
      <c r="O470" s="25">
        <f t="shared" ca="1" si="22"/>
        <v>1</v>
      </c>
      <c r="P470" s="25">
        <f t="shared" ca="1" si="23"/>
        <v>0.45558080090240965</v>
      </c>
    </row>
    <row r="471" spans="12:16" s="23" customFormat="1" ht="13.8">
      <c r="L471" s="23">
        <v>468</v>
      </c>
      <c r="M471" s="23">
        <f ca="1"/>
        <v>109987.14351932496</v>
      </c>
      <c r="N471" s="25">
        <f t="shared" si="21"/>
        <v>244354.99000000005</v>
      </c>
      <c r="O471" s="25">
        <f t="shared" ca="1" si="22"/>
        <v>1</v>
      </c>
      <c r="P471" s="25">
        <f t="shared" ca="1" si="23"/>
        <v>0.54988787616195223</v>
      </c>
    </row>
    <row r="472" spans="12:16" s="23" customFormat="1" ht="13.8">
      <c r="L472" s="33">
        <v>469</v>
      </c>
      <c r="M472" s="23">
        <f ca="1"/>
        <v>1433.4069252409795</v>
      </c>
      <c r="N472" s="25">
        <f t="shared" si="21"/>
        <v>244354.99000000005</v>
      </c>
      <c r="O472" s="25">
        <f t="shared" ca="1" si="22"/>
        <v>1</v>
      </c>
      <c r="P472" s="25">
        <f t="shared" ca="1" si="23"/>
        <v>0.99413391588507782</v>
      </c>
    </row>
    <row r="473" spans="12:16" s="23" customFormat="1" ht="13.8">
      <c r="L473" s="23">
        <v>470</v>
      </c>
      <c r="M473" s="23">
        <f ca="1"/>
        <v>358994.41686960025</v>
      </c>
      <c r="N473" s="25">
        <f t="shared" si="21"/>
        <v>244354.99000000005</v>
      </c>
      <c r="O473" s="25">
        <f t="shared" ca="1" si="22"/>
        <v>0</v>
      </c>
      <c r="P473" s="25">
        <f t="shared" ca="1" si="23"/>
        <v>0</v>
      </c>
    </row>
    <row r="474" spans="12:16" s="23" customFormat="1" ht="13.8">
      <c r="L474" s="33">
        <v>471</v>
      </c>
      <c r="M474" s="23">
        <f ca="1"/>
        <v>104642.88214768434</v>
      </c>
      <c r="N474" s="25">
        <f t="shared" si="21"/>
        <v>244354.99000000005</v>
      </c>
      <c r="O474" s="25">
        <f t="shared" ca="1" si="22"/>
        <v>1</v>
      </c>
      <c r="P474" s="25">
        <f t="shared" ca="1" si="23"/>
        <v>0.57175876724398256</v>
      </c>
    </row>
    <row r="475" spans="12:16" s="23" customFormat="1" ht="13.8">
      <c r="L475" s="23">
        <v>472</v>
      </c>
      <c r="M475" s="23">
        <f ca="1"/>
        <v>125382.41410767141</v>
      </c>
      <c r="N475" s="25">
        <f t="shared" si="21"/>
        <v>244354.99000000005</v>
      </c>
      <c r="O475" s="25">
        <f t="shared" ca="1" si="22"/>
        <v>1</v>
      </c>
      <c r="P475" s="25">
        <f t="shared" ca="1" si="23"/>
        <v>0.48688416754791303</v>
      </c>
    </row>
    <row r="476" spans="12:16" s="23" customFormat="1" ht="13.8">
      <c r="L476" s="33">
        <v>473</v>
      </c>
      <c r="M476" s="23">
        <f ca="1"/>
        <v>116085.51089378312</v>
      </c>
      <c r="N476" s="25">
        <f t="shared" si="21"/>
        <v>244354.99000000005</v>
      </c>
      <c r="O476" s="25">
        <f t="shared" ca="1" si="22"/>
        <v>1</v>
      </c>
      <c r="P476" s="25">
        <f t="shared" ca="1" si="23"/>
        <v>0.52493087661609406</v>
      </c>
    </row>
    <row r="477" spans="12:16" s="23" customFormat="1" ht="13.8">
      <c r="L477" s="23">
        <v>474</v>
      </c>
      <c r="M477" s="23">
        <f ca="1"/>
        <v>283528.361064834</v>
      </c>
      <c r="N477" s="25">
        <f t="shared" si="21"/>
        <v>244354.99000000005</v>
      </c>
      <c r="O477" s="25">
        <f t="shared" ca="1" si="22"/>
        <v>0</v>
      </c>
      <c r="P477" s="25">
        <f t="shared" ca="1" si="23"/>
        <v>0</v>
      </c>
    </row>
    <row r="478" spans="12:16" s="23" customFormat="1" ht="13.8">
      <c r="L478" s="33">
        <v>475</v>
      </c>
      <c r="M478" s="23">
        <f ca="1"/>
        <v>-74912.780068167849</v>
      </c>
      <c r="N478" s="25">
        <f t="shared" si="21"/>
        <v>244354.99000000005</v>
      </c>
      <c r="O478" s="25">
        <f t="shared" ca="1" si="22"/>
        <v>1</v>
      </c>
      <c r="P478" s="25">
        <f t="shared" ca="1" si="23"/>
        <v>1.306573563601741</v>
      </c>
    </row>
    <row r="479" spans="12:16" s="23" customFormat="1" ht="13.8">
      <c r="L479" s="23">
        <v>476</v>
      </c>
      <c r="M479" s="23">
        <f ca="1"/>
        <v>38273.177379173983</v>
      </c>
      <c r="N479" s="25">
        <f t="shared" si="21"/>
        <v>244354.99000000005</v>
      </c>
      <c r="O479" s="25">
        <f t="shared" ca="1" si="22"/>
        <v>1</v>
      </c>
      <c r="P479" s="25">
        <f t="shared" ca="1" si="23"/>
        <v>0.84337059218977284</v>
      </c>
    </row>
    <row r="480" spans="12:16" s="23" customFormat="1" ht="13.8">
      <c r="L480" s="33">
        <v>477</v>
      </c>
      <c r="M480" s="23">
        <f ca="1"/>
        <v>30273.562267339483</v>
      </c>
      <c r="N480" s="25">
        <f t="shared" si="21"/>
        <v>244354.99000000005</v>
      </c>
      <c r="O480" s="25">
        <f t="shared" ca="1" si="22"/>
        <v>1</v>
      </c>
      <c r="P480" s="25">
        <f t="shared" ca="1" si="23"/>
        <v>0.87610827072801134</v>
      </c>
    </row>
    <row r="481" spans="12:16" s="23" customFormat="1" ht="13.8">
      <c r="L481" s="23">
        <v>478</v>
      </c>
      <c r="M481" s="23">
        <f ca="1"/>
        <v>64375.951079089064</v>
      </c>
      <c r="N481" s="25">
        <f t="shared" si="21"/>
        <v>244354.99000000005</v>
      </c>
      <c r="O481" s="25">
        <f t="shared" ca="1" si="22"/>
        <v>1</v>
      </c>
      <c r="P481" s="25">
        <f t="shared" ca="1" si="23"/>
        <v>0.73654742602518952</v>
      </c>
    </row>
    <row r="482" spans="12:16" s="23" customFormat="1" ht="13.8">
      <c r="L482" s="33">
        <v>479</v>
      </c>
      <c r="M482" s="23">
        <f ca="1"/>
        <v>128827.86940795634</v>
      </c>
      <c r="N482" s="25">
        <f t="shared" si="21"/>
        <v>244354.99000000005</v>
      </c>
      <c r="O482" s="25">
        <f t="shared" ca="1" si="22"/>
        <v>1</v>
      </c>
      <c r="P482" s="25">
        <f t="shared" ca="1" si="23"/>
        <v>0.47278396316786364</v>
      </c>
    </row>
    <row r="483" spans="12:16" s="23" customFormat="1" ht="13.8">
      <c r="L483" s="23">
        <v>480</v>
      </c>
      <c r="M483" s="23">
        <f ca="1"/>
        <v>-1641.375600682424</v>
      </c>
      <c r="N483" s="25">
        <f t="shared" si="21"/>
        <v>244354.99000000005</v>
      </c>
      <c r="O483" s="25">
        <f t="shared" ca="1" si="22"/>
        <v>1</v>
      </c>
      <c r="P483" s="25">
        <f t="shared" ca="1" si="23"/>
        <v>1.0067171765171745</v>
      </c>
    </row>
    <row r="484" spans="12:16" s="23" customFormat="1" ht="13.8">
      <c r="L484" s="33">
        <v>481</v>
      </c>
      <c r="M484" s="23">
        <f ca="1"/>
        <v>146534.53361027717</v>
      </c>
      <c r="N484" s="25">
        <f t="shared" si="21"/>
        <v>244354.99000000005</v>
      </c>
      <c r="O484" s="25">
        <f t="shared" ca="1" si="22"/>
        <v>1</v>
      </c>
      <c r="P484" s="25">
        <f t="shared" ca="1" si="23"/>
        <v>0.40032109182514691</v>
      </c>
    </row>
    <row r="485" spans="12:16" s="23" customFormat="1" ht="13.8">
      <c r="L485" s="23">
        <v>482</v>
      </c>
      <c r="M485" s="23">
        <f ca="1"/>
        <v>13377.654995845043</v>
      </c>
      <c r="N485" s="25">
        <f t="shared" si="21"/>
        <v>244354.99000000005</v>
      </c>
      <c r="O485" s="25">
        <f t="shared" ca="1" si="22"/>
        <v>1</v>
      </c>
      <c r="P485" s="25">
        <f t="shared" ca="1" si="23"/>
        <v>0.94525319496915106</v>
      </c>
    </row>
    <row r="486" spans="12:16" s="23" customFormat="1" ht="13.8">
      <c r="L486" s="33">
        <v>483</v>
      </c>
      <c r="M486" s="23">
        <f ca="1"/>
        <v>98657.913276138992</v>
      </c>
      <c r="N486" s="25">
        <f t="shared" si="21"/>
        <v>244354.99000000005</v>
      </c>
      <c r="O486" s="25">
        <f t="shared" ca="1" si="22"/>
        <v>1</v>
      </c>
      <c r="P486" s="25">
        <f t="shared" ca="1" si="23"/>
        <v>0.59625169399594014</v>
      </c>
    </row>
    <row r="487" spans="12:16" s="23" customFormat="1" ht="13.8">
      <c r="L487" s="23">
        <v>484</v>
      </c>
      <c r="M487" s="23">
        <f ca="1"/>
        <v>274197.58302136953</v>
      </c>
      <c r="N487" s="25">
        <f t="shared" si="21"/>
        <v>244354.99000000005</v>
      </c>
      <c r="O487" s="25">
        <f t="shared" ca="1" si="22"/>
        <v>0</v>
      </c>
      <c r="P487" s="25">
        <f t="shared" ca="1" si="23"/>
        <v>0</v>
      </c>
    </row>
    <row r="488" spans="12:16" s="23" customFormat="1" ht="13.8">
      <c r="L488" s="33">
        <v>485</v>
      </c>
      <c r="M488" s="23">
        <f ca="1"/>
        <v>196737.1209246465</v>
      </c>
      <c r="N488" s="25">
        <f t="shared" si="21"/>
        <v>244354.99000000005</v>
      </c>
      <c r="O488" s="25">
        <f t="shared" ca="1" si="22"/>
        <v>1</v>
      </c>
      <c r="P488" s="25">
        <f t="shared" ca="1" si="23"/>
        <v>0.19487168678386121</v>
      </c>
    </row>
    <row r="489" spans="12:16" s="23" customFormat="1" ht="13.8">
      <c r="L489" s="23">
        <v>486</v>
      </c>
      <c r="M489" s="23">
        <f ca="1"/>
        <v>-61919.723111912237</v>
      </c>
      <c r="N489" s="25">
        <f t="shared" si="21"/>
        <v>244354.99000000005</v>
      </c>
      <c r="O489" s="25">
        <f t="shared" ca="1" si="22"/>
        <v>1</v>
      </c>
      <c r="P489" s="25">
        <f t="shared" ca="1" si="23"/>
        <v>1.2534006901676624</v>
      </c>
    </row>
    <row r="490" spans="12:16" s="23" customFormat="1" ht="13.8">
      <c r="L490" s="33">
        <v>487</v>
      </c>
      <c r="M490" s="23">
        <f ca="1"/>
        <v>158825.46972992882</v>
      </c>
      <c r="N490" s="25">
        <f t="shared" si="21"/>
        <v>244354.99000000005</v>
      </c>
      <c r="O490" s="25">
        <f t="shared" ca="1" si="22"/>
        <v>1</v>
      </c>
      <c r="P490" s="25">
        <f t="shared" ca="1" si="23"/>
        <v>0.35002158241201137</v>
      </c>
    </row>
    <row r="491" spans="12:16" s="23" customFormat="1" ht="13.8">
      <c r="L491" s="23">
        <v>488</v>
      </c>
      <c r="M491" s="23">
        <f ca="1"/>
        <v>-35791.0783382628</v>
      </c>
      <c r="N491" s="25">
        <f t="shared" si="21"/>
        <v>244354.99000000005</v>
      </c>
      <c r="O491" s="25">
        <f t="shared" ca="1" si="22"/>
        <v>1</v>
      </c>
      <c r="P491" s="25">
        <f t="shared" ca="1" si="23"/>
        <v>1.1464716490474076</v>
      </c>
    </row>
    <row r="492" spans="12:16" s="23" customFormat="1" ht="13.8">
      <c r="L492" s="33">
        <v>489</v>
      </c>
      <c r="M492" s="23">
        <f ca="1"/>
        <v>135320.81459933124</v>
      </c>
      <c r="N492" s="25">
        <f t="shared" si="21"/>
        <v>244354.99000000005</v>
      </c>
      <c r="O492" s="25">
        <f t="shared" ca="1" si="22"/>
        <v>1</v>
      </c>
      <c r="P492" s="25">
        <f t="shared" ca="1" si="23"/>
        <v>0.4462121907175654</v>
      </c>
    </row>
    <row r="493" spans="12:16" s="23" customFormat="1" ht="13.8">
      <c r="L493" s="23">
        <v>490</v>
      </c>
      <c r="M493" s="23">
        <f ca="1"/>
        <v>46323.208981279626</v>
      </c>
      <c r="N493" s="25">
        <f t="shared" si="21"/>
        <v>244354.99000000005</v>
      </c>
      <c r="O493" s="25">
        <f t="shared" ca="1" si="22"/>
        <v>1</v>
      </c>
      <c r="P493" s="25">
        <f t="shared" ca="1" si="23"/>
        <v>0.81042658886859797</v>
      </c>
    </row>
    <row r="494" spans="12:16" s="23" customFormat="1" ht="13.8">
      <c r="L494" s="33">
        <v>491</v>
      </c>
      <c r="M494" s="23">
        <f ca="1"/>
        <v>63338.460014973942</v>
      </c>
      <c r="N494" s="25">
        <f t="shared" si="21"/>
        <v>244354.99000000005</v>
      </c>
      <c r="O494" s="25">
        <f t="shared" ca="1" si="22"/>
        <v>1</v>
      </c>
      <c r="P494" s="25">
        <f t="shared" ca="1" si="23"/>
        <v>0.74079326141457591</v>
      </c>
    </row>
    <row r="495" spans="12:16" s="23" customFormat="1" ht="13.8">
      <c r="L495" s="23">
        <v>492</v>
      </c>
      <c r="M495" s="23">
        <f ca="1"/>
        <v>298101.42683195643</v>
      </c>
      <c r="N495" s="25">
        <f t="shared" si="21"/>
        <v>244354.99000000005</v>
      </c>
      <c r="O495" s="25">
        <f t="shared" ca="1" si="22"/>
        <v>0</v>
      </c>
      <c r="P495" s="25">
        <f t="shared" ca="1" si="23"/>
        <v>0</v>
      </c>
    </row>
    <row r="496" spans="12:16" s="23" customFormat="1" ht="13.8">
      <c r="L496" s="33">
        <v>493</v>
      </c>
      <c r="M496" s="23">
        <f ca="1"/>
        <v>240541.90323215397</v>
      </c>
      <c r="N496" s="25">
        <f t="shared" si="21"/>
        <v>244354.99000000005</v>
      </c>
      <c r="O496" s="25">
        <f t="shared" ca="1" si="22"/>
        <v>1</v>
      </c>
      <c r="P496" s="25">
        <f t="shared" ca="1" si="23"/>
        <v>1.5604701863653684E-2</v>
      </c>
    </row>
    <row r="497" spans="12:16" s="23" customFormat="1" ht="13.8">
      <c r="L497" s="23">
        <v>494</v>
      </c>
      <c r="M497" s="23">
        <f ca="1"/>
        <v>209423.11031204829</v>
      </c>
      <c r="N497" s="25">
        <f t="shared" si="21"/>
        <v>244354.99000000005</v>
      </c>
      <c r="O497" s="25">
        <f t="shared" ca="1" si="22"/>
        <v>1</v>
      </c>
      <c r="P497" s="25">
        <f t="shared" ca="1" si="23"/>
        <v>0.142955458728106</v>
      </c>
    </row>
    <row r="498" spans="12:16" s="23" customFormat="1" ht="13.8">
      <c r="L498" s="33">
        <v>495</v>
      </c>
      <c r="M498" s="23">
        <f ca="1"/>
        <v>200294.23226225789</v>
      </c>
      <c r="N498" s="25">
        <f t="shared" si="21"/>
        <v>244354.99000000005</v>
      </c>
      <c r="O498" s="25">
        <f t="shared" ca="1" si="22"/>
        <v>1</v>
      </c>
      <c r="P498" s="25">
        <f t="shared" ca="1" si="23"/>
        <v>0.18031454048776391</v>
      </c>
    </row>
    <row r="499" spans="12:16" s="23" customFormat="1" ht="13.8">
      <c r="L499" s="23">
        <v>496</v>
      </c>
      <c r="M499" s="23">
        <f ca="1"/>
        <v>239487.60697213432</v>
      </c>
      <c r="N499" s="25">
        <f t="shared" si="21"/>
        <v>244354.99000000005</v>
      </c>
      <c r="O499" s="25">
        <f t="shared" ca="1" si="22"/>
        <v>1</v>
      </c>
      <c r="P499" s="25">
        <f t="shared" ca="1" si="23"/>
        <v>1.991931094947447E-2</v>
      </c>
    </row>
    <row r="500" spans="12:16" s="23" customFormat="1" ht="13.8">
      <c r="L500" s="33">
        <v>497</v>
      </c>
      <c r="M500" s="23">
        <f ca="1"/>
        <v>91066.232846948973</v>
      </c>
      <c r="N500" s="25">
        <f t="shared" si="21"/>
        <v>244354.99000000005</v>
      </c>
      <c r="O500" s="25">
        <f t="shared" ca="1" si="22"/>
        <v>1</v>
      </c>
      <c r="P500" s="25">
        <f t="shared" ca="1" si="23"/>
        <v>0.62731993790284801</v>
      </c>
    </row>
    <row r="501" spans="12:16" s="23" customFormat="1" ht="13.8">
      <c r="L501" s="23">
        <v>498</v>
      </c>
      <c r="M501" s="23">
        <f ca="1"/>
        <v>329707.23747264058</v>
      </c>
      <c r="N501" s="25">
        <f t="shared" si="21"/>
        <v>244354.99000000005</v>
      </c>
      <c r="O501" s="25">
        <f t="shared" ca="1" si="22"/>
        <v>0</v>
      </c>
      <c r="P501" s="25">
        <f t="shared" ca="1" si="23"/>
        <v>0</v>
      </c>
    </row>
    <row r="502" spans="12:16" s="23" customFormat="1" ht="13.8">
      <c r="L502" s="33">
        <v>499</v>
      </c>
      <c r="M502" s="23">
        <f ca="1"/>
        <v>365102.95321861195</v>
      </c>
      <c r="N502" s="25">
        <f t="shared" si="21"/>
        <v>244354.99000000005</v>
      </c>
      <c r="O502" s="25">
        <f t="shared" ca="1" si="22"/>
        <v>0</v>
      </c>
      <c r="P502" s="25">
        <f t="shared" ca="1" si="23"/>
        <v>0</v>
      </c>
    </row>
    <row r="503" spans="12:16" s="23" customFormat="1" ht="13.8">
      <c r="L503" s="23">
        <v>500</v>
      </c>
      <c r="M503" s="23">
        <f ca="1"/>
        <v>113306.22610559553</v>
      </c>
      <c r="N503" s="25">
        <f t="shared" si="21"/>
        <v>244354.99000000005</v>
      </c>
      <c r="O503" s="25">
        <f t="shared" ca="1" si="22"/>
        <v>1</v>
      </c>
      <c r="P503" s="25">
        <f t="shared" ca="1" si="23"/>
        <v>0.53630484032433512</v>
      </c>
    </row>
    <row r="504" spans="12:16" s="23" customFormat="1" ht="13.8">
      <c r="L504" s="33">
        <v>501</v>
      </c>
      <c r="M504" s="23">
        <f ca="1"/>
        <v>130812.19325854891</v>
      </c>
      <c r="N504" s="25">
        <f t="shared" si="21"/>
        <v>244354.99000000005</v>
      </c>
      <c r="O504" s="25">
        <f t="shared" ca="1" si="22"/>
        <v>1</v>
      </c>
      <c r="P504" s="25">
        <f t="shared" ca="1" si="23"/>
        <v>0.46466330293255365</v>
      </c>
    </row>
    <row r="505" spans="12:16" s="23" customFormat="1" ht="13.8">
      <c r="L505" s="23">
        <v>502</v>
      </c>
      <c r="M505" s="23">
        <f ca="1"/>
        <v>140060.33822102056</v>
      </c>
      <c r="N505" s="25">
        <f t="shared" si="21"/>
        <v>244354.99000000005</v>
      </c>
      <c r="O505" s="25">
        <f t="shared" ca="1" si="22"/>
        <v>1</v>
      </c>
      <c r="P505" s="25">
        <f t="shared" ca="1" si="23"/>
        <v>0.42681613245949868</v>
      </c>
    </row>
    <row r="506" spans="12:16" s="23" customFormat="1" ht="13.8">
      <c r="L506" s="33">
        <v>503</v>
      </c>
      <c r="M506" s="23">
        <f ca="1"/>
        <v>-219683.92925710336</v>
      </c>
      <c r="N506" s="25">
        <f t="shared" si="21"/>
        <v>244354.99000000005</v>
      </c>
      <c r="O506" s="25">
        <f t="shared" ca="1" si="22"/>
        <v>1</v>
      </c>
      <c r="P506" s="25">
        <f t="shared" ca="1" si="23"/>
        <v>1.8990359855434231</v>
      </c>
    </row>
    <row r="507" spans="12:16" s="23" customFormat="1" ht="13.8">
      <c r="L507" s="23">
        <v>504</v>
      </c>
      <c r="M507" s="23">
        <f ca="1"/>
        <v>65211.054525738866</v>
      </c>
      <c r="N507" s="25">
        <f t="shared" si="21"/>
        <v>244354.99000000005</v>
      </c>
      <c r="O507" s="25">
        <f t="shared" ca="1" si="22"/>
        <v>1</v>
      </c>
      <c r="P507" s="25">
        <f t="shared" ca="1" si="23"/>
        <v>0.73312984307896123</v>
      </c>
    </row>
    <row r="508" spans="12:16" s="23" customFormat="1" ht="13.8">
      <c r="L508" s="33">
        <v>505</v>
      </c>
      <c r="M508" s="23">
        <f ca="1"/>
        <v>238771.3691076219</v>
      </c>
      <c r="N508" s="25">
        <f t="shared" si="21"/>
        <v>244354.99000000005</v>
      </c>
      <c r="O508" s="25">
        <f t="shared" ca="1" si="22"/>
        <v>1</v>
      </c>
      <c r="P508" s="25">
        <f t="shared" ca="1" si="23"/>
        <v>2.2850447590115314E-2</v>
      </c>
    </row>
    <row r="509" spans="12:16" s="23" customFormat="1" ht="13.8">
      <c r="L509" s="23">
        <v>506</v>
      </c>
      <c r="M509" s="23">
        <f ca="1"/>
        <v>261907.82998124984</v>
      </c>
      <c r="N509" s="25">
        <f t="shared" si="21"/>
        <v>244354.99000000005</v>
      </c>
      <c r="O509" s="25">
        <f t="shared" ca="1" si="22"/>
        <v>0</v>
      </c>
      <c r="P509" s="25">
        <f t="shared" ca="1" si="23"/>
        <v>0</v>
      </c>
    </row>
    <row r="510" spans="12:16" s="23" customFormat="1" ht="13.8">
      <c r="L510" s="33">
        <v>507</v>
      </c>
      <c r="M510" s="23">
        <f ca="1"/>
        <v>332984.41554642178</v>
      </c>
      <c r="N510" s="25">
        <f t="shared" si="21"/>
        <v>244354.99000000005</v>
      </c>
      <c r="O510" s="25">
        <f t="shared" ca="1" si="22"/>
        <v>0</v>
      </c>
      <c r="P510" s="25">
        <f t="shared" ca="1" si="23"/>
        <v>0</v>
      </c>
    </row>
    <row r="511" spans="12:16" s="23" customFormat="1" ht="13.8">
      <c r="L511" s="23">
        <v>508</v>
      </c>
      <c r="M511" s="23">
        <f ca="1"/>
        <v>414068.03901563719</v>
      </c>
      <c r="N511" s="25">
        <f t="shared" si="21"/>
        <v>244354.99000000005</v>
      </c>
      <c r="O511" s="25">
        <f t="shared" ca="1" si="22"/>
        <v>0</v>
      </c>
      <c r="P511" s="25">
        <f t="shared" ca="1" si="23"/>
        <v>0</v>
      </c>
    </row>
    <row r="512" spans="12:16" s="23" customFormat="1" ht="13.8">
      <c r="L512" s="33">
        <v>509</v>
      </c>
      <c r="M512" s="23">
        <f ca="1"/>
        <v>52897.187354220907</v>
      </c>
      <c r="N512" s="25">
        <f t="shared" si="21"/>
        <v>244354.99000000005</v>
      </c>
      <c r="O512" s="25">
        <f t="shared" ca="1" si="22"/>
        <v>1</v>
      </c>
      <c r="P512" s="25">
        <f t="shared" ca="1" si="23"/>
        <v>0.78352319568255646</v>
      </c>
    </row>
    <row r="513" spans="12:16" s="23" customFormat="1" ht="13.8">
      <c r="L513" s="23">
        <v>510</v>
      </c>
      <c r="M513" s="23">
        <f ca="1"/>
        <v>133795.7523761653</v>
      </c>
      <c r="N513" s="25">
        <f t="shared" si="21"/>
        <v>244354.99000000005</v>
      </c>
      <c r="O513" s="25">
        <f t="shared" ca="1" si="22"/>
        <v>1</v>
      </c>
      <c r="P513" s="25">
        <f t="shared" ca="1" si="23"/>
        <v>0.452453365588461</v>
      </c>
    </row>
    <row r="514" spans="12:16" s="23" customFormat="1" ht="13.8">
      <c r="L514" s="33">
        <v>511</v>
      </c>
      <c r="M514" s="23">
        <f ca="1"/>
        <v>262256.39897362335</v>
      </c>
      <c r="N514" s="25">
        <f t="shared" si="21"/>
        <v>244354.99000000005</v>
      </c>
      <c r="O514" s="25">
        <f t="shared" ca="1" si="22"/>
        <v>0</v>
      </c>
      <c r="P514" s="25">
        <f t="shared" ca="1" si="23"/>
        <v>0</v>
      </c>
    </row>
    <row r="515" spans="12:16" s="23" customFormat="1" ht="13.8">
      <c r="L515" s="23">
        <v>512</v>
      </c>
      <c r="M515" s="23">
        <f ca="1"/>
        <v>124830.28696811496</v>
      </c>
      <c r="N515" s="25">
        <f t="shared" si="21"/>
        <v>244354.99000000005</v>
      </c>
      <c r="O515" s="25">
        <f t="shared" ca="1" si="22"/>
        <v>1</v>
      </c>
      <c r="P515" s="25">
        <f t="shared" ca="1" si="23"/>
        <v>0.48914369635702987</v>
      </c>
    </row>
    <row r="516" spans="12:16" s="23" customFormat="1" ht="13.8">
      <c r="L516" s="33">
        <v>513</v>
      </c>
      <c r="M516" s="23">
        <f ca="1"/>
        <v>163165.45121308105</v>
      </c>
      <c r="N516" s="25">
        <f t="shared" ref="N516:N579" si="24">($C$22+$E$22)*1.1</f>
        <v>244354.99000000005</v>
      </c>
      <c r="O516" s="25">
        <f t="shared" ca="1" si="22"/>
        <v>1</v>
      </c>
      <c r="P516" s="25">
        <f t="shared" ca="1" si="23"/>
        <v>0.3322606130814803</v>
      </c>
    </row>
    <row r="517" spans="12:16" s="23" customFormat="1" ht="13.8">
      <c r="L517" s="23">
        <v>514</v>
      </c>
      <c r="M517" s="23">
        <f ca="1"/>
        <v>225070.34090243271</v>
      </c>
      <c r="N517" s="25">
        <f t="shared" si="24"/>
        <v>244354.99000000005</v>
      </c>
      <c r="O517" s="25">
        <f t="shared" ref="O517:O580" ca="1" si="25">IF(M517&lt;N517,1,0)</f>
        <v>1</v>
      </c>
      <c r="P517" s="25">
        <f t="shared" ref="P517:P580" ca="1" si="26">MAX((N517-M517)/N517,0)</f>
        <v>7.892062731179475E-2</v>
      </c>
    </row>
    <row r="518" spans="12:16" s="23" customFormat="1" ht="13.8">
      <c r="L518" s="33">
        <v>515</v>
      </c>
      <c r="M518" s="23">
        <f ca="1"/>
        <v>-116824.48769625518</v>
      </c>
      <c r="N518" s="25">
        <f t="shared" si="24"/>
        <v>244354.99000000005</v>
      </c>
      <c r="O518" s="25">
        <f t="shared" ca="1" si="25"/>
        <v>1</v>
      </c>
      <c r="P518" s="25">
        <f t="shared" ca="1" si="26"/>
        <v>1.478093317006766</v>
      </c>
    </row>
    <row r="519" spans="12:16" s="23" customFormat="1" ht="13.8">
      <c r="L519" s="23">
        <v>516</v>
      </c>
      <c r="M519" s="23">
        <f ca="1"/>
        <v>209864.16017361972</v>
      </c>
      <c r="N519" s="25">
        <f t="shared" si="24"/>
        <v>244354.99000000005</v>
      </c>
      <c r="O519" s="25">
        <f t="shared" ca="1" si="25"/>
        <v>1</v>
      </c>
      <c r="P519" s="25">
        <f t="shared" ca="1" si="26"/>
        <v>0.14115050331642634</v>
      </c>
    </row>
    <row r="520" spans="12:16" s="23" customFormat="1" ht="13.8">
      <c r="L520" s="33">
        <v>517</v>
      </c>
      <c r="M520" s="23">
        <f ca="1"/>
        <v>217608.05953605342</v>
      </c>
      <c r="N520" s="25">
        <f t="shared" si="24"/>
        <v>244354.99000000005</v>
      </c>
      <c r="O520" s="25">
        <f t="shared" ca="1" si="25"/>
        <v>1</v>
      </c>
      <c r="P520" s="25">
        <f t="shared" ca="1" si="26"/>
        <v>0.10945931762615783</v>
      </c>
    </row>
    <row r="521" spans="12:16" s="23" customFormat="1" ht="13.8">
      <c r="L521" s="23">
        <v>518</v>
      </c>
      <c r="M521" s="23">
        <f ca="1"/>
        <v>297657.12378601817</v>
      </c>
      <c r="N521" s="25">
        <f t="shared" si="24"/>
        <v>244354.99000000005</v>
      </c>
      <c r="O521" s="25">
        <f t="shared" ca="1" si="25"/>
        <v>0</v>
      </c>
      <c r="P521" s="25">
        <f t="shared" ca="1" si="26"/>
        <v>0</v>
      </c>
    </row>
    <row r="522" spans="12:16" s="23" customFormat="1" ht="13.8">
      <c r="L522" s="33">
        <v>519</v>
      </c>
      <c r="M522" s="23">
        <f ca="1"/>
        <v>40600.278416117551</v>
      </c>
      <c r="N522" s="25">
        <f t="shared" si="24"/>
        <v>244354.99000000005</v>
      </c>
      <c r="O522" s="25">
        <f t="shared" ca="1" si="25"/>
        <v>1</v>
      </c>
      <c r="P522" s="25">
        <f t="shared" ca="1" si="26"/>
        <v>0.83384714829798434</v>
      </c>
    </row>
    <row r="523" spans="12:16" s="23" customFormat="1" ht="13.8">
      <c r="L523" s="23">
        <v>520</v>
      </c>
      <c r="M523" s="23">
        <f ca="1"/>
        <v>119396.20800951586</v>
      </c>
      <c r="N523" s="25">
        <f t="shared" si="24"/>
        <v>244354.99000000005</v>
      </c>
      <c r="O523" s="25">
        <f t="shared" ca="1" si="25"/>
        <v>1</v>
      </c>
      <c r="P523" s="25">
        <f t="shared" ca="1" si="26"/>
        <v>0.51138215753434857</v>
      </c>
    </row>
    <row r="524" spans="12:16" s="23" customFormat="1" ht="13.8">
      <c r="L524" s="33">
        <v>521</v>
      </c>
      <c r="M524" s="23">
        <f ca="1"/>
        <v>139301.01150823515</v>
      </c>
      <c r="N524" s="25">
        <f t="shared" si="24"/>
        <v>244354.99000000005</v>
      </c>
      <c r="O524" s="25">
        <f t="shared" ca="1" si="25"/>
        <v>1</v>
      </c>
      <c r="P524" s="25">
        <f t="shared" ca="1" si="26"/>
        <v>0.42992360619181491</v>
      </c>
    </row>
    <row r="525" spans="12:16" s="23" customFormat="1" ht="13.8">
      <c r="L525" s="23">
        <v>522</v>
      </c>
      <c r="M525" s="23">
        <f ca="1"/>
        <v>309845.48024959321</v>
      </c>
      <c r="N525" s="25">
        <f t="shared" si="24"/>
        <v>244354.99000000005</v>
      </c>
      <c r="O525" s="25">
        <f t="shared" ca="1" si="25"/>
        <v>0</v>
      </c>
      <c r="P525" s="25">
        <f t="shared" ca="1" si="26"/>
        <v>0</v>
      </c>
    </row>
    <row r="526" spans="12:16" s="23" customFormat="1" ht="13.8">
      <c r="L526" s="33">
        <v>523</v>
      </c>
      <c r="M526" s="23">
        <f ca="1"/>
        <v>260454.86287538198</v>
      </c>
      <c r="N526" s="25">
        <f t="shared" si="24"/>
        <v>244354.99000000005</v>
      </c>
      <c r="O526" s="25">
        <f t="shared" ca="1" si="25"/>
        <v>0</v>
      </c>
      <c r="P526" s="25">
        <f t="shared" ca="1" si="26"/>
        <v>0</v>
      </c>
    </row>
    <row r="527" spans="12:16" s="23" customFormat="1" ht="13.8">
      <c r="L527" s="23">
        <v>524</v>
      </c>
      <c r="M527" s="23">
        <f ca="1"/>
        <v>42903.764679400025</v>
      </c>
      <c r="N527" s="25">
        <f t="shared" si="24"/>
        <v>244354.99000000005</v>
      </c>
      <c r="O527" s="25">
        <f t="shared" ca="1" si="25"/>
        <v>1</v>
      </c>
      <c r="P527" s="25">
        <f t="shared" ca="1" si="26"/>
        <v>0.82442034566431399</v>
      </c>
    </row>
    <row r="528" spans="12:16" s="23" customFormat="1" ht="13.8">
      <c r="L528" s="33">
        <v>525</v>
      </c>
      <c r="M528" s="23">
        <f ca="1"/>
        <v>11816.461576361913</v>
      </c>
      <c r="N528" s="25">
        <f t="shared" si="24"/>
        <v>244354.99000000005</v>
      </c>
      <c r="O528" s="25">
        <f t="shared" ca="1" si="25"/>
        <v>1</v>
      </c>
      <c r="P528" s="25">
        <f t="shared" ca="1" si="26"/>
        <v>0.95164223339019227</v>
      </c>
    </row>
    <row r="529" spans="12:16" s="23" customFormat="1" ht="13.8">
      <c r="L529" s="23">
        <v>526</v>
      </c>
      <c r="M529" s="23">
        <f ca="1"/>
        <v>112645.70527644704</v>
      </c>
      <c r="N529" s="25">
        <f t="shared" si="24"/>
        <v>244354.99000000005</v>
      </c>
      <c r="O529" s="25">
        <f t="shared" ca="1" si="25"/>
        <v>1</v>
      </c>
      <c r="P529" s="25">
        <f t="shared" ca="1" si="26"/>
        <v>0.53900796019575026</v>
      </c>
    </row>
    <row r="530" spans="12:16" s="23" customFormat="1" ht="13.8">
      <c r="L530" s="33">
        <v>527</v>
      </c>
      <c r="M530" s="23">
        <f ca="1"/>
        <v>199297.39489304338</v>
      </c>
      <c r="N530" s="25">
        <f t="shared" si="24"/>
        <v>244354.99000000005</v>
      </c>
      <c r="O530" s="25">
        <f t="shared" ca="1" si="25"/>
        <v>1</v>
      </c>
      <c r="P530" s="25">
        <f t="shared" ca="1" si="26"/>
        <v>0.18439400442346873</v>
      </c>
    </row>
    <row r="531" spans="12:16" s="23" customFormat="1" ht="13.8">
      <c r="L531" s="23">
        <v>528</v>
      </c>
      <c r="M531" s="23">
        <f ca="1"/>
        <v>101965.24331887694</v>
      </c>
      <c r="N531" s="25">
        <f t="shared" si="24"/>
        <v>244354.99000000005</v>
      </c>
      <c r="O531" s="25">
        <f t="shared" ca="1" si="25"/>
        <v>1</v>
      </c>
      <c r="P531" s="25">
        <f t="shared" ca="1" si="26"/>
        <v>0.58271675434630199</v>
      </c>
    </row>
    <row r="532" spans="12:16" s="23" customFormat="1" ht="13.8">
      <c r="L532" s="33">
        <v>529</v>
      </c>
      <c r="M532" s="23">
        <f ca="1"/>
        <v>116315.94161445693</v>
      </c>
      <c r="N532" s="25">
        <f t="shared" si="24"/>
        <v>244354.99000000005</v>
      </c>
      <c r="O532" s="25">
        <f t="shared" ca="1" si="25"/>
        <v>1</v>
      </c>
      <c r="P532" s="25">
        <f t="shared" ca="1" si="26"/>
        <v>0.52398786038927669</v>
      </c>
    </row>
    <row r="533" spans="12:16" s="23" customFormat="1" ht="13.8">
      <c r="L533" s="23">
        <v>530</v>
      </c>
      <c r="M533" s="23">
        <f ca="1"/>
        <v>-1037.4358640110672</v>
      </c>
      <c r="N533" s="25">
        <f t="shared" si="24"/>
        <v>244354.99000000005</v>
      </c>
      <c r="O533" s="25">
        <f t="shared" ca="1" si="25"/>
        <v>1</v>
      </c>
      <c r="P533" s="25">
        <f t="shared" ca="1" si="26"/>
        <v>1.00424560948811</v>
      </c>
    </row>
    <row r="534" spans="12:16" s="23" customFormat="1" ht="13.8">
      <c r="L534" s="33">
        <v>531</v>
      </c>
      <c r="M534" s="23">
        <f ca="1"/>
        <v>248046.37455487601</v>
      </c>
      <c r="N534" s="25">
        <f t="shared" si="24"/>
        <v>244354.99000000005</v>
      </c>
      <c r="O534" s="25">
        <f t="shared" ca="1" si="25"/>
        <v>0</v>
      </c>
      <c r="P534" s="25">
        <f t="shared" ca="1" si="26"/>
        <v>0</v>
      </c>
    </row>
    <row r="535" spans="12:16" s="23" customFormat="1" ht="13.8">
      <c r="L535" s="23">
        <v>532</v>
      </c>
      <c r="M535" s="23">
        <f ca="1"/>
        <v>59909.78736292087</v>
      </c>
      <c r="N535" s="25">
        <f t="shared" si="24"/>
        <v>244354.99000000005</v>
      </c>
      <c r="O535" s="25">
        <f t="shared" ca="1" si="25"/>
        <v>1</v>
      </c>
      <c r="P535" s="25">
        <f t="shared" ca="1" si="26"/>
        <v>0.75482478437243761</v>
      </c>
    </row>
    <row r="536" spans="12:16" s="23" customFormat="1" ht="13.8">
      <c r="L536" s="33">
        <v>533</v>
      </c>
      <c r="M536" s="23">
        <f ca="1"/>
        <v>52378.04600010284</v>
      </c>
      <c r="N536" s="25">
        <f t="shared" si="24"/>
        <v>244354.99000000005</v>
      </c>
      <c r="O536" s="25">
        <f t="shared" ca="1" si="25"/>
        <v>1</v>
      </c>
      <c r="P536" s="25">
        <f t="shared" ca="1" si="26"/>
        <v>0.7856477332421048</v>
      </c>
    </row>
    <row r="537" spans="12:16" s="23" customFormat="1" ht="13.8">
      <c r="L537" s="23">
        <v>534</v>
      </c>
      <c r="M537" s="23">
        <f ca="1"/>
        <v>171206.91662022079</v>
      </c>
      <c r="N537" s="25">
        <f t="shared" si="24"/>
        <v>244354.99000000005</v>
      </c>
      <c r="O537" s="25">
        <f t="shared" ca="1" si="25"/>
        <v>1</v>
      </c>
      <c r="P537" s="25">
        <f t="shared" ca="1" si="26"/>
        <v>0.29935166611403863</v>
      </c>
    </row>
    <row r="538" spans="12:16" s="23" customFormat="1" ht="13.8">
      <c r="L538" s="33">
        <v>535</v>
      </c>
      <c r="M538" s="23">
        <f ca="1"/>
        <v>266799.47899528785</v>
      </c>
      <c r="N538" s="25">
        <f t="shared" si="24"/>
        <v>244354.99000000005</v>
      </c>
      <c r="O538" s="25">
        <f t="shared" ca="1" si="25"/>
        <v>0</v>
      </c>
      <c r="P538" s="25">
        <f t="shared" ca="1" si="26"/>
        <v>0</v>
      </c>
    </row>
    <row r="539" spans="12:16" s="23" customFormat="1" ht="13.8">
      <c r="L539" s="23">
        <v>536</v>
      </c>
      <c r="M539" s="23">
        <f ca="1"/>
        <v>128103.40223304793</v>
      </c>
      <c r="N539" s="25">
        <f t="shared" si="24"/>
        <v>244354.99000000005</v>
      </c>
      <c r="O539" s="25">
        <f t="shared" ca="1" si="25"/>
        <v>1</v>
      </c>
      <c r="P539" s="25">
        <f t="shared" ca="1" si="26"/>
        <v>0.47574877749356415</v>
      </c>
    </row>
    <row r="540" spans="12:16" s="23" customFormat="1" ht="13.8">
      <c r="L540" s="33">
        <v>537</v>
      </c>
      <c r="M540" s="23">
        <f ca="1"/>
        <v>148379.66655810954</v>
      </c>
      <c r="N540" s="25">
        <f t="shared" si="24"/>
        <v>244354.99000000005</v>
      </c>
      <c r="O540" s="25">
        <f t="shared" ca="1" si="25"/>
        <v>1</v>
      </c>
      <c r="P540" s="25">
        <f t="shared" ca="1" si="26"/>
        <v>0.39277005737386611</v>
      </c>
    </row>
    <row r="541" spans="12:16" s="23" customFormat="1" ht="13.8">
      <c r="L541" s="23">
        <v>538</v>
      </c>
      <c r="M541" s="23">
        <f ca="1"/>
        <v>149449.27619687462</v>
      </c>
      <c r="N541" s="25">
        <f t="shared" si="24"/>
        <v>244354.99000000005</v>
      </c>
      <c r="O541" s="25">
        <f t="shared" ca="1" si="25"/>
        <v>1</v>
      </c>
      <c r="P541" s="25">
        <f t="shared" ca="1" si="26"/>
        <v>0.38839277971415853</v>
      </c>
    </row>
    <row r="542" spans="12:16" s="23" customFormat="1" ht="13.8">
      <c r="L542" s="33">
        <v>539</v>
      </c>
      <c r="M542" s="23">
        <f ca="1"/>
        <v>127667.51481214503</v>
      </c>
      <c r="N542" s="25">
        <f t="shared" si="24"/>
        <v>244354.99000000005</v>
      </c>
      <c r="O542" s="25">
        <f t="shared" ca="1" si="25"/>
        <v>1</v>
      </c>
      <c r="P542" s="25">
        <f t="shared" ca="1" si="26"/>
        <v>0.47753260609842668</v>
      </c>
    </row>
    <row r="543" spans="12:16" s="23" customFormat="1" ht="13.8">
      <c r="L543" s="23">
        <v>540</v>
      </c>
      <c r="M543" s="23">
        <f ca="1"/>
        <v>97377.025571991835</v>
      </c>
      <c r="N543" s="25">
        <f t="shared" si="24"/>
        <v>244354.99000000005</v>
      </c>
      <c r="O543" s="25">
        <f t="shared" ca="1" si="25"/>
        <v>1</v>
      </c>
      <c r="P543" s="25">
        <f t="shared" ca="1" si="26"/>
        <v>0.60149360742748981</v>
      </c>
    </row>
    <row r="544" spans="12:16" s="23" customFormat="1" ht="13.8">
      <c r="L544" s="33">
        <v>541</v>
      </c>
      <c r="M544" s="23">
        <f ca="1"/>
        <v>246879.77287081809</v>
      </c>
      <c r="N544" s="25">
        <f t="shared" si="24"/>
        <v>244354.99000000005</v>
      </c>
      <c r="O544" s="25">
        <f t="shared" ca="1" si="25"/>
        <v>0</v>
      </c>
      <c r="P544" s="25">
        <f t="shared" ca="1" si="26"/>
        <v>0</v>
      </c>
    </row>
    <row r="545" spans="12:16" s="23" customFormat="1" ht="13.8">
      <c r="L545" s="23">
        <v>542</v>
      </c>
      <c r="M545" s="23">
        <f ca="1"/>
        <v>268114.54849417199</v>
      </c>
      <c r="N545" s="25">
        <f t="shared" si="24"/>
        <v>244354.99000000005</v>
      </c>
      <c r="O545" s="25">
        <f t="shared" ca="1" si="25"/>
        <v>0</v>
      </c>
      <c r="P545" s="25">
        <f t="shared" ca="1" si="26"/>
        <v>0</v>
      </c>
    </row>
    <row r="546" spans="12:16" s="23" customFormat="1" ht="13.8">
      <c r="L546" s="33">
        <v>543</v>
      </c>
      <c r="M546" s="23">
        <f ca="1"/>
        <v>117997.60941210973</v>
      </c>
      <c r="N546" s="25">
        <f t="shared" si="24"/>
        <v>244354.99000000005</v>
      </c>
      <c r="O546" s="25">
        <f t="shared" ca="1" si="25"/>
        <v>1</v>
      </c>
      <c r="P546" s="25">
        <f t="shared" ca="1" si="26"/>
        <v>0.51710579181497496</v>
      </c>
    </row>
    <row r="547" spans="12:16" s="23" customFormat="1" ht="13.8">
      <c r="L547" s="23">
        <v>544</v>
      </c>
      <c r="M547" s="23">
        <f ca="1"/>
        <v>37289.306420790468</v>
      </c>
      <c r="N547" s="25">
        <f t="shared" si="24"/>
        <v>244354.99000000005</v>
      </c>
      <c r="O547" s="25">
        <f t="shared" ca="1" si="25"/>
        <v>1</v>
      </c>
      <c r="P547" s="25">
        <f t="shared" ca="1" si="26"/>
        <v>0.84739699229882537</v>
      </c>
    </row>
    <row r="548" spans="12:16" s="23" customFormat="1" ht="13.8">
      <c r="L548" s="33">
        <v>545</v>
      </c>
      <c r="M548" s="23">
        <f ca="1"/>
        <v>118028.18713068451</v>
      </c>
      <c r="N548" s="25">
        <f t="shared" si="24"/>
        <v>244354.99000000005</v>
      </c>
      <c r="O548" s="25">
        <f t="shared" ca="1" si="25"/>
        <v>1</v>
      </c>
      <c r="P548" s="25">
        <f t="shared" ca="1" si="26"/>
        <v>0.51698065535439042</v>
      </c>
    </row>
    <row r="549" spans="12:16" s="23" customFormat="1" ht="13.8">
      <c r="L549" s="23">
        <v>546</v>
      </c>
      <c r="M549" s="23">
        <f ca="1"/>
        <v>147312.01721639597</v>
      </c>
      <c r="N549" s="25">
        <f t="shared" si="24"/>
        <v>244354.99000000005</v>
      </c>
      <c r="O549" s="25">
        <f t="shared" ca="1" si="25"/>
        <v>1</v>
      </c>
      <c r="P549" s="25">
        <f t="shared" ca="1" si="26"/>
        <v>0.39713931270077218</v>
      </c>
    </row>
    <row r="550" spans="12:16" s="23" customFormat="1" ht="13.8">
      <c r="L550" s="33">
        <v>547</v>
      </c>
      <c r="M550" s="23">
        <f ca="1"/>
        <v>-46735.429675829029</v>
      </c>
      <c r="N550" s="25">
        <f t="shared" si="24"/>
        <v>244354.99000000005</v>
      </c>
      <c r="O550" s="25">
        <f t="shared" ca="1" si="25"/>
        <v>1</v>
      </c>
      <c r="P550" s="25">
        <f t="shared" ca="1" si="26"/>
        <v>1.1912603858665993</v>
      </c>
    </row>
    <row r="551" spans="12:16" s="23" customFormat="1" ht="13.8">
      <c r="L551" s="23">
        <v>548</v>
      </c>
      <c r="M551" s="23">
        <f ca="1"/>
        <v>94972.324118306657</v>
      </c>
      <c r="N551" s="25">
        <f t="shared" si="24"/>
        <v>244354.99000000005</v>
      </c>
      <c r="O551" s="25">
        <f t="shared" ca="1" si="25"/>
        <v>1</v>
      </c>
      <c r="P551" s="25">
        <f t="shared" ca="1" si="26"/>
        <v>0.61133462378522885</v>
      </c>
    </row>
    <row r="552" spans="12:16" s="23" customFormat="1" ht="13.8">
      <c r="L552" s="33">
        <v>549</v>
      </c>
      <c r="M552" s="23">
        <f ca="1"/>
        <v>269862.9571129675</v>
      </c>
      <c r="N552" s="25">
        <f t="shared" si="24"/>
        <v>244354.99000000005</v>
      </c>
      <c r="O552" s="25">
        <f t="shared" ca="1" si="25"/>
        <v>0</v>
      </c>
      <c r="P552" s="25">
        <f t="shared" ca="1" si="26"/>
        <v>0</v>
      </c>
    </row>
    <row r="553" spans="12:16" s="23" customFormat="1" ht="13.8">
      <c r="L553" s="23">
        <v>550</v>
      </c>
      <c r="M553" s="23">
        <f ca="1"/>
        <v>102590.34237059299</v>
      </c>
      <c r="N553" s="25">
        <f t="shared" si="24"/>
        <v>244354.99000000005</v>
      </c>
      <c r="O553" s="25">
        <f t="shared" ca="1" si="25"/>
        <v>1</v>
      </c>
      <c r="P553" s="25">
        <f t="shared" ca="1" si="26"/>
        <v>0.5801585947944301</v>
      </c>
    </row>
    <row r="554" spans="12:16" s="23" customFormat="1" ht="13.8">
      <c r="L554" s="33">
        <v>551</v>
      </c>
      <c r="M554" s="23">
        <f ca="1"/>
        <v>122802.32266819445</v>
      </c>
      <c r="N554" s="25">
        <f t="shared" si="24"/>
        <v>244354.99000000005</v>
      </c>
      <c r="O554" s="25">
        <f t="shared" ca="1" si="25"/>
        <v>1</v>
      </c>
      <c r="P554" s="25">
        <f t="shared" ca="1" si="26"/>
        <v>0.49744295105987224</v>
      </c>
    </row>
    <row r="555" spans="12:16" s="23" customFormat="1" ht="13.8">
      <c r="L555" s="23">
        <v>552</v>
      </c>
      <c r="M555" s="23">
        <f ca="1"/>
        <v>116773.57289931904</v>
      </c>
      <c r="N555" s="25">
        <f t="shared" si="24"/>
        <v>244354.99000000005</v>
      </c>
      <c r="O555" s="25">
        <f t="shared" ca="1" si="25"/>
        <v>1</v>
      </c>
      <c r="P555" s="25">
        <f t="shared" ca="1" si="26"/>
        <v>0.52211504704970824</v>
      </c>
    </row>
    <row r="556" spans="12:16" s="23" customFormat="1" ht="13.8">
      <c r="L556" s="33">
        <v>553</v>
      </c>
      <c r="M556" s="23">
        <f ca="1"/>
        <v>87715.768176421276</v>
      </c>
      <c r="N556" s="25">
        <f t="shared" si="24"/>
        <v>244354.99000000005</v>
      </c>
      <c r="O556" s="25">
        <f t="shared" ca="1" si="25"/>
        <v>1</v>
      </c>
      <c r="P556" s="25">
        <f t="shared" ca="1" si="26"/>
        <v>0.64103140199256303</v>
      </c>
    </row>
    <row r="557" spans="12:16" s="23" customFormat="1" ht="13.8">
      <c r="L557" s="23">
        <v>554</v>
      </c>
      <c r="M557" s="23">
        <f ca="1"/>
        <v>106218.87449155579</v>
      </c>
      <c r="N557" s="25">
        <f t="shared" si="24"/>
        <v>244354.99000000005</v>
      </c>
      <c r="O557" s="25">
        <f t="shared" ca="1" si="25"/>
        <v>1</v>
      </c>
      <c r="P557" s="25">
        <f t="shared" ca="1" si="26"/>
        <v>0.56530916560551614</v>
      </c>
    </row>
    <row r="558" spans="12:16" s="23" customFormat="1" ht="13.8">
      <c r="L558" s="33">
        <v>555</v>
      </c>
      <c r="M558" s="23">
        <f ca="1"/>
        <v>167214.88781666398</v>
      </c>
      <c r="N558" s="25">
        <f t="shared" si="24"/>
        <v>244354.99000000005</v>
      </c>
      <c r="O558" s="25">
        <f t="shared" ca="1" si="25"/>
        <v>1</v>
      </c>
      <c r="P558" s="25">
        <f t="shared" ca="1" si="26"/>
        <v>0.31568867156482483</v>
      </c>
    </row>
    <row r="559" spans="12:16" s="23" customFormat="1" ht="13.8">
      <c r="L559" s="23">
        <v>556</v>
      </c>
      <c r="M559" s="23">
        <f ca="1"/>
        <v>48195.540971970455</v>
      </c>
      <c r="N559" s="25">
        <f t="shared" si="24"/>
        <v>244354.99000000005</v>
      </c>
      <c r="O559" s="25">
        <f t="shared" ca="1" si="25"/>
        <v>1</v>
      </c>
      <c r="P559" s="25">
        <f t="shared" ca="1" si="26"/>
        <v>0.80276424487189546</v>
      </c>
    </row>
    <row r="560" spans="12:16" s="23" customFormat="1" ht="13.8">
      <c r="L560" s="33">
        <v>557</v>
      </c>
      <c r="M560" s="23">
        <f ca="1"/>
        <v>295193.98258318839</v>
      </c>
      <c r="N560" s="25">
        <f t="shared" si="24"/>
        <v>244354.99000000005</v>
      </c>
      <c r="O560" s="25">
        <f t="shared" ca="1" si="25"/>
        <v>0</v>
      </c>
      <c r="P560" s="25">
        <f t="shared" ca="1" si="26"/>
        <v>0</v>
      </c>
    </row>
    <row r="561" spans="12:16" s="23" customFormat="1" ht="13.8">
      <c r="L561" s="23">
        <v>558</v>
      </c>
      <c r="M561" s="23">
        <f ca="1"/>
        <v>135313.57262086749</v>
      </c>
      <c r="N561" s="25">
        <f t="shared" si="24"/>
        <v>244354.99000000005</v>
      </c>
      <c r="O561" s="25">
        <f t="shared" ca="1" si="25"/>
        <v>1</v>
      </c>
      <c r="P561" s="25">
        <f t="shared" ca="1" si="26"/>
        <v>0.44624182783880345</v>
      </c>
    </row>
    <row r="562" spans="12:16" s="23" customFormat="1" ht="13.8">
      <c r="L562" s="33">
        <v>559</v>
      </c>
      <c r="M562" s="23">
        <f ca="1"/>
        <v>151831.51880223828</v>
      </c>
      <c r="N562" s="25">
        <f t="shared" si="24"/>
        <v>244354.99000000005</v>
      </c>
      <c r="O562" s="25">
        <f t="shared" ca="1" si="25"/>
        <v>1</v>
      </c>
      <c r="P562" s="25">
        <f t="shared" ca="1" si="26"/>
        <v>0.3786436740979251</v>
      </c>
    </row>
    <row r="563" spans="12:16" s="23" customFormat="1" ht="13.8">
      <c r="L563" s="23">
        <v>560</v>
      </c>
      <c r="M563" s="23">
        <f ca="1"/>
        <v>307189.31526491564</v>
      </c>
      <c r="N563" s="25">
        <f t="shared" si="24"/>
        <v>244354.99000000005</v>
      </c>
      <c r="O563" s="25">
        <f t="shared" ca="1" si="25"/>
        <v>0</v>
      </c>
      <c r="P563" s="25">
        <f t="shared" ca="1" si="26"/>
        <v>0</v>
      </c>
    </row>
    <row r="564" spans="12:16" s="23" customFormat="1" ht="13.8">
      <c r="L564" s="33">
        <v>561</v>
      </c>
      <c r="M564" s="23">
        <f ca="1"/>
        <v>247763.62189766148</v>
      </c>
      <c r="N564" s="25">
        <f t="shared" si="24"/>
        <v>244354.99000000005</v>
      </c>
      <c r="O564" s="25">
        <f t="shared" ca="1" si="25"/>
        <v>0</v>
      </c>
      <c r="P564" s="25">
        <f t="shared" ca="1" si="26"/>
        <v>0</v>
      </c>
    </row>
    <row r="565" spans="12:16" s="23" customFormat="1" ht="13.8">
      <c r="L565" s="23">
        <v>562</v>
      </c>
      <c r="M565" s="23">
        <f ca="1"/>
        <v>266539.00626553234</v>
      </c>
      <c r="N565" s="25">
        <f t="shared" si="24"/>
        <v>244354.99000000005</v>
      </c>
      <c r="O565" s="25">
        <f t="shared" ca="1" si="25"/>
        <v>0</v>
      </c>
      <c r="P565" s="25">
        <f t="shared" ca="1" si="26"/>
        <v>0</v>
      </c>
    </row>
    <row r="566" spans="12:16" s="23" customFormat="1" ht="13.8">
      <c r="L566" s="33">
        <v>563</v>
      </c>
      <c r="M566" s="23">
        <f ca="1"/>
        <v>157822.76733603986</v>
      </c>
      <c r="N566" s="25">
        <f t="shared" si="24"/>
        <v>244354.99000000005</v>
      </c>
      <c r="O566" s="25">
        <f t="shared" ca="1" si="25"/>
        <v>1</v>
      </c>
      <c r="P566" s="25">
        <f t="shared" ca="1" si="26"/>
        <v>0.35412504841403142</v>
      </c>
    </row>
    <row r="567" spans="12:16" s="23" customFormat="1" ht="13.8">
      <c r="L567" s="23">
        <v>564</v>
      </c>
      <c r="M567" s="23">
        <f ca="1"/>
        <v>-59311.403519465042</v>
      </c>
      <c r="N567" s="25">
        <f t="shared" si="24"/>
        <v>244354.99000000005</v>
      </c>
      <c r="O567" s="25">
        <f t="shared" ca="1" si="25"/>
        <v>1</v>
      </c>
      <c r="P567" s="25">
        <f t="shared" ca="1" si="26"/>
        <v>1.2427263855731576</v>
      </c>
    </row>
    <row r="568" spans="12:16" s="23" customFormat="1" ht="13.8">
      <c r="L568" s="33">
        <v>565</v>
      </c>
      <c r="M568" s="23">
        <f ca="1"/>
        <v>73608.152384555215</v>
      </c>
      <c r="N568" s="25">
        <f t="shared" si="24"/>
        <v>244354.99000000005</v>
      </c>
      <c r="O568" s="25">
        <f t="shared" ca="1" si="25"/>
        <v>1</v>
      </c>
      <c r="P568" s="25">
        <f t="shared" ca="1" si="26"/>
        <v>0.69876550348100042</v>
      </c>
    </row>
    <row r="569" spans="12:16" s="23" customFormat="1" ht="13.8">
      <c r="L569" s="23">
        <v>566</v>
      </c>
      <c r="M569" s="23">
        <f ca="1"/>
        <v>249685.27151143132</v>
      </c>
      <c r="N569" s="25">
        <f t="shared" si="24"/>
        <v>244354.99000000005</v>
      </c>
      <c r="O569" s="25">
        <f t="shared" ca="1" si="25"/>
        <v>0</v>
      </c>
      <c r="P569" s="25">
        <f t="shared" ca="1" si="26"/>
        <v>0</v>
      </c>
    </row>
    <row r="570" spans="12:16" s="23" customFormat="1" ht="13.8">
      <c r="L570" s="33">
        <v>567</v>
      </c>
      <c r="M570" s="23">
        <f ca="1"/>
        <v>122088.02268872305</v>
      </c>
      <c r="N570" s="25">
        <f t="shared" si="24"/>
        <v>244354.99000000005</v>
      </c>
      <c r="O570" s="25">
        <f t="shared" ca="1" si="25"/>
        <v>1</v>
      </c>
      <c r="P570" s="25">
        <f t="shared" ca="1" si="26"/>
        <v>0.50036615708677357</v>
      </c>
    </row>
    <row r="571" spans="12:16" s="23" customFormat="1" ht="13.8">
      <c r="L571" s="23">
        <v>568</v>
      </c>
      <c r="M571" s="23">
        <f ca="1"/>
        <v>90979.173298483889</v>
      </c>
      <c r="N571" s="25">
        <f t="shared" si="24"/>
        <v>244354.99000000005</v>
      </c>
      <c r="O571" s="25">
        <f t="shared" ca="1" si="25"/>
        <v>1</v>
      </c>
      <c r="P571" s="25">
        <f t="shared" ca="1" si="26"/>
        <v>0.62767622098290743</v>
      </c>
    </row>
    <row r="572" spans="12:16" s="23" customFormat="1" ht="13.8">
      <c r="L572" s="33">
        <v>569</v>
      </c>
      <c r="M572" s="23">
        <f ca="1"/>
        <v>262146.3735654357</v>
      </c>
      <c r="N572" s="25">
        <f t="shared" si="24"/>
        <v>244354.99000000005</v>
      </c>
      <c r="O572" s="25">
        <f t="shared" ca="1" si="25"/>
        <v>0</v>
      </c>
      <c r="P572" s="25">
        <f t="shared" ca="1" si="26"/>
        <v>0</v>
      </c>
    </row>
    <row r="573" spans="12:16" s="23" customFormat="1" ht="13.8">
      <c r="L573" s="23">
        <v>570</v>
      </c>
      <c r="M573" s="23">
        <f ca="1"/>
        <v>332114.05375628086</v>
      </c>
      <c r="N573" s="25">
        <f t="shared" si="24"/>
        <v>244354.99000000005</v>
      </c>
      <c r="O573" s="25">
        <f t="shared" ca="1" si="25"/>
        <v>0</v>
      </c>
      <c r="P573" s="25">
        <f t="shared" ca="1" si="26"/>
        <v>0</v>
      </c>
    </row>
    <row r="574" spans="12:16" s="23" customFormat="1" ht="13.8">
      <c r="L574" s="33">
        <v>571</v>
      </c>
      <c r="M574" s="23">
        <f ca="1"/>
        <v>208806.96414620057</v>
      </c>
      <c r="N574" s="25">
        <f t="shared" si="24"/>
        <v>244354.99000000005</v>
      </c>
      <c r="O574" s="25">
        <f t="shared" ca="1" si="25"/>
        <v>1</v>
      </c>
      <c r="P574" s="25">
        <f t="shared" ca="1" si="26"/>
        <v>0.14547697942980201</v>
      </c>
    </row>
    <row r="575" spans="12:16" s="23" customFormat="1" ht="13.8">
      <c r="L575" s="23">
        <v>572</v>
      </c>
      <c r="M575" s="23">
        <f ca="1"/>
        <v>126099.22639294618</v>
      </c>
      <c r="N575" s="25">
        <f t="shared" si="24"/>
        <v>244354.99000000005</v>
      </c>
      <c r="O575" s="25">
        <f t="shared" ca="1" si="25"/>
        <v>1</v>
      </c>
      <c r="P575" s="25">
        <f t="shared" ca="1" si="26"/>
        <v>0.4839506801438917</v>
      </c>
    </row>
    <row r="576" spans="12:16" s="23" customFormat="1" ht="13.8">
      <c r="L576" s="33">
        <v>573</v>
      </c>
      <c r="M576" s="23">
        <f ca="1"/>
        <v>156589.7005451991</v>
      </c>
      <c r="N576" s="25">
        <f t="shared" si="24"/>
        <v>244354.99000000005</v>
      </c>
      <c r="O576" s="25">
        <f t="shared" ca="1" si="25"/>
        <v>1</v>
      </c>
      <c r="P576" s="25">
        <f t="shared" ca="1" si="26"/>
        <v>0.35917125921922416</v>
      </c>
    </row>
    <row r="577" spans="12:16" s="23" customFormat="1" ht="13.8">
      <c r="L577" s="23">
        <v>574</v>
      </c>
      <c r="M577" s="23">
        <f ca="1"/>
        <v>-26465.594708820252</v>
      </c>
      <c r="N577" s="25">
        <f t="shared" si="24"/>
        <v>244354.99000000005</v>
      </c>
      <c r="O577" s="25">
        <f t="shared" ca="1" si="25"/>
        <v>1</v>
      </c>
      <c r="P577" s="25">
        <f t="shared" ca="1" si="26"/>
        <v>1.1083079772949194</v>
      </c>
    </row>
    <row r="578" spans="12:16" s="23" customFormat="1" ht="13.8">
      <c r="L578" s="33">
        <v>575</v>
      </c>
      <c r="M578" s="23">
        <f ca="1"/>
        <v>-89431.298830167827</v>
      </c>
      <c r="N578" s="25">
        <f t="shared" si="24"/>
        <v>244354.99000000005</v>
      </c>
      <c r="O578" s="25">
        <f t="shared" ca="1" si="25"/>
        <v>1</v>
      </c>
      <c r="P578" s="25">
        <f t="shared" ca="1" si="26"/>
        <v>1.3659892471611395</v>
      </c>
    </row>
    <row r="579" spans="12:16" s="23" customFormat="1" ht="13.8">
      <c r="L579" s="23">
        <v>576</v>
      </c>
      <c r="M579" s="23">
        <f ca="1"/>
        <v>101490.12809628497</v>
      </c>
      <c r="N579" s="25">
        <f t="shared" si="24"/>
        <v>244354.99000000005</v>
      </c>
      <c r="O579" s="25">
        <f t="shared" ca="1" si="25"/>
        <v>1</v>
      </c>
      <c r="P579" s="25">
        <f t="shared" ca="1" si="26"/>
        <v>0.58466111906990337</v>
      </c>
    </row>
    <row r="580" spans="12:16" s="23" customFormat="1" ht="13.8">
      <c r="L580" s="33">
        <v>577</v>
      </c>
      <c r="M580" s="23">
        <f ca="1"/>
        <v>90475.951707438915</v>
      </c>
      <c r="N580" s="25">
        <f t="shared" ref="N580:N643" si="27">($C$22+$E$22)*1.1</f>
        <v>244354.99000000005</v>
      </c>
      <c r="O580" s="25">
        <f t="shared" ca="1" si="25"/>
        <v>1</v>
      </c>
      <c r="P580" s="25">
        <f t="shared" ca="1" si="26"/>
        <v>0.62973560839727927</v>
      </c>
    </row>
    <row r="581" spans="12:16" s="23" customFormat="1" ht="13.8">
      <c r="L581" s="23">
        <v>578</v>
      </c>
      <c r="M581" s="23">
        <f ca="1"/>
        <v>139503.27864271856</v>
      </c>
      <c r="N581" s="25">
        <f t="shared" si="27"/>
        <v>244354.99000000005</v>
      </c>
      <c r="O581" s="25">
        <f t="shared" ref="O581:O644" ca="1" si="28">IF(M581&lt;N581,1,0)</f>
        <v>1</v>
      </c>
      <c r="P581" s="25">
        <f t="shared" ref="P581:P644" ca="1" si="29">MAX((N581-M581)/N581,0)</f>
        <v>0.4290958468140203</v>
      </c>
    </row>
    <row r="582" spans="12:16" s="23" customFormat="1" ht="13.8">
      <c r="L582" s="33">
        <v>579</v>
      </c>
      <c r="M582" s="23">
        <f ca="1"/>
        <v>233909.83417189098</v>
      </c>
      <c r="N582" s="25">
        <f t="shared" si="27"/>
        <v>244354.99000000005</v>
      </c>
      <c r="O582" s="25">
        <f t="shared" ca="1" si="28"/>
        <v>1</v>
      </c>
      <c r="P582" s="25">
        <f t="shared" ca="1" si="29"/>
        <v>4.2745825768113296E-2</v>
      </c>
    </row>
    <row r="583" spans="12:16" s="23" customFormat="1" ht="13.8">
      <c r="L583" s="23">
        <v>580</v>
      </c>
      <c r="M583" s="23">
        <f ca="1"/>
        <v>183287.82045130371</v>
      </c>
      <c r="N583" s="25">
        <f t="shared" si="27"/>
        <v>244354.99000000005</v>
      </c>
      <c r="O583" s="25">
        <f t="shared" ca="1" si="28"/>
        <v>1</v>
      </c>
      <c r="P583" s="25">
        <f t="shared" ca="1" si="29"/>
        <v>0.24991169424735846</v>
      </c>
    </row>
    <row r="584" spans="12:16" s="23" customFormat="1" ht="13.8">
      <c r="L584" s="33">
        <v>581</v>
      </c>
      <c r="M584" s="23">
        <f ca="1"/>
        <v>69468.702145391348</v>
      </c>
      <c r="N584" s="25">
        <f t="shared" si="27"/>
        <v>244354.99000000005</v>
      </c>
      <c r="O584" s="25">
        <f t="shared" ca="1" si="28"/>
        <v>1</v>
      </c>
      <c r="P584" s="25">
        <f t="shared" ca="1" si="29"/>
        <v>0.71570581740364159</v>
      </c>
    </row>
    <row r="585" spans="12:16" s="23" customFormat="1" ht="13.8">
      <c r="L585" s="23">
        <v>582</v>
      </c>
      <c r="M585" s="23">
        <f ca="1"/>
        <v>-94114.660419676948</v>
      </c>
      <c r="N585" s="25">
        <f t="shared" si="27"/>
        <v>244354.99000000005</v>
      </c>
      <c r="O585" s="25">
        <f t="shared" ca="1" si="28"/>
        <v>1</v>
      </c>
      <c r="P585" s="25">
        <f t="shared" ca="1" si="29"/>
        <v>1.3851554675420255</v>
      </c>
    </row>
    <row r="586" spans="12:16" s="23" customFormat="1" ht="13.8">
      <c r="L586" s="33">
        <v>583</v>
      </c>
      <c r="M586" s="23">
        <f ca="1"/>
        <v>53050.2508946034</v>
      </c>
      <c r="N586" s="25">
        <f t="shared" si="27"/>
        <v>244354.99000000005</v>
      </c>
      <c r="O586" s="25">
        <f t="shared" ca="1" si="28"/>
        <v>1</v>
      </c>
      <c r="P586" s="25">
        <f t="shared" ca="1" si="29"/>
        <v>0.78289679742327589</v>
      </c>
    </row>
    <row r="587" spans="12:16" s="23" customFormat="1" ht="13.8">
      <c r="L587" s="23">
        <v>584</v>
      </c>
      <c r="M587" s="23">
        <f ca="1"/>
        <v>237930.15555961934</v>
      </c>
      <c r="N587" s="25">
        <f t="shared" si="27"/>
        <v>244354.99000000005</v>
      </c>
      <c r="O587" s="25">
        <f t="shared" ca="1" si="28"/>
        <v>1</v>
      </c>
      <c r="P587" s="25">
        <f t="shared" ca="1" si="29"/>
        <v>2.6293035556101033E-2</v>
      </c>
    </row>
    <row r="588" spans="12:16" s="23" customFormat="1" ht="13.8">
      <c r="L588" s="33">
        <v>585</v>
      </c>
      <c r="M588" s="23">
        <f ca="1"/>
        <v>100855.53726141815</v>
      </c>
      <c r="N588" s="25">
        <f t="shared" si="27"/>
        <v>244354.99000000005</v>
      </c>
      <c r="O588" s="25">
        <f t="shared" ca="1" si="28"/>
        <v>1</v>
      </c>
      <c r="P588" s="25">
        <f t="shared" ca="1" si="29"/>
        <v>0.58725812285880419</v>
      </c>
    </row>
    <row r="589" spans="12:16" s="23" customFormat="1" ht="13.8">
      <c r="L589" s="23">
        <v>586</v>
      </c>
      <c r="M589" s="23">
        <f ca="1"/>
        <v>127681.27867945515</v>
      </c>
      <c r="N589" s="25">
        <f t="shared" si="27"/>
        <v>244354.99000000005</v>
      </c>
      <c r="O589" s="25">
        <f t="shared" ca="1" si="28"/>
        <v>1</v>
      </c>
      <c r="P589" s="25">
        <f t="shared" ca="1" si="29"/>
        <v>0.4774762787555305</v>
      </c>
    </row>
    <row r="590" spans="12:16" s="23" customFormat="1" ht="13.8">
      <c r="L590" s="33">
        <v>587</v>
      </c>
      <c r="M590" s="23">
        <f ca="1"/>
        <v>107841.194287807</v>
      </c>
      <c r="N590" s="25">
        <f t="shared" si="27"/>
        <v>244354.99000000005</v>
      </c>
      <c r="O590" s="25">
        <f t="shared" ca="1" si="28"/>
        <v>1</v>
      </c>
      <c r="P590" s="25">
        <f t="shared" ca="1" si="29"/>
        <v>0.55866997319020595</v>
      </c>
    </row>
    <row r="591" spans="12:16" s="23" customFormat="1" ht="13.8">
      <c r="L591" s="23">
        <v>588</v>
      </c>
      <c r="M591" s="23">
        <f ca="1"/>
        <v>295568.56281566009</v>
      </c>
      <c r="N591" s="25">
        <f t="shared" si="27"/>
        <v>244354.99000000005</v>
      </c>
      <c r="O591" s="25">
        <f t="shared" ca="1" si="28"/>
        <v>0</v>
      </c>
      <c r="P591" s="25">
        <f t="shared" ca="1" si="29"/>
        <v>0</v>
      </c>
    </row>
    <row r="592" spans="12:16" s="23" customFormat="1" ht="13.8">
      <c r="L592" s="33">
        <v>589</v>
      </c>
      <c r="M592" s="23">
        <f ca="1"/>
        <v>161290.22680139708</v>
      </c>
      <c r="N592" s="25">
        <f t="shared" si="27"/>
        <v>244354.99000000005</v>
      </c>
      <c r="O592" s="25">
        <f t="shared" ca="1" si="28"/>
        <v>1</v>
      </c>
      <c r="P592" s="25">
        <f t="shared" ca="1" si="29"/>
        <v>0.33993479404125515</v>
      </c>
    </row>
    <row r="593" spans="12:16" s="23" customFormat="1" ht="13.8">
      <c r="L593" s="23">
        <v>590</v>
      </c>
      <c r="M593" s="23">
        <f ca="1"/>
        <v>371556.51607304794</v>
      </c>
      <c r="N593" s="25">
        <f t="shared" si="27"/>
        <v>244354.99000000005</v>
      </c>
      <c r="O593" s="25">
        <f t="shared" ca="1" si="28"/>
        <v>0</v>
      </c>
      <c r="P593" s="25">
        <f t="shared" ca="1" si="29"/>
        <v>0</v>
      </c>
    </row>
    <row r="594" spans="12:16" s="23" customFormat="1" ht="13.8">
      <c r="L594" s="33">
        <v>591</v>
      </c>
      <c r="M594" s="23">
        <f ca="1"/>
        <v>203881.8669447772</v>
      </c>
      <c r="N594" s="25">
        <f t="shared" si="27"/>
        <v>244354.99000000005</v>
      </c>
      <c r="O594" s="25">
        <f t="shared" ca="1" si="28"/>
        <v>1</v>
      </c>
      <c r="P594" s="25">
        <f t="shared" ca="1" si="29"/>
        <v>0.16563248025024102</v>
      </c>
    </row>
    <row r="595" spans="12:16" s="23" customFormat="1" ht="13.8">
      <c r="L595" s="23">
        <v>592</v>
      </c>
      <c r="M595" s="23">
        <f ca="1"/>
        <v>197272.0056281407</v>
      </c>
      <c r="N595" s="25">
        <f t="shared" si="27"/>
        <v>244354.99000000005</v>
      </c>
      <c r="O595" s="25">
        <f t="shared" ca="1" si="28"/>
        <v>1</v>
      </c>
      <c r="P595" s="25">
        <f t="shared" ca="1" si="29"/>
        <v>0.19268272103573306</v>
      </c>
    </row>
    <row r="596" spans="12:16" s="23" customFormat="1" ht="13.8">
      <c r="L596" s="33">
        <v>593</v>
      </c>
      <c r="M596" s="23">
        <f ca="1"/>
        <v>-27857.529063301306</v>
      </c>
      <c r="N596" s="25">
        <f t="shared" si="27"/>
        <v>244354.99000000005</v>
      </c>
      <c r="O596" s="25">
        <f t="shared" ca="1" si="28"/>
        <v>1</v>
      </c>
      <c r="P596" s="25">
        <f t="shared" ca="1" si="29"/>
        <v>1.1140043387831013</v>
      </c>
    </row>
    <row r="597" spans="12:16" s="23" customFormat="1" ht="13.8">
      <c r="L597" s="23">
        <v>594</v>
      </c>
      <c r="M597" s="23">
        <f ca="1"/>
        <v>156711.94160744321</v>
      </c>
      <c r="N597" s="25">
        <f t="shared" si="27"/>
        <v>244354.99000000005</v>
      </c>
      <c r="O597" s="25">
        <f t="shared" ca="1" si="28"/>
        <v>1</v>
      </c>
      <c r="P597" s="25">
        <f t="shared" ca="1" si="29"/>
        <v>0.35867099907620803</v>
      </c>
    </row>
    <row r="598" spans="12:16" s="23" customFormat="1" ht="13.8">
      <c r="L598" s="33">
        <v>595</v>
      </c>
      <c r="M598" s="23">
        <f ca="1"/>
        <v>84546.216347039692</v>
      </c>
      <c r="N598" s="25">
        <f t="shared" si="27"/>
        <v>244354.99000000005</v>
      </c>
      <c r="O598" s="25">
        <f t="shared" ca="1" si="28"/>
        <v>1</v>
      </c>
      <c r="P598" s="25">
        <f t="shared" ca="1" si="29"/>
        <v>0.6540024971577636</v>
      </c>
    </row>
    <row r="599" spans="12:16" s="23" customFormat="1" ht="13.8">
      <c r="L599" s="23">
        <v>596</v>
      </c>
      <c r="M599" s="23">
        <f ca="1"/>
        <v>-75352.306946844736</v>
      </c>
      <c r="N599" s="25">
        <f t="shared" si="27"/>
        <v>244354.99000000005</v>
      </c>
      <c r="O599" s="25">
        <f t="shared" ca="1" si="28"/>
        <v>1</v>
      </c>
      <c r="P599" s="25">
        <f t="shared" ca="1" si="29"/>
        <v>1.3083722863480083</v>
      </c>
    </row>
    <row r="600" spans="12:16" s="23" customFormat="1" ht="13.8">
      <c r="L600" s="33">
        <v>597</v>
      </c>
      <c r="M600" s="23">
        <f ca="1"/>
        <v>-53300.363820911145</v>
      </c>
      <c r="N600" s="25">
        <f t="shared" si="27"/>
        <v>244354.99000000005</v>
      </c>
      <c r="O600" s="25">
        <f t="shared" ca="1" si="28"/>
        <v>1</v>
      </c>
      <c r="P600" s="25">
        <f t="shared" ca="1" si="29"/>
        <v>1.2181267663938893</v>
      </c>
    </row>
    <row r="601" spans="12:16" s="23" customFormat="1" ht="13.8">
      <c r="L601" s="23">
        <v>598</v>
      </c>
      <c r="M601" s="23">
        <f ca="1"/>
        <v>-12144.508830575602</v>
      </c>
      <c r="N601" s="25">
        <f t="shared" si="27"/>
        <v>244354.99000000005</v>
      </c>
      <c r="O601" s="25">
        <f t="shared" ca="1" si="28"/>
        <v>1</v>
      </c>
      <c r="P601" s="25">
        <f t="shared" ca="1" si="29"/>
        <v>1.0497002693932118</v>
      </c>
    </row>
    <row r="602" spans="12:16" s="23" customFormat="1" ht="13.8">
      <c r="L602" s="33">
        <v>599</v>
      </c>
      <c r="M602" s="23">
        <f ca="1"/>
        <v>178814.34159244812</v>
      </c>
      <c r="N602" s="25">
        <f t="shared" si="27"/>
        <v>244354.99000000005</v>
      </c>
      <c r="O602" s="25">
        <f t="shared" ca="1" si="28"/>
        <v>1</v>
      </c>
      <c r="P602" s="25">
        <f t="shared" ca="1" si="29"/>
        <v>0.26821898913360398</v>
      </c>
    </row>
    <row r="603" spans="12:16" s="23" customFormat="1" ht="13.8">
      <c r="L603" s="23">
        <v>600</v>
      </c>
      <c r="M603" s="23">
        <f ca="1"/>
        <v>164115.69783640455</v>
      </c>
      <c r="N603" s="25">
        <f t="shared" si="27"/>
        <v>244354.99000000005</v>
      </c>
      <c r="O603" s="25">
        <f t="shared" ca="1" si="28"/>
        <v>1</v>
      </c>
      <c r="P603" s="25">
        <f t="shared" ca="1" si="29"/>
        <v>0.32837181742675065</v>
      </c>
    </row>
    <row r="604" spans="12:16" s="23" customFormat="1" ht="13.8">
      <c r="L604" s="33">
        <v>601</v>
      </c>
      <c r="M604" s="23">
        <f ca="1"/>
        <v>161740.73011775519</v>
      </c>
      <c r="N604" s="25">
        <f t="shared" si="27"/>
        <v>244354.99000000005</v>
      </c>
      <c r="O604" s="25">
        <f t="shared" ca="1" si="28"/>
        <v>1</v>
      </c>
      <c r="P604" s="25">
        <f t="shared" ca="1" si="29"/>
        <v>0.33809115124780076</v>
      </c>
    </row>
    <row r="605" spans="12:16" s="23" customFormat="1" ht="13.8">
      <c r="L605" s="23">
        <v>602</v>
      </c>
      <c r="M605" s="23">
        <f ca="1"/>
        <v>20085.773660871615</v>
      </c>
      <c r="N605" s="25">
        <f t="shared" si="27"/>
        <v>244354.99000000005</v>
      </c>
      <c r="O605" s="25">
        <f t="shared" ca="1" si="28"/>
        <v>1</v>
      </c>
      <c r="P605" s="25">
        <f t="shared" ca="1" si="29"/>
        <v>0.91780084515208138</v>
      </c>
    </row>
    <row r="606" spans="12:16" s="23" customFormat="1" ht="13.8">
      <c r="L606" s="33">
        <v>603</v>
      </c>
      <c r="M606" s="23">
        <f ca="1"/>
        <v>209209.83397995803</v>
      </c>
      <c r="N606" s="25">
        <f t="shared" si="27"/>
        <v>244354.99000000005</v>
      </c>
      <c r="O606" s="25">
        <f t="shared" ca="1" si="28"/>
        <v>1</v>
      </c>
      <c r="P606" s="25">
        <f t="shared" ca="1" si="29"/>
        <v>0.14382827222002717</v>
      </c>
    </row>
    <row r="607" spans="12:16" s="23" customFormat="1" ht="13.8">
      <c r="L607" s="23">
        <v>604</v>
      </c>
      <c r="M607" s="23">
        <f ca="1"/>
        <v>196560.86400320823</v>
      </c>
      <c r="N607" s="25">
        <f t="shared" si="27"/>
        <v>244354.99000000005</v>
      </c>
      <c r="O607" s="25">
        <f t="shared" ca="1" si="28"/>
        <v>1</v>
      </c>
      <c r="P607" s="25">
        <f t="shared" ca="1" si="29"/>
        <v>0.19559300179133565</v>
      </c>
    </row>
    <row r="608" spans="12:16" s="23" customFormat="1" ht="13.8">
      <c r="L608" s="33">
        <v>605</v>
      </c>
      <c r="M608" s="23">
        <f ca="1"/>
        <v>52490.656808959415</v>
      </c>
      <c r="N608" s="25">
        <f t="shared" si="27"/>
        <v>244354.99000000005</v>
      </c>
      <c r="O608" s="25">
        <f t="shared" ca="1" si="28"/>
        <v>1</v>
      </c>
      <c r="P608" s="25">
        <f t="shared" ca="1" si="29"/>
        <v>0.78518688401264325</v>
      </c>
    </row>
    <row r="609" spans="12:16" s="23" customFormat="1" ht="13.8">
      <c r="L609" s="23">
        <v>606</v>
      </c>
      <c r="M609" s="23">
        <f ca="1"/>
        <v>147916.98429821213</v>
      </c>
      <c r="N609" s="25">
        <f t="shared" si="27"/>
        <v>244354.99000000005</v>
      </c>
      <c r="O609" s="25">
        <f t="shared" ca="1" si="28"/>
        <v>1</v>
      </c>
      <c r="P609" s="25">
        <f t="shared" ca="1" si="29"/>
        <v>0.39466354135754667</v>
      </c>
    </row>
    <row r="610" spans="12:16" s="23" customFormat="1" ht="13.8">
      <c r="L610" s="33">
        <v>607</v>
      </c>
      <c r="M610" s="23">
        <f ca="1"/>
        <v>328412.0141949309</v>
      </c>
      <c r="N610" s="25">
        <f t="shared" si="27"/>
        <v>244354.99000000005</v>
      </c>
      <c r="O610" s="25">
        <f t="shared" ca="1" si="28"/>
        <v>0</v>
      </c>
      <c r="P610" s="25">
        <f t="shared" ca="1" si="29"/>
        <v>0</v>
      </c>
    </row>
    <row r="611" spans="12:16" s="23" customFormat="1" ht="13.8">
      <c r="L611" s="23">
        <v>608</v>
      </c>
      <c r="M611" s="23">
        <f ca="1"/>
        <v>44845.377591410819</v>
      </c>
      <c r="N611" s="25">
        <f t="shared" si="27"/>
        <v>244354.99000000005</v>
      </c>
      <c r="O611" s="25">
        <f t="shared" ca="1" si="28"/>
        <v>1</v>
      </c>
      <c r="P611" s="25">
        <f t="shared" ca="1" si="29"/>
        <v>0.81647447596052436</v>
      </c>
    </row>
    <row r="612" spans="12:16" s="23" customFormat="1" ht="13.8">
      <c r="L612" s="33">
        <v>609</v>
      </c>
      <c r="M612" s="23">
        <f ca="1"/>
        <v>30233.690225304828</v>
      </c>
      <c r="N612" s="25">
        <f t="shared" si="27"/>
        <v>244354.99000000005</v>
      </c>
      <c r="O612" s="25">
        <f t="shared" ca="1" si="28"/>
        <v>1</v>
      </c>
      <c r="P612" s="25">
        <f t="shared" ca="1" si="29"/>
        <v>0.87627144334026152</v>
      </c>
    </row>
    <row r="613" spans="12:16" s="23" customFormat="1" ht="13.8">
      <c r="L613" s="23">
        <v>610</v>
      </c>
      <c r="M613" s="23">
        <f ca="1"/>
        <v>204057.72039215339</v>
      </c>
      <c r="N613" s="25">
        <f t="shared" si="27"/>
        <v>244354.99000000005</v>
      </c>
      <c r="O613" s="25">
        <f t="shared" ca="1" si="28"/>
        <v>1</v>
      </c>
      <c r="P613" s="25">
        <f t="shared" ca="1" si="29"/>
        <v>0.16491281642272435</v>
      </c>
    </row>
    <row r="614" spans="12:16" s="23" customFormat="1" ht="13.8">
      <c r="L614" s="33">
        <v>611</v>
      </c>
      <c r="M614" s="23">
        <f ca="1"/>
        <v>189820.83883431379</v>
      </c>
      <c r="N614" s="25">
        <f t="shared" si="27"/>
        <v>244354.99000000005</v>
      </c>
      <c r="O614" s="25">
        <f t="shared" ca="1" si="28"/>
        <v>1</v>
      </c>
      <c r="P614" s="25">
        <f t="shared" ca="1" si="29"/>
        <v>0.22317592599883573</v>
      </c>
    </row>
    <row r="615" spans="12:16" s="23" customFormat="1" ht="13.8">
      <c r="L615" s="23">
        <v>612</v>
      </c>
      <c r="M615" s="23">
        <f ca="1"/>
        <v>129836.62392118573</v>
      </c>
      <c r="N615" s="25">
        <f t="shared" si="27"/>
        <v>244354.99000000005</v>
      </c>
      <c r="O615" s="25">
        <f t="shared" ca="1" si="28"/>
        <v>1</v>
      </c>
      <c r="P615" s="25">
        <f t="shared" ca="1" si="29"/>
        <v>0.4686557294320623</v>
      </c>
    </row>
    <row r="616" spans="12:16" s="23" customFormat="1" ht="13.8">
      <c r="L616" s="33">
        <v>613</v>
      </c>
      <c r="M616" s="23">
        <f ca="1"/>
        <v>208250.38792097542</v>
      </c>
      <c r="N616" s="25">
        <f t="shared" si="27"/>
        <v>244354.99000000005</v>
      </c>
      <c r="O616" s="25">
        <f t="shared" ca="1" si="28"/>
        <v>1</v>
      </c>
      <c r="P616" s="25">
        <f t="shared" ca="1" si="29"/>
        <v>0.14775471570695003</v>
      </c>
    </row>
    <row r="617" spans="12:16" s="23" customFormat="1" ht="13.8">
      <c r="L617" s="23">
        <v>614</v>
      </c>
      <c r="M617" s="23">
        <f ca="1"/>
        <v>342269.99069172418</v>
      </c>
      <c r="N617" s="25">
        <f t="shared" si="27"/>
        <v>244354.99000000005</v>
      </c>
      <c r="O617" s="25">
        <f t="shared" ca="1" si="28"/>
        <v>0</v>
      </c>
      <c r="P617" s="25">
        <f t="shared" ca="1" si="29"/>
        <v>0</v>
      </c>
    </row>
    <row r="618" spans="12:16" s="23" customFormat="1" ht="13.8">
      <c r="L618" s="33">
        <v>615</v>
      </c>
      <c r="M618" s="23">
        <f ca="1"/>
        <v>121931.56964875551</v>
      </c>
      <c r="N618" s="25">
        <f t="shared" si="27"/>
        <v>244354.99000000005</v>
      </c>
      <c r="O618" s="25">
        <f t="shared" ca="1" si="28"/>
        <v>1</v>
      </c>
      <c r="P618" s="25">
        <f t="shared" ca="1" si="29"/>
        <v>0.50100642655688965</v>
      </c>
    </row>
    <row r="619" spans="12:16" s="23" customFormat="1" ht="13.8">
      <c r="L619" s="23">
        <v>616</v>
      </c>
      <c r="M619" s="23">
        <f ca="1"/>
        <v>248219.52952380845</v>
      </c>
      <c r="N619" s="25">
        <f t="shared" si="27"/>
        <v>244354.99000000005</v>
      </c>
      <c r="O619" s="25">
        <f t="shared" ca="1" si="28"/>
        <v>0</v>
      </c>
      <c r="P619" s="25">
        <f t="shared" ca="1" si="29"/>
        <v>0</v>
      </c>
    </row>
    <row r="620" spans="12:16" s="23" customFormat="1" ht="13.8">
      <c r="L620" s="33">
        <v>617</v>
      </c>
      <c r="M620" s="23">
        <f ca="1"/>
        <v>39452.837394859984</v>
      </c>
      <c r="N620" s="25">
        <f t="shared" si="27"/>
        <v>244354.99000000005</v>
      </c>
      <c r="O620" s="25">
        <f t="shared" ca="1" si="28"/>
        <v>1</v>
      </c>
      <c r="P620" s="25">
        <f t="shared" ca="1" si="29"/>
        <v>0.83854294362943038</v>
      </c>
    </row>
    <row r="621" spans="12:16" s="23" customFormat="1" ht="13.8">
      <c r="L621" s="23">
        <v>618</v>
      </c>
      <c r="M621" s="23">
        <f ca="1"/>
        <v>286640.47602600692</v>
      </c>
      <c r="N621" s="25">
        <f t="shared" si="27"/>
        <v>244354.99000000005</v>
      </c>
      <c r="O621" s="25">
        <f t="shared" ca="1" si="28"/>
        <v>0</v>
      </c>
      <c r="P621" s="25">
        <f t="shared" ca="1" si="29"/>
        <v>0</v>
      </c>
    </row>
    <row r="622" spans="12:16" s="23" customFormat="1" ht="13.8">
      <c r="L622" s="33">
        <v>619</v>
      </c>
      <c r="M622" s="23">
        <f ca="1"/>
        <v>54524.456811031167</v>
      </c>
      <c r="N622" s="25">
        <f t="shared" si="27"/>
        <v>244354.99000000005</v>
      </c>
      <c r="O622" s="25">
        <f t="shared" ca="1" si="28"/>
        <v>1</v>
      </c>
      <c r="P622" s="25">
        <f t="shared" ca="1" si="29"/>
        <v>0.77686374724317619</v>
      </c>
    </row>
    <row r="623" spans="12:16" s="23" customFormat="1" ht="13.8">
      <c r="L623" s="23">
        <v>620</v>
      </c>
      <c r="M623" s="23">
        <f ca="1"/>
        <v>325778.89958180673</v>
      </c>
      <c r="N623" s="25">
        <f t="shared" si="27"/>
        <v>244354.99000000005</v>
      </c>
      <c r="O623" s="25">
        <f t="shared" ca="1" si="28"/>
        <v>0</v>
      </c>
      <c r="P623" s="25">
        <f t="shared" ca="1" si="29"/>
        <v>0</v>
      </c>
    </row>
    <row r="624" spans="12:16" s="23" customFormat="1" ht="13.8">
      <c r="L624" s="33">
        <v>621</v>
      </c>
      <c r="M624" s="23">
        <f ca="1"/>
        <v>63249.261106570506</v>
      </c>
      <c r="N624" s="25">
        <f t="shared" si="27"/>
        <v>244354.99000000005</v>
      </c>
      <c r="O624" s="25">
        <f t="shared" ca="1" si="28"/>
        <v>1</v>
      </c>
      <c r="P624" s="25">
        <f t="shared" ca="1" si="29"/>
        <v>0.74115829962559598</v>
      </c>
    </row>
    <row r="625" spans="12:16" s="23" customFormat="1" ht="13.8">
      <c r="L625" s="23">
        <v>622</v>
      </c>
      <c r="M625" s="23">
        <f ca="1"/>
        <v>203493.94944570313</v>
      </c>
      <c r="N625" s="25">
        <f t="shared" si="27"/>
        <v>244354.99000000005</v>
      </c>
      <c r="O625" s="25">
        <f t="shared" ca="1" si="28"/>
        <v>1</v>
      </c>
      <c r="P625" s="25">
        <f t="shared" ca="1" si="29"/>
        <v>0.16721999642527011</v>
      </c>
    </row>
    <row r="626" spans="12:16" s="23" customFormat="1" ht="13.8">
      <c r="L626" s="33">
        <v>623</v>
      </c>
      <c r="M626" s="23">
        <f ca="1"/>
        <v>-22489.921912172791</v>
      </c>
      <c r="N626" s="25">
        <f t="shared" si="27"/>
        <v>244354.99000000005</v>
      </c>
      <c r="O626" s="25">
        <f t="shared" ca="1" si="28"/>
        <v>1</v>
      </c>
      <c r="P626" s="25">
        <f t="shared" ca="1" si="29"/>
        <v>1.0920379072765112</v>
      </c>
    </row>
    <row r="627" spans="12:16" s="23" customFormat="1" ht="13.8">
      <c r="L627" s="23">
        <v>624</v>
      </c>
      <c r="M627" s="23">
        <f ca="1"/>
        <v>-2467.3012087088428</v>
      </c>
      <c r="N627" s="25">
        <f t="shared" si="27"/>
        <v>244354.99000000005</v>
      </c>
      <c r="O627" s="25">
        <f t="shared" ca="1" si="28"/>
        <v>1</v>
      </c>
      <c r="P627" s="25">
        <f t="shared" ca="1" si="29"/>
        <v>1.0100972000150634</v>
      </c>
    </row>
    <row r="628" spans="12:16" s="23" customFormat="1" ht="13.8">
      <c r="L628" s="33">
        <v>625</v>
      </c>
      <c r="M628" s="23">
        <f ca="1"/>
        <v>8384.5240321743186</v>
      </c>
      <c r="N628" s="25">
        <f t="shared" si="27"/>
        <v>244354.99000000005</v>
      </c>
      <c r="O628" s="25">
        <f t="shared" ca="1" si="28"/>
        <v>1</v>
      </c>
      <c r="P628" s="25">
        <f t="shared" ca="1" si="29"/>
        <v>0.96568711761452342</v>
      </c>
    </row>
    <row r="629" spans="12:16" s="23" customFormat="1" ht="13.8">
      <c r="L629" s="23">
        <v>626</v>
      </c>
      <c r="M629" s="23">
        <f ca="1"/>
        <v>124277.27217241451</v>
      </c>
      <c r="N629" s="25">
        <f t="shared" si="27"/>
        <v>244354.99000000005</v>
      </c>
      <c r="O629" s="25">
        <f t="shared" ca="1" si="28"/>
        <v>1</v>
      </c>
      <c r="P629" s="25">
        <f t="shared" ca="1" si="29"/>
        <v>0.49140685781610399</v>
      </c>
    </row>
    <row r="630" spans="12:16" s="23" customFormat="1" ht="13.8">
      <c r="L630" s="33">
        <v>627</v>
      </c>
      <c r="M630" s="23">
        <f ca="1"/>
        <v>172526.69386525912</v>
      </c>
      <c r="N630" s="25">
        <f t="shared" si="27"/>
        <v>244354.99000000005</v>
      </c>
      <c r="O630" s="25">
        <f t="shared" ca="1" si="28"/>
        <v>1</v>
      </c>
      <c r="P630" s="25">
        <f t="shared" ca="1" si="29"/>
        <v>0.2939506008645083</v>
      </c>
    </row>
    <row r="631" spans="12:16" s="23" customFormat="1" ht="13.8">
      <c r="L631" s="23">
        <v>628</v>
      </c>
      <c r="M631" s="23">
        <f ca="1"/>
        <v>46166.492933935791</v>
      </c>
      <c r="N631" s="25">
        <f t="shared" si="27"/>
        <v>244354.99000000005</v>
      </c>
      <c r="O631" s="25">
        <f t="shared" ca="1" si="28"/>
        <v>1</v>
      </c>
      <c r="P631" s="25">
        <f t="shared" ca="1" si="29"/>
        <v>0.811067934671865</v>
      </c>
    </row>
    <row r="632" spans="12:16" s="23" customFormat="1" ht="13.8">
      <c r="L632" s="33">
        <v>629</v>
      </c>
      <c r="M632" s="23">
        <f ca="1"/>
        <v>42519.303403815604</v>
      </c>
      <c r="N632" s="25">
        <f t="shared" si="27"/>
        <v>244354.99000000005</v>
      </c>
      <c r="O632" s="25">
        <f t="shared" ca="1" si="28"/>
        <v>1</v>
      </c>
      <c r="P632" s="25">
        <f t="shared" ca="1" si="29"/>
        <v>0.82599371756715267</v>
      </c>
    </row>
    <row r="633" spans="12:16" s="23" customFormat="1" ht="13.8">
      <c r="L633" s="23">
        <v>630</v>
      </c>
      <c r="M633" s="23">
        <f ca="1"/>
        <v>68605.630732819045</v>
      </c>
      <c r="N633" s="25">
        <f t="shared" si="27"/>
        <v>244354.99000000005</v>
      </c>
      <c r="O633" s="25">
        <f t="shared" ca="1" si="28"/>
        <v>1</v>
      </c>
      <c r="P633" s="25">
        <f t="shared" ca="1" si="29"/>
        <v>0.71923785664119644</v>
      </c>
    </row>
    <row r="634" spans="12:16" s="23" customFormat="1" ht="13.8">
      <c r="L634" s="33">
        <v>631</v>
      </c>
      <c r="M634" s="23">
        <f ca="1"/>
        <v>95121.301383935599</v>
      </c>
      <c r="N634" s="25">
        <f t="shared" si="27"/>
        <v>244354.99000000005</v>
      </c>
      <c r="O634" s="25">
        <f t="shared" ca="1" si="28"/>
        <v>1</v>
      </c>
      <c r="P634" s="25">
        <f t="shared" ca="1" si="29"/>
        <v>0.61072494822415702</v>
      </c>
    </row>
    <row r="635" spans="12:16" s="23" customFormat="1" ht="13.8">
      <c r="L635" s="23">
        <v>632</v>
      </c>
      <c r="M635" s="23">
        <f ca="1"/>
        <v>21682.15228484802</v>
      </c>
      <c r="N635" s="25">
        <f t="shared" si="27"/>
        <v>244354.99000000005</v>
      </c>
      <c r="O635" s="25">
        <f t="shared" ca="1" si="28"/>
        <v>1</v>
      </c>
      <c r="P635" s="25">
        <f t="shared" ca="1" si="29"/>
        <v>0.91126781456417971</v>
      </c>
    </row>
    <row r="636" spans="12:16" s="23" customFormat="1" ht="13.8">
      <c r="L636" s="33">
        <v>633</v>
      </c>
      <c r="M636" s="23">
        <f ca="1"/>
        <v>209950.97578616577</v>
      </c>
      <c r="N636" s="25">
        <f t="shared" si="27"/>
        <v>244354.99000000005</v>
      </c>
      <c r="O636" s="25">
        <f t="shared" ca="1" si="28"/>
        <v>1</v>
      </c>
      <c r="P636" s="25">
        <f t="shared" ca="1" si="29"/>
        <v>0.1407952185213581</v>
      </c>
    </row>
    <row r="637" spans="12:16" s="23" customFormat="1" ht="13.8">
      <c r="L637" s="23">
        <v>634</v>
      </c>
      <c r="M637" s="23">
        <f ca="1"/>
        <v>316066.30377264699</v>
      </c>
      <c r="N637" s="25">
        <f t="shared" si="27"/>
        <v>244354.99000000005</v>
      </c>
      <c r="O637" s="25">
        <f t="shared" ca="1" si="28"/>
        <v>0</v>
      </c>
      <c r="P637" s="25">
        <f t="shared" ca="1" si="29"/>
        <v>0</v>
      </c>
    </row>
    <row r="638" spans="12:16" s="23" customFormat="1" ht="13.8">
      <c r="L638" s="33">
        <v>635</v>
      </c>
      <c r="M638" s="23">
        <f ca="1"/>
        <v>100582.25375236265</v>
      </c>
      <c r="N638" s="25">
        <f t="shared" si="27"/>
        <v>244354.99000000005</v>
      </c>
      <c r="O638" s="25">
        <f t="shared" ca="1" si="28"/>
        <v>1</v>
      </c>
      <c r="P638" s="25">
        <f t="shared" ca="1" si="29"/>
        <v>0.58837651012421466</v>
      </c>
    </row>
    <row r="639" spans="12:16" s="23" customFormat="1" ht="13.8">
      <c r="L639" s="23">
        <v>636</v>
      </c>
      <c r="M639" s="23">
        <f ca="1"/>
        <v>41997.462638192119</v>
      </c>
      <c r="N639" s="25">
        <f t="shared" si="27"/>
        <v>244354.99000000005</v>
      </c>
      <c r="O639" s="25">
        <f t="shared" ca="1" si="28"/>
        <v>1</v>
      </c>
      <c r="P639" s="25">
        <f t="shared" ca="1" si="29"/>
        <v>0.82812930221645109</v>
      </c>
    </row>
    <row r="640" spans="12:16" s="23" customFormat="1" ht="13.8">
      <c r="L640" s="33">
        <v>637</v>
      </c>
      <c r="M640" s="23">
        <f ca="1"/>
        <v>307457.41896179336</v>
      </c>
      <c r="N640" s="25">
        <f t="shared" si="27"/>
        <v>244354.99000000005</v>
      </c>
      <c r="O640" s="25">
        <f t="shared" ca="1" si="28"/>
        <v>0</v>
      </c>
      <c r="P640" s="25">
        <f t="shared" ca="1" si="29"/>
        <v>0</v>
      </c>
    </row>
    <row r="641" spans="12:16" s="23" customFormat="1" ht="13.8">
      <c r="L641" s="23">
        <v>638</v>
      </c>
      <c r="M641" s="23">
        <f ca="1"/>
        <v>347402.59767037968</v>
      </c>
      <c r="N641" s="25">
        <f t="shared" si="27"/>
        <v>244354.99000000005</v>
      </c>
      <c r="O641" s="25">
        <f t="shared" ca="1" si="28"/>
        <v>0</v>
      </c>
      <c r="P641" s="25">
        <f t="shared" ca="1" si="29"/>
        <v>0</v>
      </c>
    </row>
    <row r="642" spans="12:16" s="23" customFormat="1" ht="13.8">
      <c r="L642" s="33">
        <v>639</v>
      </c>
      <c r="M642" s="23">
        <f ca="1"/>
        <v>71245.006472519526</v>
      </c>
      <c r="N642" s="25">
        <f t="shared" si="27"/>
        <v>244354.99000000005</v>
      </c>
      <c r="O642" s="25">
        <f t="shared" ca="1" si="28"/>
        <v>1</v>
      </c>
      <c r="P642" s="25">
        <f t="shared" ca="1" si="29"/>
        <v>0.70843645766137398</v>
      </c>
    </row>
    <row r="643" spans="12:16" s="23" customFormat="1" ht="13.8">
      <c r="L643" s="23">
        <v>640</v>
      </c>
      <c r="M643" s="23">
        <f ca="1"/>
        <v>49206.027393161552</v>
      </c>
      <c r="N643" s="25">
        <f t="shared" si="27"/>
        <v>244354.99000000005</v>
      </c>
      <c r="O643" s="25">
        <f t="shared" ca="1" si="28"/>
        <v>1</v>
      </c>
      <c r="P643" s="25">
        <f t="shared" ca="1" si="29"/>
        <v>0.79862892346433545</v>
      </c>
    </row>
    <row r="644" spans="12:16" s="23" customFormat="1" ht="13.8">
      <c r="L644" s="33">
        <v>641</v>
      </c>
      <c r="M644" s="23">
        <f ca="1"/>
        <v>96521.0982476973</v>
      </c>
      <c r="N644" s="25">
        <f t="shared" ref="N644:N707" si="30">($C$22+$E$22)*1.1</f>
        <v>244354.99000000005</v>
      </c>
      <c r="O644" s="25">
        <f t="shared" ca="1" si="28"/>
        <v>1</v>
      </c>
      <c r="P644" s="25">
        <f t="shared" ca="1" si="29"/>
        <v>0.60499641015026018</v>
      </c>
    </row>
    <row r="645" spans="12:16" s="23" customFormat="1" ht="13.8">
      <c r="L645" s="23">
        <v>642</v>
      </c>
      <c r="M645" s="23">
        <f ca="1"/>
        <v>75945.803412154652</v>
      </c>
      <c r="N645" s="25">
        <f t="shared" si="30"/>
        <v>244354.99000000005</v>
      </c>
      <c r="O645" s="25">
        <f t="shared" ref="O645:O708" ca="1" si="31">IF(M645&lt;N645,1,0)</f>
        <v>1</v>
      </c>
      <c r="P645" s="25">
        <f t="shared" ref="P645:P708" ca="1" si="32">MAX((N645-M645)/N645,0)</f>
        <v>0.68919888473669122</v>
      </c>
    </row>
    <row r="646" spans="12:16" s="23" customFormat="1" ht="13.8">
      <c r="L646" s="33">
        <v>643</v>
      </c>
      <c r="M646" s="23">
        <f ca="1"/>
        <v>55453.74581037998</v>
      </c>
      <c r="N646" s="25">
        <f t="shared" si="30"/>
        <v>244354.99000000005</v>
      </c>
      <c r="O646" s="25">
        <f t="shared" ca="1" si="31"/>
        <v>1</v>
      </c>
      <c r="P646" s="25">
        <f t="shared" ca="1" si="32"/>
        <v>0.77306071870936643</v>
      </c>
    </row>
    <row r="647" spans="12:16" s="23" customFormat="1" ht="13.8">
      <c r="L647" s="23">
        <v>644</v>
      </c>
      <c r="M647" s="23">
        <f ca="1"/>
        <v>233192.28103061716</v>
      </c>
      <c r="N647" s="25">
        <f t="shared" si="30"/>
        <v>244354.99000000005</v>
      </c>
      <c r="O647" s="25">
        <f t="shared" ca="1" si="31"/>
        <v>1</v>
      </c>
      <c r="P647" s="25">
        <f t="shared" ca="1" si="32"/>
        <v>4.5682345056194215E-2</v>
      </c>
    </row>
    <row r="648" spans="12:16" s="23" customFormat="1" ht="13.8">
      <c r="L648" s="33">
        <v>645</v>
      </c>
      <c r="M648" s="23">
        <f ca="1"/>
        <v>-62276.36454675634</v>
      </c>
      <c r="N648" s="25">
        <f t="shared" si="30"/>
        <v>244354.99000000005</v>
      </c>
      <c r="O648" s="25">
        <f t="shared" ca="1" si="31"/>
        <v>1</v>
      </c>
      <c r="P648" s="25">
        <f t="shared" ca="1" si="32"/>
        <v>1.2548602119676635</v>
      </c>
    </row>
    <row r="649" spans="12:16" s="23" customFormat="1" ht="13.8">
      <c r="L649" s="23">
        <v>646</v>
      </c>
      <c r="M649" s="23">
        <f ca="1"/>
        <v>254873.92070158571</v>
      </c>
      <c r="N649" s="25">
        <f t="shared" si="30"/>
        <v>244354.99000000005</v>
      </c>
      <c r="O649" s="25">
        <f t="shared" ca="1" si="31"/>
        <v>0</v>
      </c>
      <c r="P649" s="25">
        <f t="shared" ca="1" si="32"/>
        <v>0</v>
      </c>
    </row>
    <row r="650" spans="12:16" s="23" customFormat="1" ht="13.8">
      <c r="L650" s="33">
        <v>647</v>
      </c>
      <c r="M650" s="23">
        <f ca="1"/>
        <v>54945.565667652088</v>
      </c>
      <c r="N650" s="25">
        <f t="shared" si="30"/>
        <v>244354.99000000005</v>
      </c>
      <c r="O650" s="25">
        <f t="shared" ca="1" si="31"/>
        <v>1</v>
      </c>
      <c r="P650" s="25">
        <f t="shared" ca="1" si="32"/>
        <v>0.77514039853390315</v>
      </c>
    </row>
    <row r="651" spans="12:16" s="23" customFormat="1" ht="13.8">
      <c r="L651" s="23">
        <v>648</v>
      </c>
      <c r="M651" s="23">
        <f ca="1"/>
        <v>85506.386468978439</v>
      </c>
      <c r="N651" s="25">
        <f t="shared" si="30"/>
        <v>244354.99000000005</v>
      </c>
      <c r="O651" s="25">
        <f t="shared" ca="1" si="31"/>
        <v>1</v>
      </c>
      <c r="P651" s="25">
        <f t="shared" ca="1" si="32"/>
        <v>0.65007309051074258</v>
      </c>
    </row>
    <row r="652" spans="12:16" s="23" customFormat="1" ht="13.8">
      <c r="L652" s="33">
        <v>649</v>
      </c>
      <c r="M652" s="23">
        <f ca="1"/>
        <v>179399.59634132212</v>
      </c>
      <c r="N652" s="25">
        <f t="shared" si="30"/>
        <v>244354.99000000005</v>
      </c>
      <c r="O652" s="25">
        <f t="shared" ca="1" si="31"/>
        <v>1</v>
      </c>
      <c r="P652" s="25">
        <f t="shared" ca="1" si="32"/>
        <v>0.26582388867392442</v>
      </c>
    </row>
    <row r="653" spans="12:16" s="23" customFormat="1" ht="13.8">
      <c r="L653" s="23">
        <v>650</v>
      </c>
      <c r="M653" s="23">
        <f ca="1"/>
        <v>436465.07316856208</v>
      </c>
      <c r="N653" s="25">
        <f t="shared" si="30"/>
        <v>244354.99000000005</v>
      </c>
      <c r="O653" s="25">
        <f t="shared" ca="1" si="31"/>
        <v>0</v>
      </c>
      <c r="P653" s="25">
        <f t="shared" ca="1" si="32"/>
        <v>0</v>
      </c>
    </row>
    <row r="654" spans="12:16" s="23" customFormat="1" ht="13.8">
      <c r="L654" s="33">
        <v>651</v>
      </c>
      <c r="M654" s="23">
        <f ca="1"/>
        <v>82236.408822520578</v>
      </c>
      <c r="N654" s="25">
        <f t="shared" si="30"/>
        <v>244354.99000000005</v>
      </c>
      <c r="O654" s="25">
        <f t="shared" ca="1" si="31"/>
        <v>1</v>
      </c>
      <c r="P654" s="25">
        <f t="shared" ca="1" si="32"/>
        <v>0.66345516896331624</v>
      </c>
    </row>
    <row r="655" spans="12:16" s="23" customFormat="1" ht="13.8">
      <c r="L655" s="23">
        <v>652</v>
      </c>
      <c r="M655" s="23">
        <f ca="1"/>
        <v>19992.229426190206</v>
      </c>
      <c r="N655" s="25">
        <f t="shared" si="30"/>
        <v>244354.99000000005</v>
      </c>
      <c r="O655" s="25">
        <f t="shared" ca="1" si="31"/>
        <v>1</v>
      </c>
      <c r="P655" s="25">
        <f t="shared" ca="1" si="32"/>
        <v>0.91818366620550618</v>
      </c>
    </row>
    <row r="656" spans="12:16" s="23" customFormat="1" ht="13.8">
      <c r="L656" s="33">
        <v>653</v>
      </c>
      <c r="M656" s="23">
        <f ca="1"/>
        <v>53260.908407193107</v>
      </c>
      <c r="N656" s="25">
        <f t="shared" si="30"/>
        <v>244354.99000000005</v>
      </c>
      <c r="O656" s="25">
        <f t="shared" ca="1" si="31"/>
        <v>1</v>
      </c>
      <c r="P656" s="25">
        <f t="shared" ca="1" si="32"/>
        <v>0.78203470120584362</v>
      </c>
    </row>
    <row r="657" spans="12:16" s="23" customFormat="1" ht="13.8">
      <c r="L657" s="23">
        <v>654</v>
      </c>
      <c r="M657" s="23">
        <f ca="1"/>
        <v>82515.64626105284</v>
      </c>
      <c r="N657" s="25">
        <f t="shared" si="30"/>
        <v>244354.99000000005</v>
      </c>
      <c r="O657" s="25">
        <f t="shared" ca="1" si="31"/>
        <v>1</v>
      </c>
      <c r="P657" s="25">
        <f t="shared" ca="1" si="32"/>
        <v>0.66231241579698119</v>
      </c>
    </row>
    <row r="658" spans="12:16" s="23" customFormat="1" ht="13.8">
      <c r="L658" s="33">
        <v>655</v>
      </c>
      <c r="M658" s="23">
        <f ca="1"/>
        <v>87865.758730470567</v>
      </c>
      <c r="N658" s="25">
        <f t="shared" si="30"/>
        <v>244354.99000000005</v>
      </c>
      <c r="O658" s="25">
        <f t="shared" ca="1" si="31"/>
        <v>1</v>
      </c>
      <c r="P658" s="25">
        <f t="shared" ca="1" si="32"/>
        <v>0.6404175796431637</v>
      </c>
    </row>
    <row r="659" spans="12:16" s="23" customFormat="1" ht="13.8">
      <c r="L659" s="23">
        <v>656</v>
      </c>
      <c r="M659" s="23">
        <f ca="1"/>
        <v>-622.8879775030307</v>
      </c>
      <c r="N659" s="25">
        <f t="shared" si="30"/>
        <v>244354.99000000005</v>
      </c>
      <c r="O659" s="25">
        <f t="shared" ca="1" si="31"/>
        <v>1</v>
      </c>
      <c r="P659" s="25">
        <f t="shared" ca="1" si="32"/>
        <v>1.0025491109369324</v>
      </c>
    </row>
    <row r="660" spans="12:16" s="23" customFormat="1" ht="13.8">
      <c r="L660" s="33">
        <v>657</v>
      </c>
      <c r="M660" s="23">
        <f ca="1"/>
        <v>203783.49176512135</v>
      </c>
      <c r="N660" s="25">
        <f t="shared" si="30"/>
        <v>244354.99000000005</v>
      </c>
      <c r="O660" s="25">
        <f t="shared" ca="1" si="31"/>
        <v>1</v>
      </c>
      <c r="P660" s="25">
        <f t="shared" ca="1" si="32"/>
        <v>0.16603507149528107</v>
      </c>
    </row>
    <row r="661" spans="12:16" s="23" customFormat="1" ht="13.8">
      <c r="L661" s="23">
        <v>658</v>
      </c>
      <c r="M661" s="23">
        <f ca="1"/>
        <v>156017.2839709041</v>
      </c>
      <c r="N661" s="25">
        <f t="shared" si="30"/>
        <v>244354.99000000005</v>
      </c>
      <c r="O661" s="25">
        <f t="shared" ca="1" si="31"/>
        <v>1</v>
      </c>
      <c r="P661" s="25">
        <f t="shared" ca="1" si="32"/>
        <v>0.36151382064714915</v>
      </c>
    </row>
    <row r="662" spans="12:16" s="23" customFormat="1" ht="13.8">
      <c r="L662" s="33">
        <v>659</v>
      </c>
      <c r="M662" s="23">
        <f ca="1"/>
        <v>34353.435600886754</v>
      </c>
      <c r="N662" s="25">
        <f t="shared" si="30"/>
        <v>244354.99000000005</v>
      </c>
      <c r="O662" s="25">
        <f t="shared" ca="1" si="31"/>
        <v>1</v>
      </c>
      <c r="P662" s="25">
        <f t="shared" ca="1" si="32"/>
        <v>0.8594117697335063</v>
      </c>
    </row>
    <row r="663" spans="12:16" s="23" customFormat="1" ht="13.8">
      <c r="L663" s="23">
        <v>660</v>
      </c>
      <c r="M663" s="23">
        <f ca="1"/>
        <v>30551.150999996364</v>
      </c>
      <c r="N663" s="25">
        <f t="shared" si="30"/>
        <v>244354.99000000005</v>
      </c>
      <c r="O663" s="25">
        <f t="shared" ca="1" si="31"/>
        <v>1</v>
      </c>
      <c r="P663" s="25">
        <f t="shared" ca="1" si="32"/>
        <v>0.8749722647366589</v>
      </c>
    </row>
    <row r="664" spans="12:16" s="23" customFormat="1" ht="13.8">
      <c r="L664" s="33">
        <v>661</v>
      </c>
      <c r="M664" s="23">
        <f ca="1"/>
        <v>-87213.647147767086</v>
      </c>
      <c r="N664" s="25">
        <f t="shared" si="30"/>
        <v>244354.99000000005</v>
      </c>
      <c r="O664" s="25">
        <f t="shared" ca="1" si="31"/>
        <v>1</v>
      </c>
      <c r="P664" s="25">
        <f t="shared" ca="1" si="32"/>
        <v>1.3569137145419745</v>
      </c>
    </row>
    <row r="665" spans="12:16" s="23" customFormat="1" ht="13.8">
      <c r="L665" s="23">
        <v>662</v>
      </c>
      <c r="M665" s="23">
        <f ca="1"/>
        <v>178207.66236445832</v>
      </c>
      <c r="N665" s="25">
        <f t="shared" si="30"/>
        <v>244354.99000000005</v>
      </c>
      <c r="O665" s="25">
        <f t="shared" ca="1" si="31"/>
        <v>1</v>
      </c>
      <c r="P665" s="25">
        <f t="shared" ca="1" si="32"/>
        <v>0.27070176727531414</v>
      </c>
    </row>
    <row r="666" spans="12:16" s="23" customFormat="1" ht="13.8">
      <c r="L666" s="33">
        <v>663</v>
      </c>
      <c r="M666" s="23">
        <f ca="1"/>
        <v>64646.139357870277</v>
      </c>
      <c r="N666" s="25">
        <f t="shared" si="30"/>
        <v>244354.99000000005</v>
      </c>
      <c r="O666" s="25">
        <f t="shared" ca="1" si="31"/>
        <v>1</v>
      </c>
      <c r="P666" s="25">
        <f t="shared" ca="1" si="32"/>
        <v>0.73544170570091383</v>
      </c>
    </row>
    <row r="667" spans="12:16" s="23" customFormat="1" ht="13.8">
      <c r="L667" s="23">
        <v>664</v>
      </c>
      <c r="M667" s="23">
        <f ca="1"/>
        <v>138334.01672096882</v>
      </c>
      <c r="N667" s="25">
        <f t="shared" si="30"/>
        <v>244354.99000000005</v>
      </c>
      <c r="O667" s="25">
        <f t="shared" ca="1" si="31"/>
        <v>1</v>
      </c>
      <c r="P667" s="25">
        <f t="shared" ca="1" si="32"/>
        <v>0.43388094214499651</v>
      </c>
    </row>
    <row r="668" spans="12:16" s="23" customFormat="1" ht="13.8">
      <c r="L668" s="33">
        <v>665</v>
      </c>
      <c r="M668" s="23">
        <f ca="1"/>
        <v>170287.19961444981</v>
      </c>
      <c r="N668" s="25">
        <f t="shared" si="30"/>
        <v>244354.99000000005</v>
      </c>
      <c r="O668" s="25">
        <f t="shared" ca="1" si="31"/>
        <v>1</v>
      </c>
      <c r="P668" s="25">
        <f t="shared" ca="1" si="32"/>
        <v>0.30311552215712978</v>
      </c>
    </row>
    <row r="669" spans="12:16" s="23" customFormat="1" ht="13.8">
      <c r="L669" s="23">
        <v>666</v>
      </c>
      <c r="M669" s="23">
        <f ca="1"/>
        <v>271130.34134678572</v>
      </c>
      <c r="N669" s="25">
        <f t="shared" si="30"/>
        <v>244354.99000000005</v>
      </c>
      <c r="O669" s="25">
        <f t="shared" ca="1" si="31"/>
        <v>0</v>
      </c>
      <c r="P669" s="25">
        <f t="shared" ca="1" si="32"/>
        <v>0</v>
      </c>
    </row>
    <row r="670" spans="12:16" s="23" customFormat="1" ht="13.8">
      <c r="L670" s="33">
        <v>667</v>
      </c>
      <c r="M670" s="23">
        <f ca="1"/>
        <v>155302.54618825871</v>
      </c>
      <c r="N670" s="25">
        <f t="shared" si="30"/>
        <v>244354.99000000005</v>
      </c>
      <c r="O670" s="25">
        <f t="shared" ca="1" si="31"/>
        <v>1</v>
      </c>
      <c r="P670" s="25">
        <f t="shared" ca="1" si="32"/>
        <v>0.36443881834269609</v>
      </c>
    </row>
    <row r="671" spans="12:16" s="23" customFormat="1" ht="13.8">
      <c r="L671" s="23">
        <v>668</v>
      </c>
      <c r="M671" s="23">
        <f ca="1"/>
        <v>164127.06757180023</v>
      </c>
      <c r="N671" s="25">
        <f t="shared" si="30"/>
        <v>244354.99000000005</v>
      </c>
      <c r="O671" s="25">
        <f t="shared" ca="1" si="31"/>
        <v>1</v>
      </c>
      <c r="P671" s="25">
        <f t="shared" ca="1" si="32"/>
        <v>0.32832528784535892</v>
      </c>
    </row>
    <row r="672" spans="12:16" s="23" customFormat="1" ht="13.8">
      <c r="L672" s="33">
        <v>669</v>
      </c>
      <c r="M672" s="23">
        <f ca="1"/>
        <v>12410.150887376665</v>
      </c>
      <c r="N672" s="25">
        <f t="shared" si="30"/>
        <v>244354.99000000005</v>
      </c>
      <c r="O672" s="25">
        <f t="shared" ca="1" si="31"/>
        <v>1</v>
      </c>
      <c r="P672" s="25">
        <f t="shared" ca="1" si="32"/>
        <v>0.94921261527183609</v>
      </c>
    </row>
    <row r="673" spans="12:16" s="23" customFormat="1" ht="13.8">
      <c r="L673" s="23">
        <v>670</v>
      </c>
      <c r="M673" s="23">
        <f ca="1"/>
        <v>163394.57848819683</v>
      </c>
      <c r="N673" s="25">
        <f t="shared" si="30"/>
        <v>244354.99000000005</v>
      </c>
      <c r="O673" s="25">
        <f t="shared" ca="1" si="31"/>
        <v>1</v>
      </c>
      <c r="P673" s="25">
        <f t="shared" ca="1" si="32"/>
        <v>0.33132293108400696</v>
      </c>
    </row>
    <row r="674" spans="12:16" s="23" customFormat="1" ht="13.8">
      <c r="L674" s="33">
        <v>671</v>
      </c>
      <c r="M674" s="23">
        <f ca="1"/>
        <v>190779.40595797985</v>
      </c>
      <c r="N674" s="25">
        <f t="shared" si="30"/>
        <v>244354.99000000005</v>
      </c>
      <c r="O674" s="25">
        <f t="shared" ca="1" si="31"/>
        <v>1</v>
      </c>
      <c r="P674" s="25">
        <f t="shared" ca="1" si="32"/>
        <v>0.21925307947269745</v>
      </c>
    </row>
    <row r="675" spans="12:16" s="23" customFormat="1" ht="13.8">
      <c r="L675" s="23">
        <v>672</v>
      </c>
      <c r="M675" s="23">
        <f ca="1"/>
        <v>108671.55090468697</v>
      </c>
      <c r="N675" s="25">
        <f t="shared" si="30"/>
        <v>244354.99000000005</v>
      </c>
      <c r="O675" s="25">
        <f t="shared" ca="1" si="31"/>
        <v>1</v>
      </c>
      <c r="P675" s="25">
        <f t="shared" ca="1" si="32"/>
        <v>0.5552718162019652</v>
      </c>
    </row>
    <row r="676" spans="12:16" s="23" customFormat="1" ht="13.8">
      <c r="L676" s="33">
        <v>673</v>
      </c>
      <c r="M676" s="23">
        <f ca="1"/>
        <v>23097.804975767867</v>
      </c>
      <c r="N676" s="25">
        <f t="shared" si="30"/>
        <v>244354.99000000005</v>
      </c>
      <c r="O676" s="25">
        <f t="shared" ca="1" si="31"/>
        <v>1</v>
      </c>
      <c r="P676" s="25">
        <f t="shared" ca="1" si="32"/>
        <v>0.90547438799687352</v>
      </c>
    </row>
    <row r="677" spans="12:16" s="23" customFormat="1" ht="13.8">
      <c r="L677" s="23">
        <v>674</v>
      </c>
      <c r="M677" s="23">
        <f ca="1"/>
        <v>102013.89660961441</v>
      </c>
      <c r="N677" s="25">
        <f t="shared" si="30"/>
        <v>244354.99000000005</v>
      </c>
      <c r="O677" s="25">
        <f t="shared" ca="1" si="31"/>
        <v>1</v>
      </c>
      <c r="P677" s="25">
        <f t="shared" ca="1" si="32"/>
        <v>0.58251764529296324</v>
      </c>
    </row>
    <row r="678" spans="12:16" s="23" customFormat="1" ht="13.8">
      <c r="L678" s="33">
        <v>675</v>
      </c>
      <c r="M678" s="23">
        <f ca="1"/>
        <v>206914.96028994888</v>
      </c>
      <c r="N678" s="25">
        <f t="shared" si="30"/>
        <v>244354.99000000005</v>
      </c>
      <c r="O678" s="25">
        <f t="shared" ca="1" si="31"/>
        <v>1</v>
      </c>
      <c r="P678" s="25">
        <f t="shared" ca="1" si="32"/>
        <v>0.1532198287010679</v>
      </c>
    </row>
    <row r="679" spans="12:16" s="23" customFormat="1" ht="13.8">
      <c r="L679" s="23">
        <v>676</v>
      </c>
      <c r="M679" s="23">
        <f ca="1"/>
        <v>195276.04525947908</v>
      </c>
      <c r="N679" s="25">
        <f t="shared" si="30"/>
        <v>244354.99000000005</v>
      </c>
      <c r="O679" s="25">
        <f t="shared" ca="1" si="31"/>
        <v>1</v>
      </c>
      <c r="P679" s="25">
        <f t="shared" ca="1" si="32"/>
        <v>0.2008510026356366</v>
      </c>
    </row>
    <row r="680" spans="12:16" s="23" customFormat="1" ht="13.8">
      <c r="L680" s="33">
        <v>677</v>
      </c>
      <c r="M680" s="23">
        <f ca="1"/>
        <v>219402.56218472769</v>
      </c>
      <c r="N680" s="25">
        <f t="shared" si="30"/>
        <v>244354.99000000005</v>
      </c>
      <c r="O680" s="25">
        <f t="shared" ca="1" si="31"/>
        <v>1</v>
      </c>
      <c r="P680" s="25">
        <f t="shared" ca="1" si="32"/>
        <v>0.10211548295073634</v>
      </c>
    </row>
    <row r="681" spans="12:16" s="23" customFormat="1" ht="13.8">
      <c r="L681" s="23">
        <v>678</v>
      </c>
      <c r="M681" s="23">
        <f ca="1"/>
        <v>22033.622197014851</v>
      </c>
      <c r="N681" s="25">
        <f t="shared" si="30"/>
        <v>244354.99000000005</v>
      </c>
      <c r="O681" s="25">
        <f t="shared" ca="1" si="31"/>
        <v>1</v>
      </c>
      <c r="P681" s="25">
        <f t="shared" ca="1" si="32"/>
        <v>0.90982945673826898</v>
      </c>
    </row>
    <row r="682" spans="12:16" s="23" customFormat="1" ht="13.8">
      <c r="L682" s="33">
        <v>679</v>
      </c>
      <c r="M682" s="23">
        <f ca="1"/>
        <v>215718.68691855203</v>
      </c>
      <c r="N682" s="25">
        <f t="shared" si="30"/>
        <v>244354.99000000005</v>
      </c>
      <c r="O682" s="25">
        <f t="shared" ca="1" si="31"/>
        <v>1</v>
      </c>
      <c r="P682" s="25">
        <f t="shared" ca="1" si="32"/>
        <v>0.11719139879831392</v>
      </c>
    </row>
    <row r="683" spans="12:16" s="23" customFormat="1" ht="13.8">
      <c r="L683" s="23">
        <v>680</v>
      </c>
      <c r="M683" s="23">
        <f ca="1"/>
        <v>38387.866182969345</v>
      </c>
      <c r="N683" s="25">
        <f t="shared" si="30"/>
        <v>244354.99000000005</v>
      </c>
      <c r="O683" s="25">
        <f t="shared" ca="1" si="31"/>
        <v>1</v>
      </c>
      <c r="P683" s="25">
        <f t="shared" ca="1" si="32"/>
        <v>0.84290123895988633</v>
      </c>
    </row>
    <row r="684" spans="12:16" s="23" customFormat="1" ht="13.8">
      <c r="L684" s="33">
        <v>681</v>
      </c>
      <c r="M684" s="23">
        <f ca="1"/>
        <v>151455.08847686203</v>
      </c>
      <c r="N684" s="25">
        <f t="shared" si="30"/>
        <v>244354.99000000005</v>
      </c>
      <c r="O684" s="25">
        <f t="shared" ca="1" si="31"/>
        <v>1</v>
      </c>
      <c r="P684" s="25">
        <f t="shared" ca="1" si="32"/>
        <v>0.38018418008626709</v>
      </c>
    </row>
    <row r="685" spans="12:16" s="23" customFormat="1" ht="13.8">
      <c r="L685" s="23">
        <v>682</v>
      </c>
      <c r="M685" s="23">
        <f ca="1"/>
        <v>62818.033205338979</v>
      </c>
      <c r="N685" s="25">
        <f t="shared" si="30"/>
        <v>244354.99000000005</v>
      </c>
      <c r="O685" s="25">
        <f t="shared" ca="1" si="31"/>
        <v>1</v>
      </c>
      <c r="P685" s="25">
        <f t="shared" ca="1" si="32"/>
        <v>0.74292305958090332</v>
      </c>
    </row>
    <row r="686" spans="12:16" s="23" customFormat="1" ht="13.8">
      <c r="L686" s="33">
        <v>683</v>
      </c>
      <c r="M686" s="23">
        <f ca="1"/>
        <v>81112.899111798994</v>
      </c>
      <c r="N686" s="25">
        <f t="shared" si="30"/>
        <v>244354.99000000005</v>
      </c>
      <c r="O686" s="25">
        <f t="shared" ca="1" si="31"/>
        <v>1</v>
      </c>
      <c r="P686" s="25">
        <f t="shared" ca="1" si="32"/>
        <v>0.66805302763901409</v>
      </c>
    </row>
    <row r="687" spans="12:16" s="23" customFormat="1" ht="13.8">
      <c r="L687" s="23">
        <v>684</v>
      </c>
      <c r="M687" s="23">
        <f ca="1"/>
        <v>264880.30920860817</v>
      </c>
      <c r="N687" s="25">
        <f t="shared" si="30"/>
        <v>244354.99000000005</v>
      </c>
      <c r="O687" s="25">
        <f t="shared" ca="1" si="31"/>
        <v>0</v>
      </c>
      <c r="P687" s="25">
        <f t="shared" ca="1" si="32"/>
        <v>0</v>
      </c>
    </row>
    <row r="688" spans="12:16" s="23" customFormat="1" ht="13.8">
      <c r="L688" s="33">
        <v>685</v>
      </c>
      <c r="M688" s="23">
        <f ca="1"/>
        <v>40371.126907386977</v>
      </c>
      <c r="N688" s="25">
        <f t="shared" si="30"/>
        <v>244354.99000000005</v>
      </c>
      <c r="O688" s="25">
        <f t="shared" ca="1" si="31"/>
        <v>1</v>
      </c>
      <c r="P688" s="25">
        <f t="shared" ca="1" si="32"/>
        <v>0.8347849294692653</v>
      </c>
    </row>
    <row r="689" spans="12:16" s="23" customFormat="1" ht="13.8">
      <c r="L689" s="23">
        <v>686</v>
      </c>
      <c r="M689" s="23">
        <f ca="1"/>
        <v>403490.41407401435</v>
      </c>
      <c r="N689" s="25">
        <f t="shared" si="30"/>
        <v>244354.99000000005</v>
      </c>
      <c r="O689" s="25">
        <f t="shared" ca="1" si="31"/>
        <v>0</v>
      </c>
      <c r="P689" s="25">
        <f t="shared" ca="1" si="32"/>
        <v>0</v>
      </c>
    </row>
    <row r="690" spans="12:16" s="23" customFormat="1" ht="13.8">
      <c r="L690" s="33">
        <v>687</v>
      </c>
      <c r="M690" s="23">
        <f ca="1"/>
        <v>52764.325684993433</v>
      </c>
      <c r="N690" s="25">
        <f t="shared" si="30"/>
        <v>244354.99000000005</v>
      </c>
      <c r="O690" s="25">
        <f t="shared" ca="1" si="31"/>
        <v>1</v>
      </c>
      <c r="P690" s="25">
        <f t="shared" ca="1" si="32"/>
        <v>0.78406691966882514</v>
      </c>
    </row>
    <row r="691" spans="12:16" s="23" customFormat="1" ht="13.8">
      <c r="L691" s="23">
        <v>688</v>
      </c>
      <c r="M691" s="23">
        <f ca="1"/>
        <v>87952.777782502992</v>
      </c>
      <c r="N691" s="25">
        <f t="shared" si="30"/>
        <v>244354.99000000005</v>
      </c>
      <c r="O691" s="25">
        <f t="shared" ca="1" si="31"/>
        <v>1</v>
      </c>
      <c r="P691" s="25">
        <f t="shared" ca="1" si="32"/>
        <v>0.64006146229097682</v>
      </c>
    </row>
    <row r="692" spans="12:16" s="23" customFormat="1" ht="13.8">
      <c r="L692" s="33">
        <v>689</v>
      </c>
      <c r="M692" s="23">
        <f ca="1"/>
        <v>106879.33838052118</v>
      </c>
      <c r="N692" s="25">
        <f t="shared" si="30"/>
        <v>244354.99000000005</v>
      </c>
      <c r="O692" s="25">
        <f t="shared" ca="1" si="31"/>
        <v>1</v>
      </c>
      <c r="P692" s="25">
        <f t="shared" ca="1" si="32"/>
        <v>0.56260627875648805</v>
      </c>
    </row>
    <row r="693" spans="12:16" s="23" customFormat="1" ht="13.8">
      <c r="L693" s="23">
        <v>690</v>
      </c>
      <c r="M693" s="23">
        <f ca="1"/>
        <v>54558.030873289914</v>
      </c>
      <c r="N693" s="25">
        <f t="shared" si="30"/>
        <v>244354.99000000005</v>
      </c>
      <c r="O693" s="25">
        <f t="shared" ca="1" si="31"/>
        <v>1</v>
      </c>
      <c r="P693" s="25">
        <f t="shared" ca="1" si="32"/>
        <v>0.77672634852560241</v>
      </c>
    </row>
    <row r="694" spans="12:16" s="23" customFormat="1" ht="13.8">
      <c r="L694" s="33">
        <v>691</v>
      </c>
      <c r="M694" s="23">
        <f ca="1"/>
        <v>12883.649149659934</v>
      </c>
      <c r="N694" s="25">
        <f t="shared" si="30"/>
        <v>244354.99000000005</v>
      </c>
      <c r="O694" s="25">
        <f t="shared" ca="1" si="31"/>
        <v>1</v>
      </c>
      <c r="P694" s="25">
        <f t="shared" ca="1" si="32"/>
        <v>0.94727486780744719</v>
      </c>
    </row>
    <row r="695" spans="12:16" s="23" customFormat="1" ht="13.8">
      <c r="L695" s="23">
        <v>692</v>
      </c>
      <c r="M695" s="23">
        <f ca="1"/>
        <v>157781.46237844866</v>
      </c>
      <c r="N695" s="25">
        <f t="shared" si="30"/>
        <v>244354.99000000005</v>
      </c>
      <c r="O695" s="25">
        <f t="shared" ca="1" si="31"/>
        <v>1</v>
      </c>
      <c r="P695" s="25">
        <f t="shared" ca="1" si="32"/>
        <v>0.35429408509951593</v>
      </c>
    </row>
    <row r="696" spans="12:16" s="23" customFormat="1" ht="13.8">
      <c r="L696" s="33">
        <v>693</v>
      </c>
      <c r="M696" s="23">
        <f ca="1"/>
        <v>85280.821667455093</v>
      </c>
      <c r="N696" s="25">
        <f t="shared" si="30"/>
        <v>244354.99000000005</v>
      </c>
      <c r="O696" s="25">
        <f t="shared" ca="1" si="31"/>
        <v>1</v>
      </c>
      <c r="P696" s="25">
        <f t="shared" ca="1" si="32"/>
        <v>0.65099619341739223</v>
      </c>
    </row>
    <row r="697" spans="12:16" s="23" customFormat="1" ht="13.8">
      <c r="L697" s="23">
        <v>694</v>
      </c>
      <c r="M697" s="23">
        <f ca="1"/>
        <v>146372.93095941888</v>
      </c>
      <c r="N697" s="25">
        <f t="shared" si="30"/>
        <v>244354.99000000005</v>
      </c>
      <c r="O697" s="25">
        <f t="shared" ca="1" si="31"/>
        <v>1</v>
      </c>
      <c r="P697" s="25">
        <f t="shared" ca="1" si="32"/>
        <v>0.40098243559741159</v>
      </c>
    </row>
    <row r="698" spans="12:16" s="23" customFormat="1" ht="13.8">
      <c r="L698" s="33">
        <v>695</v>
      </c>
      <c r="M698" s="23">
        <f ca="1"/>
        <v>160911.18243031236</v>
      </c>
      <c r="N698" s="25">
        <f t="shared" si="30"/>
        <v>244354.99000000005</v>
      </c>
      <c r="O698" s="25">
        <f t="shared" ca="1" si="31"/>
        <v>1</v>
      </c>
      <c r="P698" s="25">
        <f t="shared" ca="1" si="32"/>
        <v>0.34148599776778726</v>
      </c>
    </row>
    <row r="699" spans="12:16" s="23" customFormat="1" ht="13.8">
      <c r="L699" s="23">
        <v>696</v>
      </c>
      <c r="M699" s="23">
        <f ca="1"/>
        <v>170917.34265593629</v>
      </c>
      <c r="N699" s="25">
        <f t="shared" si="30"/>
        <v>244354.99000000005</v>
      </c>
      <c r="O699" s="25">
        <f t="shared" ca="1" si="31"/>
        <v>1</v>
      </c>
      <c r="P699" s="25">
        <f t="shared" ca="1" si="32"/>
        <v>0.30053672054769065</v>
      </c>
    </row>
    <row r="700" spans="12:16" s="23" customFormat="1" ht="13.8">
      <c r="L700" s="33">
        <v>697</v>
      </c>
      <c r="M700" s="23">
        <f ca="1"/>
        <v>94008.997382690432</v>
      </c>
      <c r="N700" s="25">
        <f t="shared" si="30"/>
        <v>244354.99000000005</v>
      </c>
      <c r="O700" s="25">
        <f t="shared" ca="1" si="31"/>
        <v>1</v>
      </c>
      <c r="P700" s="25">
        <f t="shared" ca="1" si="32"/>
        <v>0.61527694857923543</v>
      </c>
    </row>
    <row r="701" spans="12:16" s="23" customFormat="1" ht="13.8">
      <c r="L701" s="23">
        <v>698</v>
      </c>
      <c r="M701" s="23">
        <f ca="1"/>
        <v>178231.4062921039</v>
      </c>
      <c r="N701" s="25">
        <f t="shared" si="30"/>
        <v>244354.99000000005</v>
      </c>
      <c r="O701" s="25">
        <f t="shared" ca="1" si="31"/>
        <v>1</v>
      </c>
      <c r="P701" s="25">
        <f t="shared" ca="1" si="32"/>
        <v>0.27060459746656346</v>
      </c>
    </row>
    <row r="702" spans="12:16" s="23" customFormat="1" ht="13.8">
      <c r="L702" s="33">
        <v>699</v>
      </c>
      <c r="M702" s="23">
        <f ca="1"/>
        <v>149870.40699744626</v>
      </c>
      <c r="N702" s="25">
        <f t="shared" si="30"/>
        <v>244354.99000000005</v>
      </c>
      <c r="O702" s="25">
        <f t="shared" ca="1" si="31"/>
        <v>1</v>
      </c>
      <c r="P702" s="25">
        <f t="shared" ca="1" si="32"/>
        <v>0.38666934120131441</v>
      </c>
    </row>
    <row r="703" spans="12:16" s="23" customFormat="1" ht="13.8">
      <c r="L703" s="23">
        <v>700</v>
      </c>
      <c r="M703" s="23">
        <f ca="1"/>
        <v>43063.062994882057</v>
      </c>
      <c r="N703" s="25">
        <f t="shared" si="30"/>
        <v>244354.99000000005</v>
      </c>
      <c r="O703" s="25">
        <f t="shared" ca="1" si="31"/>
        <v>1</v>
      </c>
      <c r="P703" s="25">
        <f t="shared" ca="1" si="32"/>
        <v>0.82376843216959861</v>
      </c>
    </row>
    <row r="704" spans="12:16" s="23" customFormat="1" ht="13.8">
      <c r="L704" s="33">
        <v>701</v>
      </c>
      <c r="M704" s="23">
        <f ca="1"/>
        <v>-38455.030767033451</v>
      </c>
      <c r="N704" s="25">
        <f t="shared" si="30"/>
        <v>244354.99000000005</v>
      </c>
      <c r="O704" s="25">
        <f t="shared" ca="1" si="31"/>
        <v>1</v>
      </c>
      <c r="P704" s="25">
        <f t="shared" ca="1" si="32"/>
        <v>1.1573736258344201</v>
      </c>
    </row>
    <row r="705" spans="12:16" s="23" customFormat="1" ht="13.8">
      <c r="L705" s="23">
        <v>702</v>
      </c>
      <c r="M705" s="23">
        <f ca="1"/>
        <v>311241.11504494323</v>
      </c>
      <c r="N705" s="25">
        <f t="shared" si="30"/>
        <v>244354.99000000005</v>
      </c>
      <c r="O705" s="25">
        <f t="shared" ca="1" si="31"/>
        <v>0</v>
      </c>
      <c r="P705" s="25">
        <f t="shared" ca="1" si="32"/>
        <v>0</v>
      </c>
    </row>
    <row r="706" spans="12:16" s="23" customFormat="1" ht="13.8">
      <c r="L706" s="33">
        <v>703</v>
      </c>
      <c r="M706" s="23">
        <f ca="1"/>
        <v>180390.43710300213</v>
      </c>
      <c r="N706" s="25">
        <f t="shared" si="30"/>
        <v>244354.99000000005</v>
      </c>
      <c r="O706" s="25">
        <f t="shared" ca="1" si="31"/>
        <v>1</v>
      </c>
      <c r="P706" s="25">
        <f t="shared" ca="1" si="32"/>
        <v>0.2617689652951139</v>
      </c>
    </row>
    <row r="707" spans="12:16" s="23" customFormat="1" ht="13.8">
      <c r="L707" s="23">
        <v>704</v>
      </c>
      <c r="M707" s="23">
        <f ca="1"/>
        <v>272155.3384678553</v>
      </c>
      <c r="N707" s="25">
        <f t="shared" si="30"/>
        <v>244354.99000000005</v>
      </c>
      <c r="O707" s="25">
        <f t="shared" ca="1" si="31"/>
        <v>0</v>
      </c>
      <c r="P707" s="25">
        <f t="shared" ca="1" si="32"/>
        <v>0</v>
      </c>
    </row>
    <row r="708" spans="12:16" s="23" customFormat="1" ht="13.8">
      <c r="L708" s="33">
        <v>705</v>
      </c>
      <c r="M708" s="23">
        <f ca="1"/>
        <v>22538.042482057368</v>
      </c>
      <c r="N708" s="25">
        <f t="shared" ref="N708:N771" si="33">($C$22+$E$22)*1.1</f>
        <v>244354.99000000005</v>
      </c>
      <c r="O708" s="25">
        <f t="shared" ca="1" si="31"/>
        <v>1</v>
      </c>
      <c r="P708" s="25">
        <f t="shared" ca="1" si="32"/>
        <v>0.90776516378054184</v>
      </c>
    </row>
    <row r="709" spans="12:16" s="23" customFormat="1" ht="13.8">
      <c r="L709" s="23">
        <v>706</v>
      </c>
      <c r="M709" s="23">
        <f ca="1"/>
        <v>168015.49419195633</v>
      </c>
      <c r="N709" s="25">
        <f t="shared" si="33"/>
        <v>244354.99000000005</v>
      </c>
      <c r="O709" s="25">
        <f t="shared" ref="O709:O772" ca="1" si="34">IF(M709&lt;N709,1,0)</f>
        <v>1</v>
      </c>
      <c r="P709" s="25">
        <f t="shared" ref="P709:P772" ca="1" si="35">MAX((N709-M709)/N709,0)</f>
        <v>0.31241226466479649</v>
      </c>
    </row>
    <row r="710" spans="12:16" s="23" customFormat="1" ht="13.8">
      <c r="L710" s="33">
        <v>707</v>
      </c>
      <c r="M710" s="23">
        <f ca="1"/>
        <v>106555.35712417189</v>
      </c>
      <c r="N710" s="25">
        <f t="shared" si="33"/>
        <v>244354.99000000005</v>
      </c>
      <c r="O710" s="25">
        <f t="shared" ca="1" si="34"/>
        <v>1</v>
      </c>
      <c r="P710" s="25">
        <f t="shared" ca="1" si="35"/>
        <v>0.5639321418229607</v>
      </c>
    </row>
    <row r="711" spans="12:16" s="23" customFormat="1" ht="13.8">
      <c r="L711" s="23">
        <v>708</v>
      </c>
      <c r="M711" s="23">
        <f ca="1"/>
        <v>181112.06012915072</v>
      </c>
      <c r="N711" s="25">
        <f t="shared" si="33"/>
        <v>244354.99000000005</v>
      </c>
      <c r="O711" s="25">
        <f t="shared" ca="1" si="34"/>
        <v>1</v>
      </c>
      <c r="P711" s="25">
        <f t="shared" ca="1" si="35"/>
        <v>0.25881579038287417</v>
      </c>
    </row>
    <row r="712" spans="12:16" s="23" customFormat="1" ht="13.8">
      <c r="L712" s="33">
        <v>709</v>
      </c>
      <c r="M712" s="23">
        <f ca="1"/>
        <v>156306.99328804505</v>
      </c>
      <c r="N712" s="25">
        <f t="shared" si="33"/>
        <v>244354.99000000005</v>
      </c>
      <c r="O712" s="25">
        <f t="shared" ca="1" si="34"/>
        <v>1</v>
      </c>
      <c r="P712" s="25">
        <f t="shared" ca="1" si="35"/>
        <v>0.36032821229455958</v>
      </c>
    </row>
    <row r="713" spans="12:16" s="23" customFormat="1" ht="13.8">
      <c r="L713" s="23">
        <v>710</v>
      </c>
      <c r="M713" s="23">
        <f ca="1"/>
        <v>99697.843122242688</v>
      </c>
      <c r="N713" s="25">
        <f t="shared" si="33"/>
        <v>244354.99000000005</v>
      </c>
      <c r="O713" s="25">
        <f t="shared" ca="1" si="34"/>
        <v>1</v>
      </c>
      <c r="P713" s="25">
        <f t="shared" ca="1" si="35"/>
        <v>0.59199587811878662</v>
      </c>
    </row>
    <row r="714" spans="12:16" s="23" customFormat="1" ht="13.8">
      <c r="L714" s="33">
        <v>711</v>
      </c>
      <c r="M714" s="23">
        <f ca="1"/>
        <v>874.9373617106852</v>
      </c>
      <c r="N714" s="25">
        <f t="shared" si="33"/>
        <v>244354.99000000005</v>
      </c>
      <c r="O714" s="25">
        <f t="shared" ca="1" si="34"/>
        <v>1</v>
      </c>
      <c r="P714" s="25">
        <f t="shared" ca="1" si="35"/>
        <v>0.99641940047260469</v>
      </c>
    </row>
    <row r="715" spans="12:16" s="23" customFormat="1" ht="13.8">
      <c r="L715" s="23">
        <v>712</v>
      </c>
      <c r="M715" s="23">
        <f ca="1"/>
        <v>131056.44385851138</v>
      </c>
      <c r="N715" s="25">
        <f t="shared" si="33"/>
        <v>244354.99000000005</v>
      </c>
      <c r="O715" s="25">
        <f t="shared" ca="1" si="34"/>
        <v>1</v>
      </c>
      <c r="P715" s="25">
        <f t="shared" ca="1" si="35"/>
        <v>0.46366373013904338</v>
      </c>
    </row>
    <row r="716" spans="12:16" s="23" customFormat="1" ht="13.8">
      <c r="L716" s="33">
        <v>713</v>
      </c>
      <c r="M716" s="23">
        <f ca="1"/>
        <v>62393.408886814606</v>
      </c>
      <c r="N716" s="25">
        <f t="shared" si="33"/>
        <v>244354.99000000005</v>
      </c>
      <c r="O716" s="25">
        <f t="shared" ca="1" si="34"/>
        <v>1</v>
      </c>
      <c r="P716" s="25">
        <f t="shared" ca="1" si="35"/>
        <v>0.74466079499004867</v>
      </c>
    </row>
    <row r="717" spans="12:16" s="23" customFormat="1" ht="13.8">
      <c r="L717" s="23">
        <v>714</v>
      </c>
      <c r="M717" s="23">
        <f ca="1"/>
        <v>230057.66669743092</v>
      </c>
      <c r="N717" s="25">
        <f t="shared" si="33"/>
        <v>244354.99000000005</v>
      </c>
      <c r="O717" s="25">
        <f t="shared" ca="1" si="34"/>
        <v>1</v>
      </c>
      <c r="P717" s="25">
        <f t="shared" ca="1" si="35"/>
        <v>5.851046177763395E-2</v>
      </c>
    </row>
    <row r="718" spans="12:16" s="23" customFormat="1" ht="13.8">
      <c r="L718" s="33">
        <v>715</v>
      </c>
      <c r="M718" s="23">
        <f ca="1"/>
        <v>153594.98799831673</v>
      </c>
      <c r="N718" s="25">
        <f t="shared" si="33"/>
        <v>244354.99000000005</v>
      </c>
      <c r="O718" s="25">
        <f t="shared" ca="1" si="34"/>
        <v>1</v>
      </c>
      <c r="P718" s="25">
        <f t="shared" ca="1" si="35"/>
        <v>0.37142684093205258</v>
      </c>
    </row>
    <row r="719" spans="12:16" s="23" customFormat="1" ht="13.8">
      <c r="L719" s="23">
        <v>716</v>
      </c>
      <c r="M719" s="23">
        <f ca="1"/>
        <v>67887.101274409943</v>
      </c>
      <c r="N719" s="25">
        <f t="shared" si="33"/>
        <v>244354.99000000005</v>
      </c>
      <c r="O719" s="25">
        <f t="shared" ca="1" si="34"/>
        <v>1</v>
      </c>
      <c r="P719" s="25">
        <f t="shared" ca="1" si="35"/>
        <v>0.72217837141607</v>
      </c>
    </row>
    <row r="720" spans="12:16" s="23" customFormat="1" ht="13.8">
      <c r="L720" s="33">
        <v>717</v>
      </c>
      <c r="M720" s="23">
        <f ca="1"/>
        <v>237665.49308178981</v>
      </c>
      <c r="N720" s="25">
        <f t="shared" si="33"/>
        <v>244354.99000000005</v>
      </c>
      <c r="O720" s="25">
        <f t="shared" ca="1" si="34"/>
        <v>1</v>
      </c>
      <c r="P720" s="25">
        <f t="shared" ca="1" si="35"/>
        <v>2.7376142055499805E-2</v>
      </c>
    </row>
    <row r="721" spans="12:16" s="23" customFormat="1" ht="13.8">
      <c r="L721" s="23">
        <v>718</v>
      </c>
      <c r="M721" s="23">
        <f ca="1"/>
        <v>149622.03199341366</v>
      </c>
      <c r="N721" s="25">
        <f t="shared" si="33"/>
        <v>244354.99000000005</v>
      </c>
      <c r="O721" s="25">
        <f t="shared" ca="1" si="34"/>
        <v>1</v>
      </c>
      <c r="P721" s="25">
        <f t="shared" ca="1" si="35"/>
        <v>0.38768579273370424</v>
      </c>
    </row>
    <row r="722" spans="12:16" s="23" customFormat="1" ht="13.8">
      <c r="L722" s="33">
        <v>719</v>
      </c>
      <c r="M722" s="23">
        <f ca="1"/>
        <v>120364.08974978027</v>
      </c>
      <c r="N722" s="25">
        <f t="shared" si="33"/>
        <v>244354.99000000005</v>
      </c>
      <c r="O722" s="25">
        <f t="shared" ca="1" si="34"/>
        <v>1</v>
      </c>
      <c r="P722" s="25">
        <f t="shared" ca="1" si="35"/>
        <v>0.50742119180876866</v>
      </c>
    </row>
    <row r="723" spans="12:16" s="23" customFormat="1" ht="13.8">
      <c r="L723" s="23">
        <v>720</v>
      </c>
      <c r="M723" s="23">
        <f ca="1"/>
        <v>228099.79601131158</v>
      </c>
      <c r="N723" s="25">
        <f t="shared" si="33"/>
        <v>244354.99000000005</v>
      </c>
      <c r="O723" s="25">
        <f t="shared" ca="1" si="34"/>
        <v>1</v>
      </c>
      <c r="P723" s="25">
        <f t="shared" ca="1" si="35"/>
        <v>6.6522864905228504E-2</v>
      </c>
    </row>
    <row r="724" spans="12:16" s="23" customFormat="1" ht="13.8">
      <c r="L724" s="33">
        <v>721</v>
      </c>
      <c r="M724" s="23">
        <f ca="1"/>
        <v>27155.343823532399</v>
      </c>
      <c r="N724" s="25">
        <f t="shared" si="33"/>
        <v>244354.99000000005</v>
      </c>
      <c r="O724" s="25">
        <f t="shared" ca="1" si="34"/>
        <v>1</v>
      </c>
      <c r="P724" s="25">
        <f t="shared" ca="1" si="35"/>
        <v>0.88886928880178628</v>
      </c>
    </row>
    <row r="725" spans="12:16" s="23" customFormat="1" ht="13.8">
      <c r="L725" s="23">
        <v>722</v>
      </c>
      <c r="M725" s="23">
        <f ca="1"/>
        <v>295494.04030849668</v>
      </c>
      <c r="N725" s="25">
        <f t="shared" si="33"/>
        <v>244354.99000000005</v>
      </c>
      <c r="O725" s="25">
        <f t="shared" ca="1" si="34"/>
        <v>0</v>
      </c>
      <c r="P725" s="25">
        <f t="shared" ca="1" si="35"/>
        <v>0</v>
      </c>
    </row>
    <row r="726" spans="12:16" s="23" customFormat="1" ht="13.8">
      <c r="L726" s="33">
        <v>723</v>
      </c>
      <c r="M726" s="23">
        <f ca="1"/>
        <v>-27366.775392066869</v>
      </c>
      <c r="N726" s="25">
        <f t="shared" si="33"/>
        <v>244354.99000000005</v>
      </c>
      <c r="O726" s="25">
        <f t="shared" ca="1" si="34"/>
        <v>1</v>
      </c>
      <c r="P726" s="25">
        <f t="shared" ca="1" si="35"/>
        <v>1.111995975167386</v>
      </c>
    </row>
    <row r="727" spans="12:16" s="23" customFormat="1" ht="13.8">
      <c r="L727" s="23">
        <v>724</v>
      </c>
      <c r="M727" s="23">
        <f ca="1"/>
        <v>-92519.733173395231</v>
      </c>
      <c r="N727" s="25">
        <f t="shared" si="33"/>
        <v>244354.99000000005</v>
      </c>
      <c r="O727" s="25">
        <f t="shared" ca="1" si="34"/>
        <v>1</v>
      </c>
      <c r="P727" s="25">
        <f t="shared" ca="1" si="35"/>
        <v>1.378628376581936</v>
      </c>
    </row>
    <row r="728" spans="12:16" s="23" customFormat="1" ht="13.8">
      <c r="L728" s="33">
        <v>725</v>
      </c>
      <c r="M728" s="23">
        <f ca="1"/>
        <v>158215.47446631809</v>
      </c>
      <c r="N728" s="25">
        <f t="shared" si="33"/>
        <v>244354.99000000005</v>
      </c>
      <c r="O728" s="25">
        <f t="shared" ca="1" si="34"/>
        <v>1</v>
      </c>
      <c r="P728" s="25">
        <f t="shared" ca="1" si="35"/>
        <v>0.35251793112013774</v>
      </c>
    </row>
    <row r="729" spans="12:16" s="23" customFormat="1" ht="13.8">
      <c r="L729" s="23">
        <v>726</v>
      </c>
      <c r="M729" s="23">
        <f ca="1"/>
        <v>129055.2936012279</v>
      </c>
      <c r="N729" s="25">
        <f t="shared" si="33"/>
        <v>244354.99000000005</v>
      </c>
      <c r="O729" s="25">
        <f t="shared" ca="1" si="34"/>
        <v>1</v>
      </c>
      <c r="P729" s="25">
        <f t="shared" ca="1" si="35"/>
        <v>0.47185325087395241</v>
      </c>
    </row>
    <row r="730" spans="12:16" s="23" customFormat="1" ht="13.8">
      <c r="L730" s="33">
        <v>727</v>
      </c>
      <c r="M730" s="23">
        <f ca="1"/>
        <v>154515.86585393175</v>
      </c>
      <c r="N730" s="25">
        <f t="shared" si="33"/>
        <v>244354.99000000005</v>
      </c>
      <c r="O730" s="25">
        <f t="shared" ca="1" si="34"/>
        <v>1</v>
      </c>
      <c r="P730" s="25">
        <f t="shared" ca="1" si="35"/>
        <v>0.36765823421927368</v>
      </c>
    </row>
    <row r="731" spans="12:16" s="23" customFormat="1" ht="13.8">
      <c r="L731" s="23">
        <v>728</v>
      </c>
      <c r="M731" s="23">
        <f ca="1"/>
        <v>284532.74225223612</v>
      </c>
      <c r="N731" s="25">
        <f t="shared" si="33"/>
        <v>244354.99000000005</v>
      </c>
      <c r="O731" s="25">
        <f t="shared" ca="1" si="34"/>
        <v>0</v>
      </c>
      <c r="P731" s="25">
        <f t="shared" ca="1" si="35"/>
        <v>0</v>
      </c>
    </row>
    <row r="732" spans="12:16" s="23" customFormat="1" ht="13.8">
      <c r="L732" s="33">
        <v>729</v>
      </c>
      <c r="M732" s="23">
        <f ca="1"/>
        <v>183068.7989573362</v>
      </c>
      <c r="N732" s="25">
        <f t="shared" si="33"/>
        <v>244354.99000000005</v>
      </c>
      <c r="O732" s="25">
        <f t="shared" ca="1" si="34"/>
        <v>1</v>
      </c>
      <c r="P732" s="25">
        <f t="shared" ca="1" si="35"/>
        <v>0.25080801927827967</v>
      </c>
    </row>
    <row r="733" spans="12:16" s="23" customFormat="1" ht="13.8">
      <c r="L733" s="23">
        <v>730</v>
      </c>
      <c r="M733" s="23">
        <f ca="1"/>
        <v>210122.21431332978</v>
      </c>
      <c r="N733" s="25">
        <f t="shared" si="33"/>
        <v>244354.99000000005</v>
      </c>
      <c r="O733" s="25">
        <f t="shared" ca="1" si="34"/>
        <v>1</v>
      </c>
      <c r="P733" s="25">
        <f t="shared" ca="1" si="35"/>
        <v>0.14009444082427072</v>
      </c>
    </row>
    <row r="734" spans="12:16" s="23" customFormat="1" ht="13.8">
      <c r="L734" s="33">
        <v>731</v>
      </c>
      <c r="M734" s="23">
        <f ca="1"/>
        <v>207968.57141141186</v>
      </c>
      <c r="N734" s="25">
        <f t="shared" si="33"/>
        <v>244354.99000000005</v>
      </c>
      <c r="O734" s="25">
        <f t="shared" ca="1" si="34"/>
        <v>1</v>
      </c>
      <c r="P734" s="25">
        <f t="shared" ca="1" si="35"/>
        <v>0.14890802348087176</v>
      </c>
    </row>
    <row r="735" spans="12:16" s="23" customFormat="1" ht="13.8">
      <c r="L735" s="23">
        <v>732</v>
      </c>
      <c r="M735" s="23">
        <f ca="1"/>
        <v>275915.91802513995</v>
      </c>
      <c r="N735" s="25">
        <f t="shared" si="33"/>
        <v>244354.99000000005</v>
      </c>
      <c r="O735" s="25">
        <f t="shared" ca="1" si="34"/>
        <v>0</v>
      </c>
      <c r="P735" s="25">
        <f t="shared" ca="1" si="35"/>
        <v>0</v>
      </c>
    </row>
    <row r="736" spans="12:16" s="23" customFormat="1" ht="13.8">
      <c r="L736" s="33">
        <v>733</v>
      </c>
      <c r="M736" s="23">
        <f ca="1"/>
        <v>188175.68181044422</v>
      </c>
      <c r="N736" s="25">
        <f t="shared" si="33"/>
        <v>244354.99000000005</v>
      </c>
      <c r="O736" s="25">
        <f t="shared" ca="1" si="34"/>
        <v>1</v>
      </c>
      <c r="P736" s="25">
        <f t="shared" ca="1" si="35"/>
        <v>0.22990857763762393</v>
      </c>
    </row>
    <row r="737" spans="12:16" s="23" customFormat="1" ht="13.8">
      <c r="L737" s="23">
        <v>734</v>
      </c>
      <c r="M737" s="23">
        <f ca="1"/>
        <v>48789.353653222104</v>
      </c>
      <c r="N737" s="25">
        <f t="shared" si="33"/>
        <v>244354.99000000005</v>
      </c>
      <c r="O737" s="25">
        <f t="shared" ca="1" si="34"/>
        <v>1</v>
      </c>
      <c r="P737" s="25">
        <f t="shared" ca="1" si="35"/>
        <v>0.80033412187235431</v>
      </c>
    </row>
    <row r="738" spans="12:16" s="23" customFormat="1" ht="13.8">
      <c r="L738" s="33">
        <v>735</v>
      </c>
      <c r="M738" s="23">
        <f ca="1"/>
        <v>108389.40677161275</v>
      </c>
      <c r="N738" s="25">
        <f t="shared" si="33"/>
        <v>244354.99000000005</v>
      </c>
      <c r="O738" s="25">
        <f t="shared" ca="1" si="34"/>
        <v>1</v>
      </c>
      <c r="P738" s="25">
        <f t="shared" ca="1" si="35"/>
        <v>0.55642646474453938</v>
      </c>
    </row>
    <row r="739" spans="12:16" s="23" customFormat="1" ht="13.8">
      <c r="L739" s="23">
        <v>736</v>
      </c>
      <c r="M739" s="23">
        <f ca="1"/>
        <v>145555.91229441273</v>
      </c>
      <c r="N739" s="25">
        <f t="shared" si="33"/>
        <v>244354.99000000005</v>
      </c>
      <c r="O739" s="25">
        <f t="shared" ca="1" si="34"/>
        <v>1</v>
      </c>
      <c r="P739" s="25">
        <f t="shared" ca="1" si="35"/>
        <v>0.4043260082619442</v>
      </c>
    </row>
    <row r="740" spans="12:16" s="23" customFormat="1" ht="13.8">
      <c r="L740" s="33">
        <v>737</v>
      </c>
      <c r="M740" s="23">
        <f ca="1"/>
        <v>6089.1907684426478</v>
      </c>
      <c r="N740" s="25">
        <f t="shared" si="33"/>
        <v>244354.99000000005</v>
      </c>
      <c r="O740" s="25">
        <f t="shared" ca="1" si="34"/>
        <v>1</v>
      </c>
      <c r="P740" s="25">
        <f t="shared" ca="1" si="35"/>
        <v>0.9750805548581486</v>
      </c>
    </row>
    <row r="741" spans="12:16" s="23" customFormat="1" ht="13.8">
      <c r="L741" s="23">
        <v>738</v>
      </c>
      <c r="M741" s="23">
        <f ca="1"/>
        <v>255420.65067385699</v>
      </c>
      <c r="N741" s="25">
        <f t="shared" si="33"/>
        <v>244354.99000000005</v>
      </c>
      <c r="O741" s="25">
        <f t="shared" ca="1" si="34"/>
        <v>0</v>
      </c>
      <c r="P741" s="25">
        <f t="shared" ca="1" si="35"/>
        <v>0</v>
      </c>
    </row>
    <row r="742" spans="12:16" s="23" customFormat="1" ht="13.8">
      <c r="L742" s="33">
        <v>739</v>
      </c>
      <c r="M742" s="23">
        <f ca="1"/>
        <v>56904.686778492847</v>
      </c>
      <c r="N742" s="25">
        <f t="shared" si="33"/>
        <v>244354.99000000005</v>
      </c>
      <c r="O742" s="25">
        <f t="shared" ca="1" si="34"/>
        <v>1</v>
      </c>
      <c r="P742" s="25">
        <f t="shared" ca="1" si="35"/>
        <v>0.76712287815979185</v>
      </c>
    </row>
    <row r="743" spans="12:16" s="23" customFormat="1" ht="13.8">
      <c r="L743" s="23">
        <v>740</v>
      </c>
      <c r="M743" s="23">
        <f ca="1"/>
        <v>-89.593446240803189</v>
      </c>
      <c r="N743" s="25">
        <f t="shared" si="33"/>
        <v>244354.99000000005</v>
      </c>
      <c r="O743" s="25">
        <f t="shared" ca="1" si="34"/>
        <v>1</v>
      </c>
      <c r="P743" s="25">
        <f t="shared" ca="1" si="35"/>
        <v>1.0003666528203119</v>
      </c>
    </row>
    <row r="744" spans="12:16" s="23" customFormat="1" ht="13.8">
      <c r="L744" s="33">
        <v>741</v>
      </c>
      <c r="M744" s="23">
        <f ca="1"/>
        <v>187659.6985902802</v>
      </c>
      <c r="N744" s="25">
        <f t="shared" si="33"/>
        <v>244354.99000000005</v>
      </c>
      <c r="O744" s="25">
        <f t="shared" ca="1" si="34"/>
        <v>1</v>
      </c>
      <c r="P744" s="25">
        <f t="shared" ca="1" si="35"/>
        <v>0.23202019082859671</v>
      </c>
    </row>
    <row r="745" spans="12:16" s="23" customFormat="1" ht="13.8">
      <c r="L745" s="23">
        <v>742</v>
      </c>
      <c r="M745" s="23">
        <f ca="1"/>
        <v>97044.937261755898</v>
      </c>
      <c r="N745" s="25">
        <f t="shared" si="33"/>
        <v>244354.99000000005</v>
      </c>
      <c r="O745" s="25">
        <f t="shared" ca="1" si="34"/>
        <v>1</v>
      </c>
      <c r="P745" s="25">
        <f t="shared" ca="1" si="35"/>
        <v>0.60285264785566328</v>
      </c>
    </row>
    <row r="746" spans="12:16" s="23" customFormat="1" ht="13.8">
      <c r="L746" s="33">
        <v>743</v>
      </c>
      <c r="M746" s="23">
        <f ca="1"/>
        <v>196578.33626297556</v>
      </c>
      <c r="N746" s="25">
        <f t="shared" si="33"/>
        <v>244354.99000000005</v>
      </c>
      <c r="O746" s="25">
        <f t="shared" ca="1" si="34"/>
        <v>1</v>
      </c>
      <c r="P746" s="25">
        <f t="shared" ca="1" si="35"/>
        <v>0.19552149819827491</v>
      </c>
    </row>
    <row r="747" spans="12:16" s="23" customFormat="1" ht="13.8">
      <c r="L747" s="23">
        <v>744</v>
      </c>
      <c r="M747" s="23">
        <f ca="1"/>
        <v>1450.9206414118357</v>
      </c>
      <c r="N747" s="25">
        <f t="shared" si="33"/>
        <v>244354.99000000005</v>
      </c>
      <c r="O747" s="25">
        <f t="shared" ca="1" si="34"/>
        <v>1</v>
      </c>
      <c r="P747" s="25">
        <f t="shared" ca="1" si="35"/>
        <v>0.99406224263555321</v>
      </c>
    </row>
    <row r="748" spans="12:16" s="23" customFormat="1" ht="13.8">
      <c r="L748" s="33">
        <v>745</v>
      </c>
      <c r="M748" s="23">
        <f ca="1"/>
        <v>28233.318837000268</v>
      </c>
      <c r="N748" s="25">
        <f t="shared" si="33"/>
        <v>244354.99000000005</v>
      </c>
      <c r="O748" s="25">
        <f t="shared" ca="1" si="34"/>
        <v>1</v>
      </c>
      <c r="P748" s="25">
        <f t="shared" ca="1" si="35"/>
        <v>0.88445777662653724</v>
      </c>
    </row>
    <row r="749" spans="12:16" s="23" customFormat="1" ht="13.8">
      <c r="L749" s="23">
        <v>746</v>
      </c>
      <c r="M749" s="23">
        <f ca="1"/>
        <v>141918.08525348501</v>
      </c>
      <c r="N749" s="25">
        <f t="shared" si="33"/>
        <v>244354.99000000005</v>
      </c>
      <c r="O749" s="25">
        <f t="shared" ca="1" si="34"/>
        <v>1</v>
      </c>
      <c r="P749" s="25">
        <f t="shared" ca="1" si="35"/>
        <v>0.41921347604366505</v>
      </c>
    </row>
    <row r="750" spans="12:16" s="23" customFormat="1" ht="13.8">
      <c r="L750" s="33">
        <v>747</v>
      </c>
      <c r="M750" s="23">
        <f ca="1"/>
        <v>66817.262251997046</v>
      </c>
      <c r="N750" s="25">
        <f t="shared" si="33"/>
        <v>244354.99000000005</v>
      </c>
      <c r="O750" s="25">
        <f t="shared" ca="1" si="34"/>
        <v>1</v>
      </c>
      <c r="P750" s="25">
        <f t="shared" ca="1" si="35"/>
        <v>0.72655658780695642</v>
      </c>
    </row>
    <row r="751" spans="12:16" s="23" customFormat="1" ht="13.8">
      <c r="L751" s="23">
        <v>748</v>
      </c>
      <c r="M751" s="23">
        <f ca="1"/>
        <v>-24180.367817417606</v>
      </c>
      <c r="N751" s="25">
        <f t="shared" si="33"/>
        <v>244354.99000000005</v>
      </c>
      <c r="O751" s="25">
        <f t="shared" ca="1" si="34"/>
        <v>1</v>
      </c>
      <c r="P751" s="25">
        <f t="shared" ca="1" si="35"/>
        <v>1.0989558994371984</v>
      </c>
    </row>
    <row r="752" spans="12:16" s="23" customFormat="1" ht="13.8">
      <c r="L752" s="33">
        <v>749</v>
      </c>
      <c r="M752" s="23">
        <f ca="1"/>
        <v>113357.64488067005</v>
      </c>
      <c r="N752" s="25">
        <f t="shared" si="33"/>
        <v>244354.99000000005</v>
      </c>
      <c r="O752" s="25">
        <f t="shared" ca="1" si="34"/>
        <v>1</v>
      </c>
      <c r="P752" s="25">
        <f t="shared" ca="1" si="35"/>
        <v>0.53609441378434697</v>
      </c>
    </row>
    <row r="753" spans="12:16" s="23" customFormat="1" ht="13.8">
      <c r="L753" s="23">
        <v>750</v>
      </c>
      <c r="M753" s="23">
        <f ca="1"/>
        <v>168701.5941244369</v>
      </c>
      <c r="N753" s="25">
        <f t="shared" si="33"/>
        <v>244354.99000000005</v>
      </c>
      <c r="O753" s="25">
        <f t="shared" ca="1" si="34"/>
        <v>1</v>
      </c>
      <c r="P753" s="25">
        <f t="shared" ca="1" si="35"/>
        <v>0.30960446469934227</v>
      </c>
    </row>
    <row r="754" spans="12:16" s="23" customFormat="1" ht="13.8">
      <c r="L754" s="33">
        <v>751</v>
      </c>
      <c r="M754" s="23">
        <f ca="1"/>
        <v>104103.15832337945</v>
      </c>
      <c r="N754" s="25">
        <f t="shared" si="33"/>
        <v>244354.99000000005</v>
      </c>
      <c r="O754" s="25">
        <f t="shared" ca="1" si="34"/>
        <v>1</v>
      </c>
      <c r="P754" s="25">
        <f t="shared" ca="1" si="35"/>
        <v>0.57396753664257294</v>
      </c>
    </row>
    <row r="755" spans="12:16" s="23" customFormat="1" ht="13.8">
      <c r="L755" s="23">
        <v>752</v>
      </c>
      <c r="M755" s="23">
        <f ca="1"/>
        <v>407706.57020491018</v>
      </c>
      <c r="N755" s="25">
        <f t="shared" si="33"/>
        <v>244354.99000000005</v>
      </c>
      <c r="O755" s="25">
        <f t="shared" ca="1" si="34"/>
        <v>0</v>
      </c>
      <c r="P755" s="25">
        <f t="shared" ca="1" si="35"/>
        <v>0</v>
      </c>
    </row>
    <row r="756" spans="12:16" s="23" customFormat="1" ht="13.8">
      <c r="L756" s="33">
        <v>753</v>
      </c>
      <c r="M756" s="23">
        <f ca="1"/>
        <v>-57520.080582730399</v>
      </c>
      <c r="N756" s="25">
        <f t="shared" si="33"/>
        <v>244354.99000000005</v>
      </c>
      <c r="O756" s="25">
        <f t="shared" ca="1" si="34"/>
        <v>1</v>
      </c>
      <c r="P756" s="25">
        <f t="shared" ca="1" si="35"/>
        <v>1.2353955635722045</v>
      </c>
    </row>
    <row r="757" spans="12:16" s="23" customFormat="1" ht="13.8">
      <c r="L757" s="23">
        <v>754</v>
      </c>
      <c r="M757" s="23">
        <f ca="1"/>
        <v>247174.9816766069</v>
      </c>
      <c r="N757" s="25">
        <f t="shared" si="33"/>
        <v>244354.99000000005</v>
      </c>
      <c r="O757" s="25">
        <f t="shared" ca="1" si="34"/>
        <v>0</v>
      </c>
      <c r="P757" s="25">
        <f t="shared" ca="1" si="35"/>
        <v>0</v>
      </c>
    </row>
    <row r="758" spans="12:16" s="23" customFormat="1" ht="13.8">
      <c r="L758" s="33">
        <v>755</v>
      </c>
      <c r="M758" s="23">
        <f ca="1"/>
        <v>106364.18156430287</v>
      </c>
      <c r="N758" s="25">
        <f t="shared" si="33"/>
        <v>244354.99000000005</v>
      </c>
      <c r="O758" s="25">
        <f t="shared" ca="1" si="34"/>
        <v>1</v>
      </c>
      <c r="P758" s="25">
        <f t="shared" ca="1" si="35"/>
        <v>0.56471450996641048</v>
      </c>
    </row>
    <row r="759" spans="12:16" s="23" customFormat="1" ht="13.8">
      <c r="L759" s="23">
        <v>756</v>
      </c>
      <c r="M759" s="23">
        <f ca="1"/>
        <v>-101454.10598977166</v>
      </c>
      <c r="N759" s="25">
        <f t="shared" si="33"/>
        <v>244354.99000000005</v>
      </c>
      <c r="O759" s="25">
        <f t="shared" ca="1" si="34"/>
        <v>1</v>
      </c>
      <c r="P759" s="25">
        <f t="shared" ca="1" si="35"/>
        <v>1.4151914638197962</v>
      </c>
    </row>
    <row r="760" spans="12:16" s="23" customFormat="1" ht="13.8">
      <c r="L760" s="33">
        <v>757</v>
      </c>
      <c r="M760" s="23">
        <f ca="1"/>
        <v>126176.33316162588</v>
      </c>
      <c r="N760" s="25">
        <f t="shared" si="33"/>
        <v>244354.99000000005</v>
      </c>
      <c r="O760" s="25">
        <f t="shared" ca="1" si="34"/>
        <v>1</v>
      </c>
      <c r="P760" s="25">
        <f t="shared" ca="1" si="35"/>
        <v>0.4836351278865807</v>
      </c>
    </row>
    <row r="761" spans="12:16" s="23" customFormat="1" ht="13.8">
      <c r="L761" s="23">
        <v>758</v>
      </c>
      <c r="M761" s="23">
        <f ca="1"/>
        <v>160099.0984815018</v>
      </c>
      <c r="N761" s="25">
        <f t="shared" si="33"/>
        <v>244354.99000000005</v>
      </c>
      <c r="O761" s="25">
        <f t="shared" ca="1" si="34"/>
        <v>1</v>
      </c>
      <c r="P761" s="25">
        <f t="shared" ca="1" si="35"/>
        <v>0.34480937556666319</v>
      </c>
    </row>
    <row r="762" spans="12:16" s="23" customFormat="1" ht="13.8">
      <c r="L762" s="33">
        <v>759</v>
      </c>
      <c r="M762" s="23">
        <f ca="1"/>
        <v>176893.74548527892</v>
      </c>
      <c r="N762" s="25">
        <f t="shared" si="33"/>
        <v>244354.99000000005</v>
      </c>
      <c r="O762" s="25">
        <f t="shared" ca="1" si="34"/>
        <v>1</v>
      </c>
      <c r="P762" s="25">
        <f t="shared" ca="1" si="35"/>
        <v>0.27607884952429707</v>
      </c>
    </row>
    <row r="763" spans="12:16" s="23" customFormat="1" ht="13.8">
      <c r="L763" s="23">
        <v>760</v>
      </c>
      <c r="M763" s="23">
        <f ca="1"/>
        <v>261937.19298889057</v>
      </c>
      <c r="N763" s="25">
        <f t="shared" si="33"/>
        <v>244354.99000000005</v>
      </c>
      <c r="O763" s="25">
        <f t="shared" ca="1" si="34"/>
        <v>0</v>
      </c>
      <c r="P763" s="25">
        <f t="shared" ca="1" si="35"/>
        <v>0</v>
      </c>
    </row>
    <row r="764" spans="12:16" s="23" customFormat="1" ht="13.8">
      <c r="L764" s="33">
        <v>761</v>
      </c>
      <c r="M764" s="23">
        <f ca="1"/>
        <v>215973.81118932439</v>
      </c>
      <c r="N764" s="25">
        <f t="shared" si="33"/>
        <v>244354.99000000005</v>
      </c>
      <c r="O764" s="25">
        <f t="shared" ca="1" si="34"/>
        <v>1</v>
      </c>
      <c r="P764" s="25">
        <f t="shared" ca="1" si="35"/>
        <v>0.11614732652145</v>
      </c>
    </row>
    <row r="765" spans="12:16" s="23" customFormat="1" ht="13.8">
      <c r="L765" s="23">
        <v>762</v>
      </c>
      <c r="M765" s="23">
        <f ca="1"/>
        <v>-28923.212703003599</v>
      </c>
      <c r="N765" s="25">
        <f t="shared" si="33"/>
        <v>244354.99000000005</v>
      </c>
      <c r="O765" s="25">
        <f t="shared" ca="1" si="34"/>
        <v>1</v>
      </c>
      <c r="P765" s="25">
        <f t="shared" ca="1" si="35"/>
        <v>1.1183655496579121</v>
      </c>
    </row>
    <row r="766" spans="12:16" s="23" customFormat="1" ht="13.8">
      <c r="L766" s="33">
        <v>763</v>
      </c>
      <c r="M766" s="23">
        <f ca="1"/>
        <v>62159.463415029481</v>
      </c>
      <c r="N766" s="25">
        <f t="shared" si="33"/>
        <v>244354.99000000005</v>
      </c>
      <c r="O766" s="25">
        <f t="shared" ca="1" si="34"/>
        <v>1</v>
      </c>
      <c r="P766" s="25">
        <f t="shared" ca="1" si="35"/>
        <v>0.74561819500788806</v>
      </c>
    </row>
    <row r="767" spans="12:16" s="23" customFormat="1" ht="13.8">
      <c r="L767" s="23">
        <v>764</v>
      </c>
      <c r="M767" s="23">
        <f ca="1"/>
        <v>160409.11920672382</v>
      </c>
      <c r="N767" s="25">
        <f t="shared" si="33"/>
        <v>244354.99000000005</v>
      </c>
      <c r="O767" s="25">
        <f t="shared" ca="1" si="34"/>
        <v>1</v>
      </c>
      <c r="P767" s="25">
        <f t="shared" ca="1" si="35"/>
        <v>0.3435406446714111</v>
      </c>
    </row>
    <row r="768" spans="12:16" s="23" customFormat="1" ht="13.8">
      <c r="L768" s="33">
        <v>765</v>
      </c>
      <c r="M768" s="23">
        <f ca="1"/>
        <v>54140.397280224897</v>
      </c>
      <c r="N768" s="25">
        <f t="shared" si="33"/>
        <v>244354.99000000005</v>
      </c>
      <c r="O768" s="25">
        <f t="shared" ca="1" si="34"/>
        <v>1</v>
      </c>
      <c r="P768" s="25">
        <f t="shared" ca="1" si="35"/>
        <v>0.77843547504299015</v>
      </c>
    </row>
    <row r="769" spans="12:16" s="23" customFormat="1" ht="13.8">
      <c r="L769" s="23">
        <v>766</v>
      </c>
      <c r="M769" s="23">
        <f ca="1"/>
        <v>67078.104081462909</v>
      </c>
      <c r="N769" s="25">
        <f t="shared" si="33"/>
        <v>244354.99000000005</v>
      </c>
      <c r="O769" s="25">
        <f t="shared" ca="1" si="34"/>
        <v>1</v>
      </c>
      <c r="P769" s="25">
        <f t="shared" ca="1" si="35"/>
        <v>0.72548911695454688</v>
      </c>
    </row>
    <row r="770" spans="12:16" s="23" customFormat="1" ht="13.8">
      <c r="L770" s="33">
        <v>767</v>
      </c>
      <c r="M770" s="23">
        <f ca="1"/>
        <v>24768.04953291321</v>
      </c>
      <c r="N770" s="25">
        <f t="shared" si="33"/>
        <v>244354.99000000005</v>
      </c>
      <c r="O770" s="25">
        <f t="shared" ca="1" si="34"/>
        <v>1</v>
      </c>
      <c r="P770" s="25">
        <f t="shared" ca="1" si="35"/>
        <v>0.8986390679686419</v>
      </c>
    </row>
    <row r="771" spans="12:16" s="23" customFormat="1" ht="13.8">
      <c r="L771" s="23">
        <v>768</v>
      </c>
      <c r="M771" s="23">
        <f ca="1"/>
        <v>185488.96386471007</v>
      </c>
      <c r="N771" s="25">
        <f t="shared" si="33"/>
        <v>244354.99000000005</v>
      </c>
      <c r="O771" s="25">
        <f t="shared" ca="1" si="34"/>
        <v>1</v>
      </c>
      <c r="P771" s="25">
        <f t="shared" ca="1" si="35"/>
        <v>0.24090372017894937</v>
      </c>
    </row>
    <row r="772" spans="12:16" s="23" customFormat="1" ht="13.8">
      <c r="L772" s="33">
        <v>769</v>
      </c>
      <c r="M772" s="23">
        <f ca="1"/>
        <v>207869.76413227778</v>
      </c>
      <c r="N772" s="25">
        <f t="shared" ref="N772:N835" si="36">($C$22+$E$22)*1.1</f>
        <v>244354.99000000005</v>
      </c>
      <c r="O772" s="25">
        <f t="shared" ca="1" si="34"/>
        <v>1</v>
      </c>
      <c r="P772" s="25">
        <f t="shared" ca="1" si="35"/>
        <v>0.14931238305271469</v>
      </c>
    </row>
    <row r="773" spans="12:16" s="23" customFormat="1" ht="13.8">
      <c r="L773" s="23">
        <v>770</v>
      </c>
      <c r="M773" s="23">
        <f ca="1"/>
        <v>180044.07429850064</v>
      </c>
      <c r="N773" s="25">
        <f t="shared" si="36"/>
        <v>244354.99000000005</v>
      </c>
      <c r="O773" s="25">
        <f t="shared" ref="O773:O836" ca="1" si="37">IF(M773&lt;N773,1,0)</f>
        <v>1</v>
      </c>
      <c r="P773" s="25">
        <f t="shared" ref="P773:P836" ca="1" si="38">MAX((N773-M773)/N773,0)</f>
        <v>0.26318642275936088</v>
      </c>
    </row>
    <row r="774" spans="12:16" s="23" customFormat="1" ht="13.8">
      <c r="L774" s="33">
        <v>771</v>
      </c>
      <c r="M774" s="23">
        <f ca="1"/>
        <v>148051.04923813147</v>
      </c>
      <c r="N774" s="25">
        <f t="shared" si="36"/>
        <v>244354.99000000005</v>
      </c>
      <c r="O774" s="25">
        <f t="shared" ca="1" si="37"/>
        <v>1</v>
      </c>
      <c r="P774" s="25">
        <f t="shared" ca="1" si="38"/>
        <v>0.39411489309822795</v>
      </c>
    </row>
    <row r="775" spans="12:16" s="23" customFormat="1" ht="13.8">
      <c r="L775" s="23">
        <v>772</v>
      </c>
      <c r="M775" s="23">
        <f ca="1"/>
        <v>279663.00938138075</v>
      </c>
      <c r="N775" s="25">
        <f t="shared" si="36"/>
        <v>244354.99000000005</v>
      </c>
      <c r="O775" s="25">
        <f t="shared" ca="1" si="37"/>
        <v>0</v>
      </c>
      <c r="P775" s="25">
        <f t="shared" ca="1" si="38"/>
        <v>0</v>
      </c>
    </row>
    <row r="776" spans="12:16" s="23" customFormat="1" ht="13.8">
      <c r="L776" s="33">
        <v>773</v>
      </c>
      <c r="M776" s="23">
        <f ca="1"/>
        <v>-67344.646167510102</v>
      </c>
      <c r="N776" s="25">
        <f t="shared" si="36"/>
        <v>244354.99000000005</v>
      </c>
      <c r="O776" s="25">
        <f t="shared" ca="1" si="37"/>
        <v>1</v>
      </c>
      <c r="P776" s="25">
        <f t="shared" ca="1" si="38"/>
        <v>1.2756016816661289</v>
      </c>
    </row>
    <row r="777" spans="12:16" s="23" customFormat="1" ht="13.8">
      <c r="L777" s="23">
        <v>774</v>
      </c>
      <c r="M777" s="23">
        <f ca="1"/>
        <v>111110.1061469398</v>
      </c>
      <c r="N777" s="25">
        <f t="shared" si="36"/>
        <v>244354.99000000005</v>
      </c>
      <c r="O777" s="25">
        <f t="shared" ca="1" si="37"/>
        <v>1</v>
      </c>
      <c r="P777" s="25">
        <f t="shared" ca="1" si="38"/>
        <v>0.54529225637282963</v>
      </c>
    </row>
    <row r="778" spans="12:16" s="23" customFormat="1" ht="13.8">
      <c r="L778" s="33">
        <v>775</v>
      </c>
      <c r="M778" s="23">
        <f ca="1"/>
        <v>154063.37114528567</v>
      </c>
      <c r="N778" s="25">
        <f t="shared" si="36"/>
        <v>244354.99000000005</v>
      </c>
      <c r="O778" s="25">
        <f t="shared" ca="1" si="37"/>
        <v>1</v>
      </c>
      <c r="P778" s="25">
        <f t="shared" ca="1" si="38"/>
        <v>0.36951002659988391</v>
      </c>
    </row>
    <row r="779" spans="12:16" s="23" customFormat="1" ht="13.8">
      <c r="L779" s="23">
        <v>776</v>
      </c>
      <c r="M779" s="23">
        <f ca="1"/>
        <v>136639.29354089723</v>
      </c>
      <c r="N779" s="25">
        <f t="shared" si="36"/>
        <v>244354.99000000005</v>
      </c>
      <c r="O779" s="25">
        <f t="shared" ca="1" si="37"/>
        <v>1</v>
      </c>
      <c r="P779" s="25">
        <f t="shared" ca="1" si="38"/>
        <v>0.44081643865387321</v>
      </c>
    </row>
    <row r="780" spans="12:16" s="23" customFormat="1" ht="13.8">
      <c r="L780" s="33">
        <v>777</v>
      </c>
      <c r="M780" s="23">
        <f ca="1"/>
        <v>222612.09439923396</v>
      </c>
      <c r="N780" s="25">
        <f t="shared" si="36"/>
        <v>244354.99000000005</v>
      </c>
      <c r="O780" s="25">
        <f t="shared" ca="1" si="37"/>
        <v>1</v>
      </c>
      <c r="P780" s="25">
        <f t="shared" ca="1" si="38"/>
        <v>8.8980771789297544E-2</v>
      </c>
    </row>
    <row r="781" spans="12:16" s="23" customFormat="1" ht="13.8">
      <c r="L781" s="23">
        <v>778</v>
      </c>
      <c r="M781" s="23">
        <f ca="1"/>
        <v>37084.860395583659</v>
      </c>
      <c r="N781" s="25">
        <f t="shared" si="36"/>
        <v>244354.99000000005</v>
      </c>
      <c r="O781" s="25">
        <f t="shared" ca="1" si="37"/>
        <v>1</v>
      </c>
      <c r="P781" s="25">
        <f t="shared" ca="1" si="38"/>
        <v>0.84823366858363047</v>
      </c>
    </row>
    <row r="782" spans="12:16" s="23" customFormat="1" ht="13.8">
      <c r="L782" s="33">
        <v>779</v>
      </c>
      <c r="M782" s="23">
        <f ca="1"/>
        <v>172983.79319728719</v>
      </c>
      <c r="N782" s="25">
        <f t="shared" si="36"/>
        <v>244354.99000000005</v>
      </c>
      <c r="O782" s="25">
        <f t="shared" ca="1" si="37"/>
        <v>1</v>
      </c>
      <c r="P782" s="25">
        <f t="shared" ca="1" si="38"/>
        <v>0.29207996449228579</v>
      </c>
    </row>
    <row r="783" spans="12:16" s="23" customFormat="1" ht="13.8">
      <c r="L783" s="23">
        <v>780</v>
      </c>
      <c r="M783" s="23">
        <f ca="1"/>
        <v>-36094.614402751322</v>
      </c>
      <c r="N783" s="25">
        <f t="shared" si="36"/>
        <v>244354.99000000005</v>
      </c>
      <c r="O783" s="25">
        <f t="shared" ca="1" si="37"/>
        <v>1</v>
      </c>
      <c r="P783" s="25">
        <f t="shared" ca="1" si="38"/>
        <v>1.1477138420735804</v>
      </c>
    </row>
    <row r="784" spans="12:16" s="23" customFormat="1" ht="13.8">
      <c r="L784" s="33">
        <v>781</v>
      </c>
      <c r="M784" s="23">
        <f ca="1"/>
        <v>101347.9732102296</v>
      </c>
      <c r="N784" s="25">
        <f t="shared" si="36"/>
        <v>244354.99000000005</v>
      </c>
      <c r="O784" s="25">
        <f t="shared" ca="1" si="37"/>
        <v>1</v>
      </c>
      <c r="P784" s="25">
        <f t="shared" ca="1" si="38"/>
        <v>0.58524287467904967</v>
      </c>
    </row>
    <row r="785" spans="12:16" s="23" customFormat="1" ht="13.8">
      <c r="L785" s="23">
        <v>782</v>
      </c>
      <c r="M785" s="23">
        <f ca="1"/>
        <v>200775.39676386409</v>
      </c>
      <c r="N785" s="25">
        <f t="shared" si="36"/>
        <v>244354.99000000005</v>
      </c>
      <c r="O785" s="25">
        <f t="shared" ca="1" si="37"/>
        <v>1</v>
      </c>
      <c r="P785" s="25">
        <f t="shared" ca="1" si="38"/>
        <v>0.17834541965415132</v>
      </c>
    </row>
    <row r="786" spans="12:16" s="23" customFormat="1" ht="13.8">
      <c r="L786" s="33">
        <v>783</v>
      </c>
      <c r="M786" s="23">
        <f ca="1"/>
        <v>364398.42430176912</v>
      </c>
      <c r="N786" s="25">
        <f t="shared" si="36"/>
        <v>244354.99000000005</v>
      </c>
      <c r="O786" s="25">
        <f t="shared" ca="1" si="37"/>
        <v>0</v>
      </c>
      <c r="P786" s="25">
        <f t="shared" ca="1" si="38"/>
        <v>0</v>
      </c>
    </row>
    <row r="787" spans="12:16" s="23" customFormat="1" ht="13.8">
      <c r="L787" s="23">
        <v>784</v>
      </c>
      <c r="M787" s="23">
        <f ca="1"/>
        <v>232741.79488972572</v>
      </c>
      <c r="N787" s="25">
        <f t="shared" si="36"/>
        <v>244354.99000000005</v>
      </c>
      <c r="O787" s="25">
        <f t="shared" ca="1" si="37"/>
        <v>1</v>
      </c>
      <c r="P787" s="25">
        <f t="shared" ca="1" si="38"/>
        <v>4.7525917560653587E-2</v>
      </c>
    </row>
    <row r="788" spans="12:16" s="23" customFormat="1" ht="13.8">
      <c r="L788" s="33">
        <v>785</v>
      </c>
      <c r="M788" s="23">
        <f ca="1"/>
        <v>105588.06362040871</v>
      </c>
      <c r="N788" s="25">
        <f t="shared" si="36"/>
        <v>244354.99000000005</v>
      </c>
      <c r="O788" s="25">
        <f t="shared" ca="1" si="37"/>
        <v>1</v>
      </c>
      <c r="P788" s="25">
        <f t="shared" ca="1" si="38"/>
        <v>0.56789070024553756</v>
      </c>
    </row>
    <row r="789" spans="12:16" s="23" customFormat="1" ht="13.8">
      <c r="L789" s="23">
        <v>786</v>
      </c>
      <c r="M789" s="23">
        <f ca="1"/>
        <v>68568.760568963771</v>
      </c>
      <c r="N789" s="25">
        <f t="shared" si="36"/>
        <v>244354.99000000005</v>
      </c>
      <c r="O789" s="25">
        <f t="shared" ca="1" si="37"/>
        <v>1</v>
      </c>
      <c r="P789" s="25">
        <f t="shared" ca="1" si="38"/>
        <v>0.71938874434705113</v>
      </c>
    </row>
    <row r="790" spans="12:16" s="23" customFormat="1" ht="13.8">
      <c r="L790" s="33">
        <v>787</v>
      </c>
      <c r="M790" s="23">
        <f ca="1"/>
        <v>142390.45535435213</v>
      </c>
      <c r="N790" s="25">
        <f t="shared" si="36"/>
        <v>244354.99000000005</v>
      </c>
      <c r="O790" s="25">
        <f t="shared" ca="1" si="37"/>
        <v>1</v>
      </c>
      <c r="P790" s="25">
        <f t="shared" ca="1" si="38"/>
        <v>0.41728034547462239</v>
      </c>
    </row>
    <row r="791" spans="12:16" s="23" customFormat="1" ht="13.8">
      <c r="L791" s="23">
        <v>788</v>
      </c>
      <c r="M791" s="23">
        <f ca="1"/>
        <v>31222.043492397377</v>
      </c>
      <c r="N791" s="25">
        <f t="shared" si="36"/>
        <v>244354.99000000005</v>
      </c>
      <c r="O791" s="25">
        <f t="shared" ca="1" si="37"/>
        <v>1</v>
      </c>
      <c r="P791" s="25">
        <f t="shared" ca="1" si="38"/>
        <v>0.87222669980098477</v>
      </c>
    </row>
    <row r="792" spans="12:16" s="23" customFormat="1" ht="13.8">
      <c r="L792" s="33">
        <v>789</v>
      </c>
      <c r="M792" s="23">
        <f ca="1"/>
        <v>116663.03481006486</v>
      </c>
      <c r="N792" s="25">
        <f t="shared" si="36"/>
        <v>244354.99000000005</v>
      </c>
      <c r="O792" s="25">
        <f t="shared" ca="1" si="37"/>
        <v>1</v>
      </c>
      <c r="P792" s="25">
        <f t="shared" ca="1" si="38"/>
        <v>0.52256741386756689</v>
      </c>
    </row>
    <row r="793" spans="12:16" s="23" customFormat="1" ht="13.8">
      <c r="L793" s="23">
        <v>790</v>
      </c>
      <c r="M793" s="23">
        <f ca="1"/>
        <v>43250.074751036285</v>
      </c>
      <c r="N793" s="25">
        <f t="shared" si="36"/>
        <v>244354.99000000005</v>
      </c>
      <c r="O793" s="25">
        <f t="shared" ca="1" si="37"/>
        <v>1</v>
      </c>
      <c r="P793" s="25">
        <f t="shared" ca="1" si="38"/>
        <v>0.82300310400439836</v>
      </c>
    </row>
    <row r="794" spans="12:16" s="23" customFormat="1" ht="13.8">
      <c r="L794" s="33">
        <v>791</v>
      </c>
      <c r="M794" s="23">
        <f ca="1"/>
        <v>-55880.529652669895</v>
      </c>
      <c r="N794" s="25">
        <f t="shared" si="36"/>
        <v>244354.99000000005</v>
      </c>
      <c r="O794" s="25">
        <f t="shared" ca="1" si="37"/>
        <v>1</v>
      </c>
      <c r="P794" s="25">
        <f t="shared" ca="1" si="38"/>
        <v>1.2286858543493215</v>
      </c>
    </row>
    <row r="795" spans="12:16" s="23" customFormat="1" ht="13.8">
      <c r="L795" s="23">
        <v>792</v>
      </c>
      <c r="M795" s="23">
        <f ca="1"/>
        <v>72749.15912351897</v>
      </c>
      <c r="N795" s="25">
        <f t="shared" si="36"/>
        <v>244354.99000000005</v>
      </c>
      <c r="O795" s="25">
        <f t="shared" ca="1" si="37"/>
        <v>1</v>
      </c>
      <c r="P795" s="25">
        <f t="shared" ca="1" si="38"/>
        <v>0.70228085326385614</v>
      </c>
    </row>
    <row r="796" spans="12:16" s="23" customFormat="1" ht="13.8">
      <c r="L796" s="33">
        <v>793</v>
      </c>
      <c r="M796" s="23">
        <f ca="1"/>
        <v>295517.60786759923</v>
      </c>
      <c r="N796" s="25">
        <f t="shared" si="36"/>
        <v>244354.99000000005</v>
      </c>
      <c r="O796" s="25">
        <f t="shared" ca="1" si="37"/>
        <v>0</v>
      </c>
      <c r="P796" s="25">
        <f t="shared" ca="1" si="38"/>
        <v>0</v>
      </c>
    </row>
    <row r="797" spans="12:16" s="23" customFormat="1" ht="13.8">
      <c r="L797" s="23">
        <v>794</v>
      </c>
      <c r="M797" s="23">
        <f ca="1"/>
        <v>-33341.613271705559</v>
      </c>
      <c r="N797" s="25">
        <f t="shared" si="36"/>
        <v>244354.99000000005</v>
      </c>
      <c r="O797" s="25">
        <f t="shared" ca="1" si="37"/>
        <v>1</v>
      </c>
      <c r="P797" s="25">
        <f t="shared" ca="1" si="38"/>
        <v>1.1364474417801149</v>
      </c>
    </row>
    <row r="798" spans="12:16" s="23" customFormat="1" ht="13.8">
      <c r="L798" s="33">
        <v>795</v>
      </c>
      <c r="M798" s="23">
        <f ca="1"/>
        <v>138849.41700811061</v>
      </c>
      <c r="N798" s="25">
        <f t="shared" si="36"/>
        <v>244354.99000000005</v>
      </c>
      <c r="O798" s="25">
        <f t="shared" ca="1" si="37"/>
        <v>1</v>
      </c>
      <c r="P798" s="25">
        <f t="shared" ca="1" si="38"/>
        <v>0.43177171455303376</v>
      </c>
    </row>
    <row r="799" spans="12:16" s="23" customFormat="1" ht="13.8">
      <c r="L799" s="23">
        <v>796</v>
      </c>
      <c r="M799" s="23">
        <f ca="1"/>
        <v>50703.135260155068</v>
      </c>
      <c r="N799" s="25">
        <f t="shared" si="36"/>
        <v>244354.99000000005</v>
      </c>
      <c r="O799" s="25">
        <f t="shared" ca="1" si="37"/>
        <v>1</v>
      </c>
      <c r="P799" s="25">
        <f t="shared" ca="1" si="38"/>
        <v>0.79250214918813378</v>
      </c>
    </row>
    <row r="800" spans="12:16" s="23" customFormat="1" ht="13.8">
      <c r="L800" s="33">
        <v>797</v>
      </c>
      <c r="M800" s="23">
        <f ca="1"/>
        <v>294626.54305161105</v>
      </c>
      <c r="N800" s="25">
        <f t="shared" si="36"/>
        <v>244354.99000000005</v>
      </c>
      <c r="O800" s="25">
        <f t="shared" ca="1" si="37"/>
        <v>0</v>
      </c>
      <c r="P800" s="25">
        <f t="shared" ca="1" si="38"/>
        <v>0</v>
      </c>
    </row>
    <row r="801" spans="12:16" s="23" customFormat="1" ht="13.8">
      <c r="L801" s="23">
        <v>798</v>
      </c>
      <c r="M801" s="23">
        <f ca="1"/>
        <v>-20052.523437803295</v>
      </c>
      <c r="N801" s="25">
        <f t="shared" si="36"/>
        <v>244354.99000000005</v>
      </c>
      <c r="O801" s="25">
        <f t="shared" ca="1" si="37"/>
        <v>1</v>
      </c>
      <c r="P801" s="25">
        <f t="shared" ca="1" si="38"/>
        <v>1.08206308141202</v>
      </c>
    </row>
    <row r="802" spans="12:16" s="23" customFormat="1" ht="13.8">
      <c r="L802" s="33">
        <v>799</v>
      </c>
      <c r="M802" s="23">
        <f ca="1"/>
        <v>65081.098539510589</v>
      </c>
      <c r="N802" s="25">
        <f t="shared" si="36"/>
        <v>244354.99000000005</v>
      </c>
      <c r="O802" s="25">
        <f t="shared" ca="1" si="37"/>
        <v>1</v>
      </c>
      <c r="P802" s="25">
        <f t="shared" ca="1" si="38"/>
        <v>0.73366167582863528</v>
      </c>
    </row>
    <row r="803" spans="12:16" s="23" customFormat="1" ht="13.8">
      <c r="L803" s="23">
        <v>800</v>
      </c>
      <c r="M803" s="23">
        <f ca="1"/>
        <v>-3097.9007870374617</v>
      </c>
      <c r="N803" s="25">
        <f t="shared" si="36"/>
        <v>244354.99000000005</v>
      </c>
      <c r="O803" s="25">
        <f t="shared" ca="1" si="37"/>
        <v>1</v>
      </c>
      <c r="P803" s="25">
        <f t="shared" ca="1" si="38"/>
        <v>1.0126778699589374</v>
      </c>
    </row>
    <row r="804" spans="12:16" s="23" customFormat="1" ht="13.8">
      <c r="L804" s="33">
        <v>801</v>
      </c>
      <c r="M804" s="23">
        <f ca="1"/>
        <v>149112.57460023297</v>
      </c>
      <c r="N804" s="25">
        <f t="shared" si="36"/>
        <v>244354.99000000005</v>
      </c>
      <c r="O804" s="25">
        <f t="shared" ca="1" si="37"/>
        <v>1</v>
      </c>
      <c r="P804" s="25">
        <f t="shared" ca="1" si="38"/>
        <v>0.38977069958656074</v>
      </c>
    </row>
    <row r="805" spans="12:16" s="23" customFormat="1" ht="13.8">
      <c r="L805" s="23">
        <v>802</v>
      </c>
      <c r="M805" s="23">
        <f ca="1"/>
        <v>-22352.636135861441</v>
      </c>
      <c r="N805" s="25">
        <f t="shared" si="36"/>
        <v>244354.99000000005</v>
      </c>
      <c r="O805" s="25">
        <f t="shared" ca="1" si="37"/>
        <v>1</v>
      </c>
      <c r="P805" s="25">
        <f t="shared" ca="1" si="38"/>
        <v>1.0914760780447392</v>
      </c>
    </row>
    <row r="806" spans="12:16" s="23" customFormat="1" ht="13.8">
      <c r="L806" s="33">
        <v>803</v>
      </c>
      <c r="M806" s="23">
        <f ca="1"/>
        <v>43984.256712990486</v>
      </c>
      <c r="N806" s="25">
        <f t="shared" si="36"/>
        <v>244354.99000000005</v>
      </c>
      <c r="O806" s="25">
        <f t="shared" ca="1" si="37"/>
        <v>1</v>
      </c>
      <c r="P806" s="25">
        <f t="shared" ca="1" si="38"/>
        <v>0.81999853281903312</v>
      </c>
    </row>
    <row r="807" spans="12:16" s="23" customFormat="1" ht="13.8">
      <c r="L807" s="23">
        <v>804</v>
      </c>
      <c r="M807" s="23">
        <f ca="1"/>
        <v>-17202.089748340004</v>
      </c>
      <c r="N807" s="25">
        <f t="shared" si="36"/>
        <v>244354.99000000005</v>
      </c>
      <c r="O807" s="25">
        <f t="shared" ca="1" si="37"/>
        <v>1</v>
      </c>
      <c r="P807" s="25">
        <f t="shared" ca="1" si="38"/>
        <v>1.0703979474629923</v>
      </c>
    </row>
    <row r="808" spans="12:16" s="23" customFormat="1" ht="13.8">
      <c r="L808" s="33">
        <v>805</v>
      </c>
      <c r="M808" s="23">
        <f ca="1"/>
        <v>89437.006853842424</v>
      </c>
      <c r="N808" s="25">
        <f t="shared" si="36"/>
        <v>244354.99000000005</v>
      </c>
      <c r="O808" s="25">
        <f t="shared" ca="1" si="37"/>
        <v>1</v>
      </c>
      <c r="P808" s="25">
        <f t="shared" ca="1" si="38"/>
        <v>0.63398739328448994</v>
      </c>
    </row>
    <row r="809" spans="12:16" s="23" customFormat="1" ht="13.8">
      <c r="L809" s="23">
        <v>806</v>
      </c>
      <c r="M809" s="23">
        <f ca="1"/>
        <v>43080.157061911261</v>
      </c>
      <c r="N809" s="25">
        <f t="shared" si="36"/>
        <v>244354.99000000005</v>
      </c>
      <c r="O809" s="25">
        <f t="shared" ca="1" si="37"/>
        <v>1</v>
      </c>
      <c r="P809" s="25">
        <f t="shared" ca="1" si="38"/>
        <v>0.82369847629503601</v>
      </c>
    </row>
    <row r="810" spans="12:16" s="23" customFormat="1" ht="13.8">
      <c r="L810" s="33">
        <v>807</v>
      </c>
      <c r="M810" s="23">
        <f ca="1"/>
        <v>113106.81484101023</v>
      </c>
      <c r="N810" s="25">
        <f t="shared" si="36"/>
        <v>244354.99000000005</v>
      </c>
      <c r="O810" s="25">
        <f t="shared" ca="1" si="37"/>
        <v>1</v>
      </c>
      <c r="P810" s="25">
        <f t="shared" ca="1" si="38"/>
        <v>0.5371209123210039</v>
      </c>
    </row>
    <row r="811" spans="12:16" s="23" customFormat="1" ht="13.8">
      <c r="L811" s="23">
        <v>808</v>
      </c>
      <c r="M811" s="23">
        <f ca="1"/>
        <v>301452.65043147968</v>
      </c>
      <c r="N811" s="25">
        <f t="shared" si="36"/>
        <v>244354.99000000005</v>
      </c>
      <c r="O811" s="25">
        <f t="shared" ca="1" si="37"/>
        <v>0</v>
      </c>
      <c r="P811" s="25">
        <f t="shared" ca="1" si="38"/>
        <v>0</v>
      </c>
    </row>
    <row r="812" spans="12:16" s="23" customFormat="1" ht="13.8">
      <c r="L812" s="33">
        <v>809</v>
      </c>
      <c r="M812" s="23">
        <f ca="1"/>
        <v>113557.89695053178</v>
      </c>
      <c r="N812" s="25">
        <f t="shared" si="36"/>
        <v>244354.99000000005</v>
      </c>
      <c r="O812" s="25">
        <f t="shared" ca="1" si="37"/>
        <v>1</v>
      </c>
      <c r="P812" s="25">
        <f t="shared" ca="1" si="38"/>
        <v>0.53527490087052543</v>
      </c>
    </row>
    <row r="813" spans="12:16" s="23" customFormat="1" ht="13.8">
      <c r="L813" s="23">
        <v>810</v>
      </c>
      <c r="M813" s="23">
        <f ca="1"/>
        <v>108373.90978528165</v>
      </c>
      <c r="N813" s="25">
        <f t="shared" si="36"/>
        <v>244354.99000000005</v>
      </c>
      <c r="O813" s="25">
        <f t="shared" ca="1" si="37"/>
        <v>1</v>
      </c>
      <c r="P813" s="25">
        <f t="shared" ca="1" si="38"/>
        <v>0.55648988471534133</v>
      </c>
    </row>
    <row r="814" spans="12:16" s="23" customFormat="1" ht="13.8">
      <c r="L814" s="33">
        <v>811</v>
      </c>
      <c r="M814" s="23">
        <f ca="1"/>
        <v>170140.74831384761</v>
      </c>
      <c r="N814" s="25">
        <f t="shared" si="36"/>
        <v>244354.99000000005</v>
      </c>
      <c r="O814" s="25">
        <f t="shared" ca="1" si="37"/>
        <v>1</v>
      </c>
      <c r="P814" s="25">
        <f t="shared" ca="1" si="38"/>
        <v>0.30371486044198409</v>
      </c>
    </row>
    <row r="815" spans="12:16" s="23" customFormat="1" ht="13.8">
      <c r="L815" s="23">
        <v>812</v>
      </c>
      <c r="M815" s="23">
        <f ca="1"/>
        <v>316641.47283857904</v>
      </c>
      <c r="N815" s="25">
        <f t="shared" si="36"/>
        <v>244354.99000000005</v>
      </c>
      <c r="O815" s="25">
        <f t="shared" ca="1" si="37"/>
        <v>0</v>
      </c>
      <c r="P815" s="25">
        <f t="shared" ca="1" si="38"/>
        <v>0</v>
      </c>
    </row>
    <row r="816" spans="12:16" s="23" customFormat="1" ht="13.8">
      <c r="L816" s="33">
        <v>813</v>
      </c>
      <c r="M816" s="23">
        <f ca="1"/>
        <v>87065.559486654121</v>
      </c>
      <c r="N816" s="25">
        <f t="shared" si="36"/>
        <v>244354.99000000005</v>
      </c>
      <c r="O816" s="25">
        <f t="shared" ca="1" si="37"/>
        <v>1</v>
      </c>
      <c r="P816" s="25">
        <f t="shared" ca="1" si="38"/>
        <v>0.64369232039560931</v>
      </c>
    </row>
    <row r="817" spans="12:16" s="23" customFormat="1" ht="13.8">
      <c r="L817" s="23">
        <v>814</v>
      </c>
      <c r="M817" s="23">
        <f ca="1"/>
        <v>194537.75386497992</v>
      </c>
      <c r="N817" s="25">
        <f t="shared" si="36"/>
        <v>244354.99000000005</v>
      </c>
      <c r="O817" s="25">
        <f t="shared" ca="1" si="37"/>
        <v>1</v>
      </c>
      <c r="P817" s="25">
        <f t="shared" ca="1" si="38"/>
        <v>0.20387239129031134</v>
      </c>
    </row>
    <row r="818" spans="12:16" s="23" customFormat="1" ht="13.8">
      <c r="L818" s="33">
        <v>815</v>
      </c>
      <c r="M818" s="23">
        <f ca="1"/>
        <v>-43577.544955998885</v>
      </c>
      <c r="N818" s="25">
        <f t="shared" si="36"/>
        <v>244354.99000000005</v>
      </c>
      <c r="O818" s="25">
        <f t="shared" ca="1" si="37"/>
        <v>1</v>
      </c>
      <c r="P818" s="25">
        <f t="shared" ca="1" si="38"/>
        <v>1.1783370372587803</v>
      </c>
    </row>
    <row r="819" spans="12:16" s="23" customFormat="1" ht="13.8">
      <c r="L819" s="23">
        <v>816</v>
      </c>
      <c r="M819" s="23">
        <f ca="1"/>
        <v>180564.26705456732</v>
      </c>
      <c r="N819" s="25">
        <f t="shared" si="36"/>
        <v>244354.99000000005</v>
      </c>
      <c r="O819" s="25">
        <f t="shared" ca="1" si="37"/>
        <v>1</v>
      </c>
      <c r="P819" s="25">
        <f t="shared" ca="1" si="38"/>
        <v>0.26105758243542609</v>
      </c>
    </row>
    <row r="820" spans="12:16" s="23" customFormat="1" ht="13.8">
      <c r="L820" s="33">
        <v>817</v>
      </c>
      <c r="M820" s="23">
        <f ca="1"/>
        <v>125771.78848280264</v>
      </c>
      <c r="N820" s="25">
        <f t="shared" si="36"/>
        <v>244354.99000000005</v>
      </c>
      <c r="O820" s="25">
        <f t="shared" ca="1" si="37"/>
        <v>1</v>
      </c>
      <c r="P820" s="25">
        <f t="shared" ca="1" si="38"/>
        <v>0.48529068924353613</v>
      </c>
    </row>
    <row r="821" spans="12:16" s="23" customFormat="1" ht="13.8">
      <c r="L821" s="23">
        <v>818</v>
      </c>
      <c r="M821" s="23">
        <f ca="1"/>
        <v>216171.34868940513</v>
      </c>
      <c r="N821" s="25">
        <f t="shared" si="36"/>
        <v>244354.99000000005</v>
      </c>
      <c r="O821" s="25">
        <f t="shared" ca="1" si="37"/>
        <v>1</v>
      </c>
      <c r="P821" s="25">
        <f t="shared" ca="1" si="38"/>
        <v>0.11533892273120722</v>
      </c>
    </row>
    <row r="822" spans="12:16" s="23" customFormat="1" ht="13.8">
      <c r="L822" s="33">
        <v>819</v>
      </c>
      <c r="M822" s="23">
        <f ca="1"/>
        <v>47298.72316470994</v>
      </c>
      <c r="N822" s="25">
        <f t="shared" si="36"/>
        <v>244354.99000000005</v>
      </c>
      <c r="O822" s="25">
        <f t="shared" ca="1" si="37"/>
        <v>1</v>
      </c>
      <c r="P822" s="25">
        <f t="shared" ca="1" si="38"/>
        <v>0.80643438808141421</v>
      </c>
    </row>
    <row r="823" spans="12:16" s="23" customFormat="1" ht="13.8">
      <c r="L823" s="23">
        <v>820</v>
      </c>
      <c r="M823" s="23">
        <f ca="1"/>
        <v>84582.275208858555</v>
      </c>
      <c r="N823" s="25">
        <f t="shared" si="36"/>
        <v>244354.99000000005</v>
      </c>
      <c r="O823" s="25">
        <f t="shared" ca="1" si="37"/>
        <v>1</v>
      </c>
      <c r="P823" s="25">
        <f t="shared" ca="1" si="38"/>
        <v>0.65385492962980407</v>
      </c>
    </row>
    <row r="824" spans="12:16" s="23" customFormat="1" ht="13.8">
      <c r="L824" s="33">
        <v>821</v>
      </c>
      <c r="M824" s="23">
        <f ca="1"/>
        <v>29818.742917036278</v>
      </c>
      <c r="N824" s="25">
        <f t="shared" si="36"/>
        <v>244354.99000000005</v>
      </c>
      <c r="O824" s="25">
        <f t="shared" ca="1" si="37"/>
        <v>1</v>
      </c>
      <c r="P824" s="25">
        <f t="shared" ca="1" si="38"/>
        <v>0.87796957648773089</v>
      </c>
    </row>
    <row r="825" spans="12:16" s="23" customFormat="1" ht="13.8">
      <c r="L825" s="23">
        <v>822</v>
      </c>
      <c r="M825" s="23">
        <f ca="1"/>
        <v>79301.48777100179</v>
      </c>
      <c r="N825" s="25">
        <f t="shared" si="36"/>
        <v>244354.99000000005</v>
      </c>
      <c r="O825" s="25">
        <f t="shared" ca="1" si="37"/>
        <v>1</v>
      </c>
      <c r="P825" s="25">
        <f t="shared" ca="1" si="38"/>
        <v>0.67546605955948857</v>
      </c>
    </row>
    <row r="826" spans="12:16" s="23" customFormat="1" ht="13.8">
      <c r="L826" s="33">
        <v>823</v>
      </c>
      <c r="M826" s="23">
        <f ca="1"/>
        <v>57335.956819373125</v>
      </c>
      <c r="N826" s="25">
        <f t="shared" si="36"/>
        <v>244354.99000000005</v>
      </c>
      <c r="O826" s="25">
        <f t="shared" ca="1" si="37"/>
        <v>1</v>
      </c>
      <c r="P826" s="25">
        <f t="shared" ca="1" si="38"/>
        <v>0.7653579457519033</v>
      </c>
    </row>
    <row r="827" spans="12:16" s="23" customFormat="1" ht="13.8">
      <c r="L827" s="23">
        <v>824</v>
      </c>
      <c r="M827" s="23">
        <f ca="1"/>
        <v>119073.9260742847</v>
      </c>
      <c r="N827" s="25">
        <f t="shared" si="36"/>
        <v>244354.99000000005</v>
      </c>
      <c r="O827" s="25">
        <f t="shared" ca="1" si="37"/>
        <v>1</v>
      </c>
      <c r="P827" s="25">
        <f t="shared" ca="1" si="38"/>
        <v>0.51270106628767975</v>
      </c>
    </row>
    <row r="828" spans="12:16" s="23" customFormat="1" ht="13.8">
      <c r="L828" s="33">
        <v>825</v>
      </c>
      <c r="M828" s="23">
        <f ca="1"/>
        <v>150398.71032270856</v>
      </c>
      <c r="N828" s="25">
        <f t="shared" si="36"/>
        <v>244354.99000000005</v>
      </c>
      <c r="O828" s="25">
        <f t="shared" ca="1" si="37"/>
        <v>1</v>
      </c>
      <c r="P828" s="25">
        <f t="shared" ca="1" si="38"/>
        <v>0.38450730912960474</v>
      </c>
    </row>
    <row r="829" spans="12:16" s="23" customFormat="1" ht="13.8">
      <c r="L829" s="23">
        <v>826</v>
      </c>
      <c r="M829" s="23">
        <f ca="1"/>
        <v>33594.815280199917</v>
      </c>
      <c r="N829" s="25">
        <f t="shared" si="36"/>
        <v>244354.99000000005</v>
      </c>
      <c r="O829" s="25">
        <f t="shared" ca="1" si="37"/>
        <v>1</v>
      </c>
      <c r="P829" s="25">
        <f t="shared" ca="1" si="38"/>
        <v>0.86251635262206061</v>
      </c>
    </row>
    <row r="830" spans="12:16" s="23" customFormat="1" ht="13.8">
      <c r="L830" s="33">
        <v>827</v>
      </c>
      <c r="M830" s="23">
        <f ca="1"/>
        <v>-40301.249278644682</v>
      </c>
      <c r="N830" s="25">
        <f t="shared" si="36"/>
        <v>244354.99000000005</v>
      </c>
      <c r="O830" s="25">
        <f t="shared" ca="1" si="37"/>
        <v>1</v>
      </c>
      <c r="P830" s="25">
        <f t="shared" ca="1" si="38"/>
        <v>1.1649291028541904</v>
      </c>
    </row>
    <row r="831" spans="12:16" s="23" customFormat="1" ht="13.8">
      <c r="L831" s="23">
        <v>828</v>
      </c>
      <c r="M831" s="23">
        <f ca="1"/>
        <v>15755.346382266869</v>
      </c>
      <c r="N831" s="25">
        <f t="shared" si="36"/>
        <v>244354.99000000005</v>
      </c>
      <c r="O831" s="25">
        <f t="shared" ca="1" si="37"/>
        <v>1</v>
      </c>
      <c r="P831" s="25">
        <f t="shared" ca="1" si="38"/>
        <v>0.9355227147918409</v>
      </c>
    </row>
    <row r="832" spans="12:16" s="23" customFormat="1" ht="13.8">
      <c r="L832" s="33">
        <v>829</v>
      </c>
      <c r="M832" s="23">
        <f ca="1"/>
        <v>27280.665205275574</v>
      </c>
      <c r="N832" s="25">
        <f t="shared" si="36"/>
        <v>244354.99000000005</v>
      </c>
      <c r="O832" s="25">
        <f t="shared" ca="1" si="37"/>
        <v>1</v>
      </c>
      <c r="P832" s="25">
        <f t="shared" ca="1" si="38"/>
        <v>0.88835642273859206</v>
      </c>
    </row>
    <row r="833" spans="12:16" s="23" customFormat="1" ht="13.8">
      <c r="L833" s="23">
        <v>830</v>
      </c>
      <c r="M833" s="23">
        <f ca="1"/>
        <v>5734.5100984164383</v>
      </c>
      <c r="N833" s="25">
        <f t="shared" si="36"/>
        <v>244354.99000000005</v>
      </c>
      <c r="O833" s="25">
        <f t="shared" ca="1" si="37"/>
        <v>1</v>
      </c>
      <c r="P833" s="25">
        <f t="shared" ca="1" si="38"/>
        <v>0.976532052411058</v>
      </c>
    </row>
    <row r="834" spans="12:16" s="23" customFormat="1" ht="13.8">
      <c r="L834" s="33">
        <v>831</v>
      </c>
      <c r="M834" s="23">
        <f ca="1"/>
        <v>199358.93067850094</v>
      </c>
      <c r="N834" s="25">
        <f t="shared" si="36"/>
        <v>244354.99000000005</v>
      </c>
      <c r="O834" s="25">
        <f t="shared" ca="1" si="37"/>
        <v>1</v>
      </c>
      <c r="P834" s="25">
        <f t="shared" ca="1" si="38"/>
        <v>0.18414217496233287</v>
      </c>
    </row>
    <row r="835" spans="12:16" s="23" customFormat="1" ht="13.8">
      <c r="L835" s="23">
        <v>832</v>
      </c>
      <c r="M835" s="23">
        <f ca="1"/>
        <v>362689.36552883568</v>
      </c>
      <c r="N835" s="25">
        <f t="shared" si="36"/>
        <v>244354.99000000005</v>
      </c>
      <c r="O835" s="25">
        <f t="shared" ca="1" si="37"/>
        <v>0</v>
      </c>
      <c r="P835" s="25">
        <f t="shared" ca="1" si="38"/>
        <v>0</v>
      </c>
    </row>
    <row r="836" spans="12:16" s="23" customFormat="1" ht="13.8">
      <c r="L836" s="33">
        <v>833</v>
      </c>
      <c r="M836" s="23">
        <f ca="1"/>
        <v>213230.74404419115</v>
      </c>
      <c r="N836" s="25">
        <f t="shared" ref="N836:N899" si="39">($C$22+$E$22)*1.1</f>
        <v>244354.99000000005</v>
      </c>
      <c r="O836" s="25">
        <f t="shared" ca="1" si="37"/>
        <v>1</v>
      </c>
      <c r="P836" s="25">
        <f t="shared" ca="1" si="38"/>
        <v>0.12737307290433847</v>
      </c>
    </row>
    <row r="837" spans="12:16" s="23" customFormat="1" ht="13.8">
      <c r="L837" s="23">
        <v>834</v>
      </c>
      <c r="M837" s="23">
        <f ca="1"/>
        <v>223261.03041158331</v>
      </c>
      <c r="N837" s="25">
        <f t="shared" si="39"/>
        <v>244354.99000000005</v>
      </c>
      <c r="O837" s="25">
        <f t="shared" ref="O837:O900" ca="1" si="40">IF(M837&lt;N837,1,0)</f>
        <v>1</v>
      </c>
      <c r="P837" s="25">
        <f t="shared" ref="P837:P900" ca="1" si="41">MAX((N837-M837)/N837,0)</f>
        <v>8.632506169985206E-2</v>
      </c>
    </row>
    <row r="838" spans="12:16" s="23" customFormat="1" ht="13.8">
      <c r="L838" s="33">
        <v>835</v>
      </c>
      <c r="M838" s="23">
        <f ca="1"/>
        <v>154717.89438023607</v>
      </c>
      <c r="N838" s="25">
        <f t="shared" si="39"/>
        <v>244354.99000000005</v>
      </c>
      <c r="O838" s="25">
        <f t="shared" ca="1" si="40"/>
        <v>1</v>
      </c>
      <c r="P838" s="25">
        <f t="shared" ca="1" si="41"/>
        <v>0.36683145132319156</v>
      </c>
    </row>
    <row r="839" spans="12:16" s="23" customFormat="1" ht="13.8">
      <c r="L839" s="23">
        <v>836</v>
      </c>
      <c r="M839" s="23">
        <f ca="1"/>
        <v>145473.5563343321</v>
      </c>
      <c r="N839" s="25">
        <f t="shared" si="39"/>
        <v>244354.99000000005</v>
      </c>
      <c r="O839" s="25">
        <f t="shared" ca="1" si="40"/>
        <v>1</v>
      </c>
      <c r="P839" s="25">
        <f t="shared" ca="1" si="41"/>
        <v>0.40466304234535144</v>
      </c>
    </row>
    <row r="840" spans="12:16" s="23" customFormat="1" ht="13.8">
      <c r="L840" s="33">
        <v>837</v>
      </c>
      <c r="M840" s="23">
        <f ca="1"/>
        <v>83360.948123279508</v>
      </c>
      <c r="N840" s="25">
        <f t="shared" si="39"/>
        <v>244354.99000000005</v>
      </c>
      <c r="O840" s="25">
        <f t="shared" ca="1" si="40"/>
        <v>1</v>
      </c>
      <c r="P840" s="25">
        <f t="shared" ca="1" si="41"/>
        <v>0.65885309678644388</v>
      </c>
    </row>
    <row r="841" spans="12:16" s="23" customFormat="1" ht="13.8">
      <c r="L841" s="23">
        <v>838</v>
      </c>
      <c r="M841" s="23">
        <f ca="1"/>
        <v>147392.51253612377</v>
      </c>
      <c r="N841" s="25">
        <f t="shared" si="39"/>
        <v>244354.99000000005</v>
      </c>
      <c r="O841" s="25">
        <f t="shared" ca="1" si="40"/>
        <v>1</v>
      </c>
      <c r="P841" s="25">
        <f t="shared" ca="1" si="41"/>
        <v>0.39680989311442444</v>
      </c>
    </row>
    <row r="842" spans="12:16" s="23" customFormat="1" ht="13.8">
      <c r="L842" s="33">
        <v>839</v>
      </c>
      <c r="M842" s="23">
        <f ca="1"/>
        <v>-1624.7077224121165</v>
      </c>
      <c r="N842" s="25">
        <f t="shared" si="39"/>
        <v>244354.99000000005</v>
      </c>
      <c r="O842" s="25">
        <f t="shared" ca="1" si="40"/>
        <v>1</v>
      </c>
      <c r="P842" s="25">
        <f t="shared" ca="1" si="41"/>
        <v>1.0066489647803472</v>
      </c>
    </row>
    <row r="843" spans="12:16" s="23" customFormat="1" ht="13.8">
      <c r="L843" s="23">
        <v>840</v>
      </c>
      <c r="M843" s="23">
        <f ca="1"/>
        <v>350307.23474794795</v>
      </c>
      <c r="N843" s="25">
        <f t="shared" si="39"/>
        <v>244354.99000000005</v>
      </c>
      <c r="O843" s="25">
        <f t="shared" ca="1" si="40"/>
        <v>0</v>
      </c>
      <c r="P843" s="25">
        <f t="shared" ca="1" si="41"/>
        <v>0</v>
      </c>
    </row>
    <row r="844" spans="12:16" s="23" customFormat="1" ht="13.8">
      <c r="L844" s="33">
        <v>841</v>
      </c>
      <c r="M844" s="23">
        <f ca="1"/>
        <v>257545.60892788466</v>
      </c>
      <c r="N844" s="25">
        <f t="shared" si="39"/>
        <v>244354.99000000005</v>
      </c>
      <c r="O844" s="25">
        <f t="shared" ca="1" si="40"/>
        <v>0</v>
      </c>
      <c r="P844" s="25">
        <f t="shared" ca="1" si="41"/>
        <v>0</v>
      </c>
    </row>
    <row r="845" spans="12:16" s="23" customFormat="1" ht="13.8">
      <c r="L845" s="23">
        <v>842</v>
      </c>
      <c r="M845" s="23">
        <f ca="1"/>
        <v>21900.381669181505</v>
      </c>
      <c r="N845" s="25">
        <f t="shared" si="39"/>
        <v>244354.99000000005</v>
      </c>
      <c r="O845" s="25">
        <f t="shared" ca="1" si="40"/>
        <v>1</v>
      </c>
      <c r="P845" s="25">
        <f t="shared" ca="1" si="41"/>
        <v>0.91037473116803747</v>
      </c>
    </row>
    <row r="846" spans="12:16" s="23" customFormat="1" ht="13.8">
      <c r="L846" s="33">
        <v>843</v>
      </c>
      <c r="M846" s="23">
        <f ca="1"/>
        <v>226977.4535157349</v>
      </c>
      <c r="N846" s="25">
        <f t="shared" si="39"/>
        <v>244354.99000000005</v>
      </c>
      <c r="O846" s="25">
        <f t="shared" ca="1" si="40"/>
        <v>1</v>
      </c>
      <c r="P846" s="25">
        <f t="shared" ca="1" si="41"/>
        <v>7.1115946861838766E-2</v>
      </c>
    </row>
    <row r="847" spans="12:16" s="23" customFormat="1" ht="13.8">
      <c r="L847" s="23">
        <v>844</v>
      </c>
      <c r="M847" s="23">
        <f ca="1"/>
        <v>233997.33746583242</v>
      </c>
      <c r="N847" s="25">
        <f t="shared" si="39"/>
        <v>244354.99000000005</v>
      </c>
      <c r="O847" s="25">
        <f t="shared" ca="1" si="40"/>
        <v>1</v>
      </c>
      <c r="P847" s="25">
        <f t="shared" ca="1" si="41"/>
        <v>4.23877267010902E-2</v>
      </c>
    </row>
    <row r="848" spans="12:16" s="23" customFormat="1" ht="13.8">
      <c r="L848" s="33">
        <v>845</v>
      </c>
      <c r="M848" s="23">
        <f ca="1"/>
        <v>90832.898592108366</v>
      </c>
      <c r="N848" s="25">
        <f t="shared" si="39"/>
        <v>244354.99000000005</v>
      </c>
      <c r="O848" s="25">
        <f t="shared" ca="1" si="40"/>
        <v>1</v>
      </c>
      <c r="P848" s="25">
        <f t="shared" ca="1" si="41"/>
        <v>0.62827483657236405</v>
      </c>
    </row>
    <row r="849" spans="12:16" s="23" customFormat="1" ht="13.8">
      <c r="L849" s="23">
        <v>846</v>
      </c>
      <c r="M849" s="23">
        <f ca="1"/>
        <v>33383.791830646362</v>
      </c>
      <c r="N849" s="25">
        <f t="shared" si="39"/>
        <v>244354.99000000005</v>
      </c>
      <c r="O849" s="25">
        <f t="shared" ca="1" si="40"/>
        <v>1</v>
      </c>
      <c r="P849" s="25">
        <f t="shared" ca="1" si="41"/>
        <v>0.86337994640237814</v>
      </c>
    </row>
    <row r="850" spans="12:16" s="23" customFormat="1" ht="13.8">
      <c r="L850" s="33">
        <v>847</v>
      </c>
      <c r="M850" s="23">
        <f ca="1"/>
        <v>248591.53524202292</v>
      </c>
      <c r="N850" s="25">
        <f t="shared" si="39"/>
        <v>244354.99000000005</v>
      </c>
      <c r="O850" s="25">
        <f t="shared" ca="1" si="40"/>
        <v>0</v>
      </c>
      <c r="P850" s="25">
        <f t="shared" ca="1" si="41"/>
        <v>0</v>
      </c>
    </row>
    <row r="851" spans="12:16" s="23" customFormat="1" ht="13.8">
      <c r="L851" s="23">
        <v>848</v>
      </c>
      <c r="M851" s="23">
        <f ca="1"/>
        <v>62078.128708834098</v>
      </c>
      <c r="N851" s="25">
        <f t="shared" si="39"/>
        <v>244354.99000000005</v>
      </c>
      <c r="O851" s="25">
        <f t="shared" ca="1" si="40"/>
        <v>1</v>
      </c>
      <c r="P851" s="25">
        <f t="shared" ca="1" si="41"/>
        <v>0.74595104970504555</v>
      </c>
    </row>
    <row r="852" spans="12:16" s="23" customFormat="1" ht="13.8">
      <c r="L852" s="33">
        <v>849</v>
      </c>
      <c r="M852" s="23">
        <f ca="1"/>
        <v>196663.8469475233</v>
      </c>
      <c r="N852" s="25">
        <f t="shared" si="39"/>
        <v>244354.99000000005</v>
      </c>
      <c r="O852" s="25">
        <f t="shared" ca="1" si="40"/>
        <v>1</v>
      </c>
      <c r="P852" s="25">
        <f t="shared" ca="1" si="41"/>
        <v>0.19517155369929928</v>
      </c>
    </row>
    <row r="853" spans="12:16" s="23" customFormat="1" ht="13.8">
      <c r="L853" s="23">
        <v>850</v>
      </c>
      <c r="M853" s="23">
        <f ca="1"/>
        <v>63759.026038883916</v>
      </c>
      <c r="N853" s="25">
        <f t="shared" si="39"/>
        <v>244354.99000000005</v>
      </c>
      <c r="O853" s="25">
        <f t="shared" ca="1" si="40"/>
        <v>1</v>
      </c>
      <c r="P853" s="25">
        <f t="shared" ca="1" si="41"/>
        <v>0.73907213419752993</v>
      </c>
    </row>
    <row r="854" spans="12:16" s="23" customFormat="1" ht="13.8">
      <c r="L854" s="33">
        <v>851</v>
      </c>
      <c r="M854" s="23">
        <f ca="1"/>
        <v>-2148.7438890630665</v>
      </c>
      <c r="N854" s="25">
        <f t="shared" si="39"/>
        <v>244354.99000000005</v>
      </c>
      <c r="O854" s="25">
        <f t="shared" ca="1" si="40"/>
        <v>1</v>
      </c>
      <c r="P854" s="25">
        <f t="shared" ca="1" si="41"/>
        <v>1.0087935339035354</v>
      </c>
    </row>
    <row r="855" spans="12:16" s="23" customFormat="1" ht="13.8">
      <c r="L855" s="23">
        <v>852</v>
      </c>
      <c r="M855" s="23">
        <f ca="1"/>
        <v>293864.74588689161</v>
      </c>
      <c r="N855" s="25">
        <f t="shared" si="39"/>
        <v>244354.99000000005</v>
      </c>
      <c r="O855" s="25">
        <f t="shared" ca="1" si="40"/>
        <v>0</v>
      </c>
      <c r="P855" s="25">
        <f t="shared" ca="1" si="41"/>
        <v>0</v>
      </c>
    </row>
    <row r="856" spans="12:16" s="23" customFormat="1" ht="13.8">
      <c r="L856" s="33">
        <v>853</v>
      </c>
      <c r="M856" s="23">
        <f ca="1"/>
        <v>220933.74861981653</v>
      </c>
      <c r="N856" s="25">
        <f t="shared" si="39"/>
        <v>244354.99000000005</v>
      </c>
      <c r="O856" s="25">
        <f t="shared" ca="1" si="40"/>
        <v>1</v>
      </c>
      <c r="P856" s="25">
        <f t="shared" ca="1" si="41"/>
        <v>9.5849245313891551E-2</v>
      </c>
    </row>
    <row r="857" spans="12:16" s="23" customFormat="1" ht="13.8">
      <c r="L857" s="23">
        <v>854</v>
      </c>
      <c r="M857" s="23">
        <f ca="1"/>
        <v>244994.17226569762</v>
      </c>
      <c r="N857" s="25">
        <f t="shared" si="39"/>
        <v>244354.99000000005</v>
      </c>
      <c r="O857" s="25">
        <f t="shared" ca="1" si="40"/>
        <v>0</v>
      </c>
      <c r="P857" s="25">
        <f t="shared" ca="1" si="41"/>
        <v>0</v>
      </c>
    </row>
    <row r="858" spans="12:16" s="23" customFormat="1" ht="13.8">
      <c r="L858" s="33">
        <v>855</v>
      </c>
      <c r="M858" s="23">
        <f ca="1"/>
        <v>159196.85162215884</v>
      </c>
      <c r="N858" s="25">
        <f t="shared" si="39"/>
        <v>244354.99000000005</v>
      </c>
      <c r="O858" s="25">
        <f t="shared" ca="1" si="40"/>
        <v>1</v>
      </c>
      <c r="P858" s="25">
        <f t="shared" ca="1" si="41"/>
        <v>0.34850173666533757</v>
      </c>
    </row>
    <row r="859" spans="12:16" s="23" customFormat="1" ht="13.8">
      <c r="L859" s="23">
        <v>856</v>
      </c>
      <c r="M859" s="23">
        <f ca="1"/>
        <v>239160.28005782192</v>
      </c>
      <c r="N859" s="25">
        <f t="shared" si="39"/>
        <v>244354.99000000005</v>
      </c>
      <c r="O859" s="25">
        <f t="shared" ca="1" si="40"/>
        <v>1</v>
      </c>
      <c r="P859" s="25">
        <f t="shared" ca="1" si="41"/>
        <v>2.1258865809035167E-2</v>
      </c>
    </row>
    <row r="860" spans="12:16" s="23" customFormat="1" ht="13.8">
      <c r="L860" s="33">
        <v>857</v>
      </c>
      <c r="M860" s="23">
        <f ca="1"/>
        <v>64522.643908588951</v>
      </c>
      <c r="N860" s="25">
        <f t="shared" si="39"/>
        <v>244354.99000000005</v>
      </c>
      <c r="O860" s="25">
        <f t="shared" ca="1" si="40"/>
        <v>1</v>
      </c>
      <c r="P860" s="25">
        <f t="shared" ca="1" si="41"/>
        <v>0.73594709930585445</v>
      </c>
    </row>
    <row r="861" spans="12:16" s="23" customFormat="1" ht="13.8">
      <c r="L861" s="23">
        <v>858</v>
      </c>
      <c r="M861" s="23">
        <f ca="1"/>
        <v>37936.189981691205</v>
      </c>
      <c r="N861" s="25">
        <f t="shared" si="39"/>
        <v>244354.99000000005</v>
      </c>
      <c r="O861" s="25">
        <f t="shared" ca="1" si="40"/>
        <v>1</v>
      </c>
      <c r="P861" s="25">
        <f t="shared" ca="1" si="41"/>
        <v>0.84474968167545428</v>
      </c>
    </row>
    <row r="862" spans="12:16" s="23" customFormat="1" ht="13.8">
      <c r="L862" s="33">
        <v>859</v>
      </c>
      <c r="M862" s="23">
        <f ca="1"/>
        <v>163422.30020143485</v>
      </c>
      <c r="N862" s="25">
        <f t="shared" si="39"/>
        <v>244354.99000000005</v>
      </c>
      <c r="O862" s="25">
        <f t="shared" ca="1" si="40"/>
        <v>1</v>
      </c>
      <c r="P862" s="25">
        <f t="shared" ca="1" si="41"/>
        <v>0.33120948255881816</v>
      </c>
    </row>
    <row r="863" spans="12:16" s="23" customFormat="1" ht="13.8">
      <c r="L863" s="23">
        <v>860</v>
      </c>
      <c r="M863" s="23">
        <f ca="1"/>
        <v>145434.64380784711</v>
      </c>
      <c r="N863" s="25">
        <f t="shared" si="39"/>
        <v>244354.99000000005</v>
      </c>
      <c r="O863" s="25">
        <f t="shared" ca="1" si="40"/>
        <v>1</v>
      </c>
      <c r="P863" s="25">
        <f t="shared" ca="1" si="41"/>
        <v>0.40482228822973054</v>
      </c>
    </row>
    <row r="864" spans="12:16" s="23" customFormat="1" ht="13.8">
      <c r="L864" s="33">
        <v>861</v>
      </c>
      <c r="M864" s="23">
        <f ca="1"/>
        <v>-122608.44453639108</v>
      </c>
      <c r="N864" s="25">
        <f t="shared" si="39"/>
        <v>244354.99000000005</v>
      </c>
      <c r="O864" s="25">
        <f t="shared" ca="1" si="40"/>
        <v>1</v>
      </c>
      <c r="P864" s="25">
        <f t="shared" ca="1" si="41"/>
        <v>1.5017636207731671</v>
      </c>
    </row>
    <row r="865" spans="12:16" s="23" customFormat="1" ht="13.8">
      <c r="L865" s="23">
        <v>862</v>
      </c>
      <c r="M865" s="23">
        <f ca="1"/>
        <v>15810.465860012455</v>
      </c>
      <c r="N865" s="25">
        <f t="shared" si="39"/>
        <v>244354.99000000005</v>
      </c>
      <c r="O865" s="25">
        <f t="shared" ca="1" si="40"/>
        <v>1</v>
      </c>
      <c r="P865" s="25">
        <f t="shared" ca="1" si="41"/>
        <v>0.93529714347142057</v>
      </c>
    </row>
    <row r="866" spans="12:16" s="23" customFormat="1" ht="13.8">
      <c r="L866" s="33">
        <v>863</v>
      </c>
      <c r="M866" s="23">
        <f ca="1"/>
        <v>319136.34297055891</v>
      </c>
      <c r="N866" s="25">
        <f t="shared" si="39"/>
        <v>244354.99000000005</v>
      </c>
      <c r="O866" s="25">
        <f t="shared" ca="1" si="40"/>
        <v>0</v>
      </c>
      <c r="P866" s="25">
        <f t="shared" ca="1" si="41"/>
        <v>0</v>
      </c>
    </row>
    <row r="867" spans="12:16" s="23" customFormat="1" ht="13.8">
      <c r="L867" s="23">
        <v>864</v>
      </c>
      <c r="M867" s="23">
        <f ca="1"/>
        <v>85012.280753128187</v>
      </c>
      <c r="N867" s="25">
        <f t="shared" si="39"/>
        <v>244354.99000000005</v>
      </c>
      <c r="O867" s="25">
        <f t="shared" ca="1" si="40"/>
        <v>1</v>
      </c>
      <c r="P867" s="25">
        <f t="shared" ca="1" si="41"/>
        <v>0.65209517205632606</v>
      </c>
    </row>
    <row r="868" spans="12:16" s="23" customFormat="1" ht="13.8">
      <c r="L868" s="33">
        <v>865</v>
      </c>
      <c r="M868" s="23">
        <f ca="1"/>
        <v>103161.1753349893</v>
      </c>
      <c r="N868" s="25">
        <f t="shared" si="39"/>
        <v>244354.99000000005</v>
      </c>
      <c r="O868" s="25">
        <f t="shared" ca="1" si="40"/>
        <v>1</v>
      </c>
      <c r="P868" s="25">
        <f t="shared" ca="1" si="41"/>
        <v>0.57782251414227603</v>
      </c>
    </row>
    <row r="869" spans="12:16" s="23" customFormat="1" ht="13.8">
      <c r="L869" s="23">
        <v>866</v>
      </c>
      <c r="M869" s="23">
        <f ca="1"/>
        <v>238739.66062440633</v>
      </c>
      <c r="N869" s="25">
        <f t="shared" si="39"/>
        <v>244354.99000000005</v>
      </c>
      <c r="O869" s="25">
        <f t="shared" ca="1" si="40"/>
        <v>1</v>
      </c>
      <c r="P869" s="25">
        <f t="shared" ca="1" si="41"/>
        <v>2.2980211599500047E-2</v>
      </c>
    </row>
    <row r="870" spans="12:16" s="23" customFormat="1" ht="13.8">
      <c r="L870" s="33">
        <v>867</v>
      </c>
      <c r="M870" s="23">
        <f ca="1"/>
        <v>131173.20471892075</v>
      </c>
      <c r="N870" s="25">
        <f t="shared" si="39"/>
        <v>244354.99000000005</v>
      </c>
      <c r="O870" s="25">
        <f t="shared" ca="1" si="40"/>
        <v>1</v>
      </c>
      <c r="P870" s="25">
        <f t="shared" ca="1" si="41"/>
        <v>0.46318589721077225</v>
      </c>
    </row>
    <row r="871" spans="12:16" s="23" customFormat="1" ht="13.8">
      <c r="L871" s="23">
        <v>868</v>
      </c>
      <c r="M871" s="23">
        <f ca="1"/>
        <v>226246.72398231845</v>
      </c>
      <c r="N871" s="25">
        <f t="shared" si="39"/>
        <v>244354.99000000005</v>
      </c>
      <c r="O871" s="25">
        <f t="shared" ca="1" si="40"/>
        <v>1</v>
      </c>
      <c r="P871" s="25">
        <f t="shared" ca="1" si="41"/>
        <v>7.4106389305500148E-2</v>
      </c>
    </row>
    <row r="872" spans="12:16" s="23" customFormat="1" ht="13.8">
      <c r="L872" s="33">
        <v>869</v>
      </c>
      <c r="M872" s="23">
        <f ca="1"/>
        <v>143723.54897333769</v>
      </c>
      <c r="N872" s="25">
        <f t="shared" si="39"/>
        <v>244354.99000000005</v>
      </c>
      <c r="O872" s="25">
        <f t="shared" ca="1" si="40"/>
        <v>1</v>
      </c>
      <c r="P872" s="25">
        <f t="shared" ca="1" si="41"/>
        <v>0.41182478420703561</v>
      </c>
    </row>
    <row r="873" spans="12:16" s="23" customFormat="1" ht="13.8">
      <c r="L873" s="23">
        <v>870</v>
      </c>
      <c r="M873" s="23">
        <f ca="1"/>
        <v>104321.97453580068</v>
      </c>
      <c r="N873" s="25">
        <f t="shared" si="39"/>
        <v>244354.99000000005</v>
      </c>
      <c r="O873" s="25">
        <f t="shared" ca="1" si="40"/>
        <v>1</v>
      </c>
      <c r="P873" s="25">
        <f t="shared" ca="1" si="41"/>
        <v>0.57307205170722864</v>
      </c>
    </row>
    <row r="874" spans="12:16" s="23" customFormat="1" ht="13.8">
      <c r="L874" s="33">
        <v>871</v>
      </c>
      <c r="M874" s="23">
        <f ca="1"/>
        <v>219961.97057516893</v>
      </c>
      <c r="N874" s="25">
        <f t="shared" si="39"/>
        <v>244354.99000000005</v>
      </c>
      <c r="O874" s="25">
        <f t="shared" ca="1" si="40"/>
        <v>1</v>
      </c>
      <c r="P874" s="25">
        <f t="shared" ca="1" si="41"/>
        <v>9.9826156301662236E-2</v>
      </c>
    </row>
    <row r="875" spans="12:16" s="23" customFormat="1" ht="13.8">
      <c r="L875" s="23">
        <v>872</v>
      </c>
      <c r="M875" s="23">
        <f ca="1"/>
        <v>307985.00410157151</v>
      </c>
      <c r="N875" s="25">
        <f t="shared" si="39"/>
        <v>244354.99000000005</v>
      </c>
      <c r="O875" s="25">
        <f t="shared" ca="1" si="40"/>
        <v>0</v>
      </c>
      <c r="P875" s="25">
        <f t="shared" ca="1" si="41"/>
        <v>0</v>
      </c>
    </row>
    <row r="876" spans="12:16" s="23" customFormat="1" ht="13.8">
      <c r="L876" s="33">
        <v>873</v>
      </c>
      <c r="M876" s="23">
        <f ca="1"/>
        <v>39178.487861127382</v>
      </c>
      <c r="N876" s="25">
        <f t="shared" si="39"/>
        <v>244354.99000000005</v>
      </c>
      <c r="O876" s="25">
        <f t="shared" ca="1" si="40"/>
        <v>1</v>
      </c>
      <c r="P876" s="25">
        <f t="shared" ca="1" si="41"/>
        <v>0.83966569350137932</v>
      </c>
    </row>
    <row r="877" spans="12:16" s="23" customFormat="1" ht="13.8">
      <c r="L877" s="23">
        <v>874</v>
      </c>
      <c r="M877" s="23">
        <f ca="1"/>
        <v>293053.14601967362</v>
      </c>
      <c r="N877" s="25">
        <f t="shared" si="39"/>
        <v>244354.99000000005</v>
      </c>
      <c r="O877" s="25">
        <f t="shared" ca="1" si="40"/>
        <v>0</v>
      </c>
      <c r="P877" s="25">
        <f t="shared" ca="1" si="41"/>
        <v>0</v>
      </c>
    </row>
    <row r="878" spans="12:16" s="23" customFormat="1" ht="13.8">
      <c r="L878" s="33">
        <v>875</v>
      </c>
      <c r="M878" s="23">
        <f ca="1"/>
        <v>116676.29146222098</v>
      </c>
      <c r="N878" s="25">
        <f t="shared" si="39"/>
        <v>244354.99000000005</v>
      </c>
      <c r="O878" s="25">
        <f t="shared" ca="1" si="40"/>
        <v>1</v>
      </c>
      <c r="P878" s="25">
        <f t="shared" ca="1" si="41"/>
        <v>0.52251316225536892</v>
      </c>
    </row>
    <row r="879" spans="12:16" s="23" customFormat="1" ht="13.8">
      <c r="L879" s="23">
        <v>876</v>
      </c>
      <c r="M879" s="23">
        <f ca="1"/>
        <v>19925.688615520819</v>
      </c>
      <c r="N879" s="25">
        <f t="shared" si="39"/>
        <v>244354.99000000005</v>
      </c>
      <c r="O879" s="25">
        <f t="shared" ca="1" si="40"/>
        <v>1</v>
      </c>
      <c r="P879" s="25">
        <f t="shared" ca="1" si="41"/>
        <v>0.91845597826538827</v>
      </c>
    </row>
    <row r="880" spans="12:16" s="23" customFormat="1" ht="13.8">
      <c r="L880" s="33">
        <v>877</v>
      </c>
      <c r="M880" s="23">
        <f ca="1"/>
        <v>35106.072026574584</v>
      </c>
      <c r="N880" s="25">
        <f t="shared" si="39"/>
        <v>244354.99000000005</v>
      </c>
      <c r="O880" s="25">
        <f t="shared" ca="1" si="40"/>
        <v>1</v>
      </c>
      <c r="P880" s="25">
        <f t="shared" ca="1" si="41"/>
        <v>0.85633167537698096</v>
      </c>
    </row>
    <row r="881" spans="12:16" s="23" customFormat="1" ht="13.8">
      <c r="L881" s="23">
        <v>878</v>
      </c>
      <c r="M881" s="23">
        <f ca="1"/>
        <v>164033.21675873504</v>
      </c>
      <c r="N881" s="25">
        <f t="shared" si="39"/>
        <v>244354.99000000005</v>
      </c>
      <c r="O881" s="25">
        <f t="shared" ca="1" si="40"/>
        <v>1</v>
      </c>
      <c r="P881" s="25">
        <f t="shared" ca="1" si="41"/>
        <v>0.3287093635422178</v>
      </c>
    </row>
    <row r="882" spans="12:16" s="23" customFormat="1" ht="13.8">
      <c r="L882" s="33">
        <v>879</v>
      </c>
      <c r="M882" s="23">
        <f ca="1"/>
        <v>10006.165879521155</v>
      </c>
      <c r="N882" s="25">
        <f t="shared" si="39"/>
        <v>244354.99000000005</v>
      </c>
      <c r="O882" s="25">
        <f t="shared" ca="1" si="40"/>
        <v>1</v>
      </c>
      <c r="P882" s="25">
        <f t="shared" ca="1" si="41"/>
        <v>0.95905069964185641</v>
      </c>
    </row>
    <row r="883" spans="12:16" s="23" customFormat="1" ht="13.8">
      <c r="L883" s="23">
        <v>880</v>
      </c>
      <c r="M883" s="23">
        <f ca="1"/>
        <v>94487.646275963547</v>
      </c>
      <c r="N883" s="25">
        <f t="shared" si="39"/>
        <v>244354.99000000005</v>
      </c>
      <c r="O883" s="25">
        <f t="shared" ca="1" si="40"/>
        <v>1</v>
      </c>
      <c r="P883" s="25">
        <f t="shared" ca="1" si="41"/>
        <v>0.61331812263803764</v>
      </c>
    </row>
    <row r="884" spans="12:16" s="23" customFormat="1" ht="13.8">
      <c r="L884" s="33">
        <v>881</v>
      </c>
      <c r="M884" s="23">
        <f ca="1"/>
        <v>223317.06987312189</v>
      </c>
      <c r="N884" s="25">
        <f t="shared" si="39"/>
        <v>244354.99000000005</v>
      </c>
      <c r="O884" s="25">
        <f t="shared" ca="1" si="40"/>
        <v>1</v>
      </c>
      <c r="P884" s="25">
        <f t="shared" ca="1" si="41"/>
        <v>8.6095725431586875E-2</v>
      </c>
    </row>
    <row r="885" spans="12:16" s="23" customFormat="1" ht="13.8">
      <c r="L885" s="23">
        <v>882</v>
      </c>
      <c r="M885" s="23">
        <f ca="1"/>
        <v>161184.75205686962</v>
      </c>
      <c r="N885" s="25">
        <f t="shared" si="39"/>
        <v>244354.99000000005</v>
      </c>
      <c r="O885" s="25">
        <f t="shared" ca="1" si="40"/>
        <v>1</v>
      </c>
      <c r="P885" s="25">
        <f t="shared" ca="1" si="41"/>
        <v>0.34036643959319357</v>
      </c>
    </row>
    <row r="886" spans="12:16" s="23" customFormat="1" ht="13.8">
      <c r="L886" s="33">
        <v>883</v>
      </c>
      <c r="M886" s="23">
        <f ca="1"/>
        <v>25568.256322209796</v>
      </c>
      <c r="N886" s="25">
        <f t="shared" si="39"/>
        <v>244354.99000000005</v>
      </c>
      <c r="O886" s="25">
        <f t="shared" ca="1" si="40"/>
        <v>1</v>
      </c>
      <c r="P886" s="25">
        <f t="shared" ca="1" si="41"/>
        <v>0.89536429633702275</v>
      </c>
    </row>
    <row r="887" spans="12:16" s="23" customFormat="1" ht="13.8">
      <c r="L887" s="23">
        <v>884</v>
      </c>
      <c r="M887" s="23">
        <f ca="1"/>
        <v>182110.65895828494</v>
      </c>
      <c r="N887" s="25">
        <f t="shared" si="39"/>
        <v>244354.99000000005</v>
      </c>
      <c r="O887" s="25">
        <f t="shared" ca="1" si="40"/>
        <v>1</v>
      </c>
      <c r="P887" s="25">
        <f t="shared" ca="1" si="41"/>
        <v>0.25472911783677959</v>
      </c>
    </row>
    <row r="888" spans="12:16" s="23" customFormat="1" ht="13.8">
      <c r="L888" s="33">
        <v>885</v>
      </c>
      <c r="M888" s="23">
        <f ca="1"/>
        <v>230159.92536378294</v>
      </c>
      <c r="N888" s="25">
        <f t="shared" si="39"/>
        <v>244354.99000000005</v>
      </c>
      <c r="O888" s="25">
        <f t="shared" ca="1" si="40"/>
        <v>1</v>
      </c>
      <c r="P888" s="25">
        <f t="shared" ca="1" si="41"/>
        <v>5.8091977725591389E-2</v>
      </c>
    </row>
    <row r="889" spans="12:16" s="23" customFormat="1" ht="13.8">
      <c r="L889" s="23">
        <v>886</v>
      </c>
      <c r="M889" s="23">
        <f ca="1"/>
        <v>42805.738919386553</v>
      </c>
      <c r="N889" s="25">
        <f t="shared" si="39"/>
        <v>244354.99000000005</v>
      </c>
      <c r="O889" s="25">
        <f t="shared" ca="1" si="40"/>
        <v>1</v>
      </c>
      <c r="P889" s="25">
        <f t="shared" ca="1" si="41"/>
        <v>0.82482150694206591</v>
      </c>
    </row>
    <row r="890" spans="12:16" s="23" customFormat="1" ht="13.8">
      <c r="L890" s="33">
        <v>887</v>
      </c>
      <c r="M890" s="23">
        <f ca="1"/>
        <v>293096.56098083354</v>
      </c>
      <c r="N890" s="25">
        <f t="shared" si="39"/>
        <v>244354.99000000005</v>
      </c>
      <c r="O890" s="25">
        <f t="shared" ca="1" si="40"/>
        <v>0</v>
      </c>
      <c r="P890" s="25">
        <f t="shared" ca="1" si="41"/>
        <v>0</v>
      </c>
    </row>
    <row r="891" spans="12:16" s="23" customFormat="1" ht="13.8">
      <c r="L891" s="23">
        <v>888</v>
      </c>
      <c r="M891" s="23">
        <f ca="1"/>
        <v>-92743.240838860016</v>
      </c>
      <c r="N891" s="25">
        <f t="shared" si="39"/>
        <v>244354.99000000005</v>
      </c>
      <c r="O891" s="25">
        <f t="shared" ca="1" si="40"/>
        <v>1</v>
      </c>
      <c r="P891" s="25">
        <f t="shared" ca="1" si="41"/>
        <v>1.3795430608511821</v>
      </c>
    </row>
    <row r="892" spans="12:16" s="23" customFormat="1" ht="13.8">
      <c r="L892" s="33">
        <v>889</v>
      </c>
      <c r="M892" s="23">
        <f ca="1"/>
        <v>99050.537227397625</v>
      </c>
      <c r="N892" s="25">
        <f t="shared" si="39"/>
        <v>244354.99000000005</v>
      </c>
      <c r="O892" s="25">
        <f t="shared" ca="1" si="40"/>
        <v>1</v>
      </c>
      <c r="P892" s="25">
        <f t="shared" ca="1" si="41"/>
        <v>0.59464491710442424</v>
      </c>
    </row>
    <row r="893" spans="12:16" s="23" customFormat="1" ht="13.8">
      <c r="L893" s="23">
        <v>890</v>
      </c>
      <c r="M893" s="23">
        <f ca="1"/>
        <v>140072.94342233625</v>
      </c>
      <c r="N893" s="25">
        <f t="shared" si="39"/>
        <v>244354.99000000005</v>
      </c>
      <c r="O893" s="25">
        <f t="shared" ca="1" si="40"/>
        <v>1</v>
      </c>
      <c r="P893" s="25">
        <f t="shared" ca="1" si="41"/>
        <v>0.42676454684908943</v>
      </c>
    </row>
    <row r="894" spans="12:16" s="23" customFormat="1" ht="13.8">
      <c r="L894" s="33">
        <v>891</v>
      </c>
      <c r="M894" s="23">
        <f ca="1"/>
        <v>53652.005206861722</v>
      </c>
      <c r="N894" s="25">
        <f t="shared" si="39"/>
        <v>244354.99000000005</v>
      </c>
      <c r="O894" s="25">
        <f t="shared" ca="1" si="40"/>
        <v>1</v>
      </c>
      <c r="P894" s="25">
        <f t="shared" ca="1" si="41"/>
        <v>0.78043417403973747</v>
      </c>
    </row>
    <row r="895" spans="12:16" s="23" customFormat="1" ht="13.8">
      <c r="L895" s="23">
        <v>892</v>
      </c>
      <c r="M895" s="23">
        <f ca="1"/>
        <v>157224.17852459798</v>
      </c>
      <c r="N895" s="25">
        <f t="shared" si="39"/>
        <v>244354.99000000005</v>
      </c>
      <c r="O895" s="25">
        <f t="shared" ca="1" si="40"/>
        <v>1</v>
      </c>
      <c r="P895" s="25">
        <f t="shared" ca="1" si="41"/>
        <v>0.35657471728079726</v>
      </c>
    </row>
    <row r="896" spans="12:16" s="23" customFormat="1" ht="13.8">
      <c r="L896" s="33">
        <v>893</v>
      </c>
      <c r="M896" s="23">
        <f ca="1"/>
        <v>229357.88638653551</v>
      </c>
      <c r="N896" s="25">
        <f t="shared" si="39"/>
        <v>244354.99000000005</v>
      </c>
      <c r="O896" s="25">
        <f t="shared" ca="1" si="40"/>
        <v>1</v>
      </c>
      <c r="P896" s="25">
        <f t="shared" ca="1" si="41"/>
        <v>6.1374247415469346E-2</v>
      </c>
    </row>
    <row r="897" spans="12:16" s="23" customFormat="1" ht="13.8">
      <c r="L897" s="23">
        <v>894</v>
      </c>
      <c r="M897" s="23">
        <f ca="1"/>
        <v>337802.20980118145</v>
      </c>
      <c r="N897" s="25">
        <f t="shared" si="39"/>
        <v>244354.99000000005</v>
      </c>
      <c r="O897" s="25">
        <f t="shared" ca="1" si="40"/>
        <v>0</v>
      </c>
      <c r="P897" s="25">
        <f t="shared" ca="1" si="41"/>
        <v>0</v>
      </c>
    </row>
    <row r="898" spans="12:16" s="23" customFormat="1" ht="13.8">
      <c r="L898" s="33">
        <v>895</v>
      </c>
      <c r="M898" s="23">
        <f ca="1"/>
        <v>132306.09193513749</v>
      </c>
      <c r="N898" s="25">
        <f t="shared" si="39"/>
        <v>244354.99000000005</v>
      </c>
      <c r="O898" s="25">
        <f t="shared" ca="1" si="40"/>
        <v>1</v>
      </c>
      <c r="P898" s="25">
        <f t="shared" ca="1" si="41"/>
        <v>0.45854966196868963</v>
      </c>
    </row>
    <row r="899" spans="12:16" s="23" customFormat="1" ht="13.8">
      <c r="L899" s="23">
        <v>896</v>
      </c>
      <c r="M899" s="23">
        <f ca="1"/>
        <v>144018.00260645786</v>
      </c>
      <c r="N899" s="25">
        <f t="shared" si="39"/>
        <v>244354.99000000005</v>
      </c>
      <c r="O899" s="25">
        <f t="shared" ca="1" si="40"/>
        <v>1</v>
      </c>
      <c r="P899" s="25">
        <f t="shared" ca="1" si="41"/>
        <v>0.41061976018391183</v>
      </c>
    </row>
    <row r="900" spans="12:16" s="23" customFormat="1" ht="13.8">
      <c r="L900" s="33">
        <v>897</v>
      </c>
      <c r="M900" s="23">
        <f ca="1"/>
        <v>-1990.5978350345943</v>
      </c>
      <c r="N900" s="25">
        <f t="shared" ref="N900:N963" si="42">($C$22+$E$22)*1.1</f>
        <v>244354.99000000005</v>
      </c>
      <c r="O900" s="25">
        <f t="shared" ca="1" si="40"/>
        <v>1</v>
      </c>
      <c r="P900" s="25">
        <f t="shared" ca="1" si="41"/>
        <v>1.008146335931321</v>
      </c>
    </row>
    <row r="901" spans="12:16" s="23" customFormat="1" ht="13.8">
      <c r="L901" s="23">
        <v>898</v>
      </c>
      <c r="M901" s="23">
        <f ca="1"/>
        <v>301077.57404265658</v>
      </c>
      <c r="N901" s="25">
        <f t="shared" si="42"/>
        <v>244354.99000000005</v>
      </c>
      <c r="O901" s="25">
        <f t="shared" ref="O901:O964" ca="1" si="43">IF(M901&lt;N901,1,0)</f>
        <v>0</v>
      </c>
      <c r="P901" s="25">
        <f t="shared" ref="P901:P964" ca="1" si="44">MAX((N901-M901)/N901,0)</f>
        <v>0</v>
      </c>
    </row>
    <row r="902" spans="12:16" s="23" customFormat="1" ht="13.8">
      <c r="L902" s="33">
        <v>899</v>
      </c>
      <c r="M902" s="23">
        <f ca="1"/>
        <v>39207.765012270735</v>
      </c>
      <c r="N902" s="25">
        <f t="shared" si="42"/>
        <v>244354.99000000005</v>
      </c>
      <c r="O902" s="25">
        <f t="shared" ca="1" si="43"/>
        <v>1</v>
      </c>
      <c r="P902" s="25">
        <f t="shared" ca="1" si="44"/>
        <v>0.83954587949167425</v>
      </c>
    </row>
    <row r="903" spans="12:16" s="23" customFormat="1" ht="13.8">
      <c r="L903" s="23">
        <v>900</v>
      </c>
      <c r="M903" s="23">
        <f ca="1"/>
        <v>71002.837712812674</v>
      </c>
      <c r="N903" s="25">
        <f t="shared" si="42"/>
        <v>244354.99000000005</v>
      </c>
      <c r="O903" s="25">
        <f t="shared" ca="1" si="43"/>
        <v>1</v>
      </c>
      <c r="P903" s="25">
        <f t="shared" ca="1" si="44"/>
        <v>0.70942751071785903</v>
      </c>
    </row>
    <row r="904" spans="12:16" s="23" customFormat="1" ht="13.8">
      <c r="L904" s="33">
        <v>901</v>
      </c>
      <c r="M904" s="23">
        <f ca="1"/>
        <v>64669.696934594576</v>
      </c>
      <c r="N904" s="25">
        <f t="shared" si="42"/>
        <v>244354.99000000005</v>
      </c>
      <c r="O904" s="25">
        <f t="shared" ca="1" si="43"/>
        <v>1</v>
      </c>
      <c r="P904" s="25">
        <f t="shared" ca="1" si="44"/>
        <v>0.73534529851592323</v>
      </c>
    </row>
    <row r="905" spans="12:16" s="23" customFormat="1" ht="13.8">
      <c r="L905" s="23">
        <v>902</v>
      </c>
      <c r="M905" s="23">
        <f ca="1"/>
        <v>149017.72135707113</v>
      </c>
      <c r="N905" s="25">
        <f t="shared" si="42"/>
        <v>244354.99000000005</v>
      </c>
      <c r="O905" s="25">
        <f t="shared" ca="1" si="43"/>
        <v>1</v>
      </c>
      <c r="P905" s="25">
        <f t="shared" ca="1" si="44"/>
        <v>0.39015887763507057</v>
      </c>
    </row>
    <row r="906" spans="12:16" s="23" customFormat="1" ht="13.8">
      <c r="L906" s="33">
        <v>903</v>
      </c>
      <c r="M906" s="23">
        <f ca="1"/>
        <v>144484.03328632677</v>
      </c>
      <c r="N906" s="25">
        <f t="shared" si="42"/>
        <v>244354.99000000005</v>
      </c>
      <c r="O906" s="25">
        <f t="shared" ca="1" si="43"/>
        <v>1</v>
      </c>
      <c r="P906" s="25">
        <f t="shared" ca="1" si="44"/>
        <v>0.40871257310388159</v>
      </c>
    </row>
    <row r="907" spans="12:16" s="23" customFormat="1" ht="13.8">
      <c r="L907" s="23">
        <v>904</v>
      </c>
      <c r="M907" s="23">
        <f ca="1"/>
        <v>162890.22565440449</v>
      </c>
      <c r="N907" s="25">
        <f t="shared" si="42"/>
        <v>244354.99000000005</v>
      </c>
      <c r="O907" s="25">
        <f t="shared" ca="1" si="43"/>
        <v>1</v>
      </c>
      <c r="P907" s="25">
        <f t="shared" ca="1" si="44"/>
        <v>0.33338694800378554</v>
      </c>
    </row>
    <row r="908" spans="12:16" s="23" customFormat="1" ht="13.8">
      <c r="L908" s="33">
        <v>905</v>
      </c>
      <c r="M908" s="23">
        <f ca="1"/>
        <v>70406.735015751707</v>
      </c>
      <c r="N908" s="25">
        <f t="shared" si="42"/>
        <v>244354.99000000005</v>
      </c>
      <c r="O908" s="25">
        <f t="shared" ca="1" si="43"/>
        <v>1</v>
      </c>
      <c r="P908" s="25">
        <f t="shared" ca="1" si="44"/>
        <v>0.71186700539345771</v>
      </c>
    </row>
    <row r="909" spans="12:16" s="23" customFormat="1" ht="13.8">
      <c r="L909" s="23">
        <v>906</v>
      </c>
      <c r="M909" s="23">
        <f ca="1"/>
        <v>79429.824795127424</v>
      </c>
      <c r="N909" s="25">
        <f t="shared" si="42"/>
        <v>244354.99000000005</v>
      </c>
      <c r="O909" s="25">
        <f t="shared" ca="1" si="43"/>
        <v>1</v>
      </c>
      <c r="P909" s="25">
        <f t="shared" ca="1" si="44"/>
        <v>0.67494085226118183</v>
      </c>
    </row>
    <row r="910" spans="12:16" s="23" customFormat="1" ht="13.8">
      <c r="L910" s="33">
        <v>907</v>
      </c>
      <c r="M910" s="23">
        <f ca="1"/>
        <v>146267.61149665408</v>
      </c>
      <c r="N910" s="25">
        <f t="shared" si="42"/>
        <v>244354.99000000005</v>
      </c>
      <c r="O910" s="25">
        <f t="shared" ca="1" si="43"/>
        <v>1</v>
      </c>
      <c r="P910" s="25">
        <f t="shared" ca="1" si="44"/>
        <v>0.40141344567322301</v>
      </c>
    </row>
    <row r="911" spans="12:16" s="23" customFormat="1" ht="13.8">
      <c r="L911" s="23">
        <v>908</v>
      </c>
      <c r="M911" s="23">
        <f ca="1"/>
        <v>136553.84030894437</v>
      </c>
      <c r="N911" s="25">
        <f t="shared" si="42"/>
        <v>244354.99000000005</v>
      </c>
      <c r="O911" s="25">
        <f t="shared" ca="1" si="43"/>
        <v>1</v>
      </c>
      <c r="P911" s="25">
        <f t="shared" ca="1" si="44"/>
        <v>0.44116614803346416</v>
      </c>
    </row>
    <row r="912" spans="12:16" s="23" customFormat="1" ht="13.8">
      <c r="L912" s="33">
        <v>909</v>
      </c>
      <c r="M912" s="23">
        <f ca="1"/>
        <v>150522.55063940244</v>
      </c>
      <c r="N912" s="25">
        <f t="shared" si="42"/>
        <v>244354.99000000005</v>
      </c>
      <c r="O912" s="25">
        <f t="shared" ca="1" si="43"/>
        <v>1</v>
      </c>
      <c r="P912" s="25">
        <f t="shared" ca="1" si="44"/>
        <v>0.38400050418695192</v>
      </c>
    </row>
    <row r="913" spans="12:16" s="23" customFormat="1" ht="13.8">
      <c r="L913" s="23">
        <v>910</v>
      </c>
      <c r="M913" s="23">
        <f ca="1"/>
        <v>310764.53124741721</v>
      </c>
      <c r="N913" s="25">
        <f t="shared" si="42"/>
        <v>244354.99000000005</v>
      </c>
      <c r="O913" s="25">
        <f t="shared" ca="1" si="43"/>
        <v>0</v>
      </c>
      <c r="P913" s="25">
        <f t="shared" ca="1" si="44"/>
        <v>0</v>
      </c>
    </row>
    <row r="914" spans="12:16" s="23" customFormat="1" ht="13.8">
      <c r="L914" s="33">
        <v>911</v>
      </c>
      <c r="M914" s="23">
        <f ca="1"/>
        <v>213788.02736775481</v>
      </c>
      <c r="N914" s="25">
        <f t="shared" si="42"/>
        <v>244354.99000000005</v>
      </c>
      <c r="O914" s="25">
        <f t="shared" ca="1" si="43"/>
        <v>1</v>
      </c>
      <c r="P914" s="25">
        <f t="shared" ca="1" si="44"/>
        <v>0.12509244289320726</v>
      </c>
    </row>
    <row r="915" spans="12:16" s="23" customFormat="1" ht="13.8">
      <c r="L915" s="23">
        <v>912</v>
      </c>
      <c r="M915" s="23">
        <f ca="1"/>
        <v>44316.945961406134</v>
      </c>
      <c r="N915" s="25">
        <f t="shared" si="42"/>
        <v>244354.99000000005</v>
      </c>
      <c r="O915" s="25">
        <f t="shared" ca="1" si="43"/>
        <v>1</v>
      </c>
      <c r="P915" s="25">
        <f t="shared" ca="1" si="44"/>
        <v>0.81863703310742242</v>
      </c>
    </row>
    <row r="916" spans="12:16" s="23" customFormat="1" ht="13.8">
      <c r="L916" s="33">
        <v>913</v>
      </c>
      <c r="M916" s="23">
        <f ca="1"/>
        <v>118439.1704793464</v>
      </c>
      <c r="N916" s="25">
        <f t="shared" si="42"/>
        <v>244354.99000000005</v>
      </c>
      <c r="O916" s="25">
        <f t="shared" ca="1" si="43"/>
        <v>1</v>
      </c>
      <c r="P916" s="25">
        <f t="shared" ca="1" si="44"/>
        <v>0.51529874434180212</v>
      </c>
    </row>
    <row r="917" spans="12:16" s="23" customFormat="1" ht="13.8">
      <c r="L917" s="23">
        <v>914</v>
      </c>
      <c r="M917" s="23">
        <f ca="1"/>
        <v>136535.22779551966</v>
      </c>
      <c r="N917" s="25">
        <f t="shared" si="42"/>
        <v>244354.99000000005</v>
      </c>
      <c r="O917" s="25">
        <f t="shared" ca="1" si="43"/>
        <v>1</v>
      </c>
      <c r="P917" s="25">
        <f t="shared" ca="1" si="44"/>
        <v>0.44124231800824026</v>
      </c>
    </row>
    <row r="918" spans="12:16" s="23" customFormat="1" ht="13.8">
      <c r="L918" s="33">
        <v>915</v>
      </c>
      <c r="M918" s="23">
        <f ca="1"/>
        <v>79558.474552323969</v>
      </c>
      <c r="N918" s="25">
        <f t="shared" si="42"/>
        <v>244354.99000000005</v>
      </c>
      <c r="O918" s="25">
        <f t="shared" ca="1" si="43"/>
        <v>1</v>
      </c>
      <c r="P918" s="25">
        <f t="shared" ca="1" si="44"/>
        <v>0.6744143651319584</v>
      </c>
    </row>
    <row r="919" spans="12:16" s="23" customFormat="1" ht="13.8">
      <c r="L919" s="23">
        <v>916</v>
      </c>
      <c r="M919" s="23">
        <f ca="1"/>
        <v>178150.56674407737</v>
      </c>
      <c r="N919" s="25">
        <f t="shared" si="42"/>
        <v>244354.99000000005</v>
      </c>
      <c r="O919" s="25">
        <f t="shared" ca="1" si="43"/>
        <v>1</v>
      </c>
      <c r="P919" s="25">
        <f t="shared" ca="1" si="44"/>
        <v>0.27093542577510965</v>
      </c>
    </row>
    <row r="920" spans="12:16" s="23" customFormat="1" ht="13.8">
      <c r="L920" s="33">
        <v>917</v>
      </c>
      <c r="M920" s="23">
        <f ca="1"/>
        <v>-24507.9679334375</v>
      </c>
      <c r="N920" s="25">
        <f t="shared" si="42"/>
        <v>244354.99000000005</v>
      </c>
      <c r="O920" s="25">
        <f t="shared" ca="1" si="43"/>
        <v>1</v>
      </c>
      <c r="P920" s="25">
        <f t="shared" ca="1" si="44"/>
        <v>1.100296572349259</v>
      </c>
    </row>
    <row r="921" spans="12:16" s="23" customFormat="1" ht="13.8">
      <c r="L921" s="23">
        <v>918</v>
      </c>
      <c r="M921" s="23">
        <f ca="1"/>
        <v>203474.39301026476</v>
      </c>
      <c r="N921" s="25">
        <f t="shared" si="42"/>
        <v>244354.99000000005</v>
      </c>
      <c r="O921" s="25">
        <f t="shared" ca="1" si="43"/>
        <v>1</v>
      </c>
      <c r="P921" s="25">
        <f t="shared" ca="1" si="44"/>
        <v>0.16730002931282592</v>
      </c>
    </row>
    <row r="922" spans="12:16" s="23" customFormat="1" ht="13.8">
      <c r="L922" s="33">
        <v>919</v>
      </c>
      <c r="M922" s="23">
        <f ca="1"/>
        <v>-1975.9615866049974</v>
      </c>
      <c r="N922" s="25">
        <f t="shared" si="42"/>
        <v>244354.99000000005</v>
      </c>
      <c r="O922" s="25">
        <f t="shared" ca="1" si="43"/>
        <v>1</v>
      </c>
      <c r="P922" s="25">
        <f t="shared" ca="1" si="44"/>
        <v>1.0080864384500803</v>
      </c>
    </row>
    <row r="923" spans="12:16" s="23" customFormat="1" ht="13.8">
      <c r="L923" s="23">
        <v>920</v>
      </c>
      <c r="M923" s="23">
        <f ca="1"/>
        <v>266530.92264420958</v>
      </c>
      <c r="N923" s="25">
        <f t="shared" si="42"/>
        <v>244354.99000000005</v>
      </c>
      <c r="O923" s="25">
        <f t="shared" ca="1" si="43"/>
        <v>0</v>
      </c>
      <c r="P923" s="25">
        <f t="shared" ca="1" si="44"/>
        <v>0</v>
      </c>
    </row>
    <row r="924" spans="12:16" s="23" customFormat="1" ht="13.8">
      <c r="L924" s="33">
        <v>921</v>
      </c>
      <c r="M924" s="23">
        <f ca="1"/>
        <v>68439.478517835436</v>
      </c>
      <c r="N924" s="25">
        <f t="shared" si="42"/>
        <v>244354.99000000005</v>
      </c>
      <c r="O924" s="25">
        <f t="shared" ca="1" si="43"/>
        <v>1</v>
      </c>
      <c r="P924" s="25">
        <f t="shared" ca="1" si="44"/>
        <v>0.71991781908020203</v>
      </c>
    </row>
    <row r="925" spans="12:16" s="23" customFormat="1" ht="13.8">
      <c r="L925" s="23">
        <v>922</v>
      </c>
      <c r="M925" s="23">
        <f ca="1"/>
        <v>-98988.951991287671</v>
      </c>
      <c r="N925" s="25">
        <f t="shared" si="42"/>
        <v>244354.99000000005</v>
      </c>
      <c r="O925" s="25">
        <f t="shared" ca="1" si="43"/>
        <v>1</v>
      </c>
      <c r="P925" s="25">
        <f t="shared" ca="1" si="44"/>
        <v>1.4051030510622586</v>
      </c>
    </row>
    <row r="926" spans="12:16" s="23" customFormat="1" ht="13.8">
      <c r="L926" s="33">
        <v>923</v>
      </c>
      <c r="M926" s="23">
        <f ca="1"/>
        <v>110927.02832496239</v>
      </c>
      <c r="N926" s="25">
        <f t="shared" si="42"/>
        <v>244354.99000000005</v>
      </c>
      <c r="O926" s="25">
        <f t="shared" ca="1" si="43"/>
        <v>1</v>
      </c>
      <c r="P926" s="25">
        <f t="shared" ca="1" si="44"/>
        <v>0.5460414852794192</v>
      </c>
    </row>
    <row r="927" spans="12:16" s="23" customFormat="1" ht="13.8">
      <c r="L927" s="23">
        <v>924</v>
      </c>
      <c r="M927" s="23">
        <f ca="1"/>
        <v>-52211.469583909202</v>
      </c>
      <c r="N927" s="25">
        <f t="shared" si="42"/>
        <v>244354.99000000005</v>
      </c>
      <c r="O927" s="25">
        <f t="shared" ca="1" si="43"/>
        <v>1</v>
      </c>
      <c r="P927" s="25">
        <f t="shared" ca="1" si="44"/>
        <v>1.2136705683150124</v>
      </c>
    </row>
    <row r="928" spans="12:16" s="23" customFormat="1" ht="13.8">
      <c r="L928" s="33">
        <v>925</v>
      </c>
      <c r="M928" s="23">
        <f ca="1"/>
        <v>196513.19004609733</v>
      </c>
      <c r="N928" s="25">
        <f t="shared" si="42"/>
        <v>244354.99000000005</v>
      </c>
      <c r="O928" s="25">
        <f t="shared" ca="1" si="43"/>
        <v>1</v>
      </c>
      <c r="P928" s="25">
        <f t="shared" ca="1" si="44"/>
        <v>0.1957881030131724</v>
      </c>
    </row>
    <row r="929" spans="12:16" s="23" customFormat="1" ht="13.8">
      <c r="L929" s="23">
        <v>926</v>
      </c>
      <c r="M929" s="23">
        <f ca="1"/>
        <v>309773.19578214263</v>
      </c>
      <c r="N929" s="25">
        <f t="shared" si="42"/>
        <v>244354.99000000005</v>
      </c>
      <c r="O929" s="25">
        <f t="shared" ca="1" si="43"/>
        <v>0</v>
      </c>
      <c r="P929" s="25">
        <f t="shared" ca="1" si="44"/>
        <v>0</v>
      </c>
    </row>
    <row r="930" spans="12:16" s="23" customFormat="1" ht="13.8">
      <c r="L930" s="33">
        <v>927</v>
      </c>
      <c r="M930" s="23">
        <f ca="1"/>
        <v>139729.00088592173</v>
      </c>
      <c r="N930" s="25">
        <f t="shared" si="42"/>
        <v>244354.99000000005</v>
      </c>
      <c r="O930" s="25">
        <f t="shared" ca="1" si="43"/>
        <v>1</v>
      </c>
      <c r="P930" s="25">
        <f t="shared" ca="1" si="44"/>
        <v>0.42817209959198416</v>
      </c>
    </row>
    <row r="931" spans="12:16" s="23" customFormat="1" ht="13.8">
      <c r="L931" s="23">
        <v>928</v>
      </c>
      <c r="M931" s="23">
        <f ca="1"/>
        <v>114351.25638738379</v>
      </c>
      <c r="N931" s="25">
        <f t="shared" si="42"/>
        <v>244354.99000000005</v>
      </c>
      <c r="O931" s="25">
        <f t="shared" ca="1" si="43"/>
        <v>1</v>
      </c>
      <c r="P931" s="25">
        <f t="shared" ca="1" si="44"/>
        <v>0.53202815138997661</v>
      </c>
    </row>
    <row r="932" spans="12:16" s="23" customFormat="1" ht="13.8">
      <c r="L932" s="33">
        <v>929</v>
      </c>
      <c r="M932" s="23">
        <f ca="1"/>
        <v>194135.40011864973</v>
      </c>
      <c r="N932" s="25">
        <f t="shared" si="42"/>
        <v>244354.99000000005</v>
      </c>
      <c r="O932" s="25">
        <f t="shared" ca="1" si="43"/>
        <v>1</v>
      </c>
      <c r="P932" s="25">
        <f t="shared" ca="1" si="44"/>
        <v>0.20551898646043734</v>
      </c>
    </row>
    <row r="933" spans="12:16" s="23" customFormat="1" ht="13.8">
      <c r="L933" s="23">
        <v>930</v>
      </c>
      <c r="M933" s="23">
        <f ca="1"/>
        <v>106739.60657437095</v>
      </c>
      <c r="N933" s="25">
        <f t="shared" si="42"/>
        <v>244354.99000000005</v>
      </c>
      <c r="O933" s="25">
        <f t="shared" ca="1" si="43"/>
        <v>1</v>
      </c>
      <c r="P933" s="25">
        <f t="shared" ca="1" si="44"/>
        <v>0.56317811813717855</v>
      </c>
    </row>
    <row r="934" spans="12:16" s="23" customFormat="1" ht="13.8">
      <c r="L934" s="33">
        <v>931</v>
      </c>
      <c r="M934" s="23">
        <f ca="1"/>
        <v>258163.02092710062</v>
      </c>
      <c r="N934" s="25">
        <f t="shared" si="42"/>
        <v>244354.99000000005</v>
      </c>
      <c r="O934" s="25">
        <f t="shared" ca="1" si="43"/>
        <v>0</v>
      </c>
      <c r="P934" s="25">
        <f t="shared" ca="1" si="44"/>
        <v>0</v>
      </c>
    </row>
    <row r="935" spans="12:16" s="23" customFormat="1" ht="13.8">
      <c r="L935" s="23">
        <v>932</v>
      </c>
      <c r="M935" s="23">
        <f ca="1"/>
        <v>218604.06063359752</v>
      </c>
      <c r="N935" s="25">
        <f t="shared" si="42"/>
        <v>244354.99000000005</v>
      </c>
      <c r="O935" s="25">
        <f t="shared" ca="1" si="43"/>
        <v>1</v>
      </c>
      <c r="P935" s="25">
        <f t="shared" ca="1" si="44"/>
        <v>0.10538327605424602</v>
      </c>
    </row>
    <row r="936" spans="12:16" s="23" customFormat="1" ht="13.8">
      <c r="L936" s="33">
        <v>933</v>
      </c>
      <c r="M936" s="23">
        <f ca="1"/>
        <v>235274.25125823845</v>
      </c>
      <c r="N936" s="25">
        <f t="shared" si="42"/>
        <v>244354.99000000005</v>
      </c>
      <c r="O936" s="25">
        <f t="shared" ca="1" si="43"/>
        <v>1</v>
      </c>
      <c r="P936" s="25">
        <f t="shared" ca="1" si="44"/>
        <v>3.7162076132603618E-2</v>
      </c>
    </row>
    <row r="937" spans="12:16" s="23" customFormat="1" ht="13.8">
      <c r="L937" s="23">
        <v>934</v>
      </c>
      <c r="M937" s="23">
        <f ca="1"/>
        <v>148189.9291982711</v>
      </c>
      <c r="N937" s="25">
        <f t="shared" si="42"/>
        <v>244354.99000000005</v>
      </c>
      <c r="O937" s="25">
        <f t="shared" ca="1" si="43"/>
        <v>1</v>
      </c>
      <c r="P937" s="25">
        <f t="shared" ca="1" si="44"/>
        <v>0.39354653981786469</v>
      </c>
    </row>
    <row r="938" spans="12:16" s="23" customFormat="1" ht="13.8">
      <c r="L938" s="33">
        <v>935</v>
      </c>
      <c r="M938" s="23">
        <f ca="1"/>
        <v>270624.81896994397</v>
      </c>
      <c r="N938" s="25">
        <f t="shared" si="42"/>
        <v>244354.99000000005</v>
      </c>
      <c r="O938" s="25">
        <f t="shared" ca="1" si="43"/>
        <v>0</v>
      </c>
      <c r="P938" s="25">
        <f t="shared" ca="1" si="44"/>
        <v>0</v>
      </c>
    </row>
    <row r="939" spans="12:16" s="23" customFormat="1" ht="13.8">
      <c r="L939" s="23">
        <v>936</v>
      </c>
      <c r="M939" s="23">
        <f ca="1"/>
        <v>243035.02219243455</v>
      </c>
      <c r="N939" s="25">
        <f t="shared" si="42"/>
        <v>244354.99000000005</v>
      </c>
      <c r="O939" s="25">
        <f t="shared" ca="1" si="43"/>
        <v>1</v>
      </c>
      <c r="P939" s="25">
        <f t="shared" ca="1" si="44"/>
        <v>5.4018451088946266E-3</v>
      </c>
    </row>
    <row r="940" spans="12:16" s="23" customFormat="1" ht="13.8">
      <c r="L940" s="33">
        <v>937</v>
      </c>
      <c r="M940" s="23">
        <f ca="1"/>
        <v>-104271.95216512197</v>
      </c>
      <c r="N940" s="25">
        <f t="shared" si="42"/>
        <v>244354.99000000005</v>
      </c>
      <c r="O940" s="25">
        <f t="shared" ca="1" si="43"/>
        <v>1</v>
      </c>
      <c r="P940" s="25">
        <f t="shared" ca="1" si="44"/>
        <v>1.4267232364074987</v>
      </c>
    </row>
    <row r="941" spans="12:16" s="23" customFormat="1" ht="13.8">
      <c r="L941" s="23">
        <v>938</v>
      </c>
      <c r="M941" s="23">
        <f ca="1"/>
        <v>127877.84837001782</v>
      </c>
      <c r="N941" s="25">
        <f t="shared" si="42"/>
        <v>244354.99000000005</v>
      </c>
      <c r="O941" s="25">
        <f t="shared" ca="1" si="43"/>
        <v>1</v>
      </c>
      <c r="P941" s="25">
        <f t="shared" ca="1" si="44"/>
        <v>0.47667183563545074</v>
      </c>
    </row>
    <row r="942" spans="12:16" s="23" customFormat="1" ht="13.8">
      <c r="L942" s="33">
        <v>939</v>
      </c>
      <c r="M942" s="23">
        <f ca="1"/>
        <v>153173.76275737296</v>
      </c>
      <c r="N942" s="25">
        <f t="shared" si="42"/>
        <v>244354.99000000005</v>
      </c>
      <c r="O942" s="25">
        <f t="shared" ca="1" si="43"/>
        <v>1</v>
      </c>
      <c r="P942" s="25">
        <f t="shared" ca="1" si="44"/>
        <v>0.37315066593330903</v>
      </c>
    </row>
    <row r="943" spans="12:16" s="23" customFormat="1" ht="13.8">
      <c r="L943" s="23">
        <v>940</v>
      </c>
      <c r="M943" s="23">
        <f ca="1"/>
        <v>-108843.24679591722</v>
      </c>
      <c r="N943" s="25">
        <f t="shared" si="42"/>
        <v>244354.99000000005</v>
      </c>
      <c r="O943" s="25">
        <f t="shared" ca="1" si="43"/>
        <v>1</v>
      </c>
      <c r="P943" s="25">
        <f t="shared" ca="1" si="44"/>
        <v>1.4454308332148944</v>
      </c>
    </row>
    <row r="944" spans="12:16" s="23" customFormat="1" ht="13.8">
      <c r="L944" s="33">
        <v>941</v>
      </c>
      <c r="M944" s="23">
        <f ca="1"/>
        <v>181928.81548954215</v>
      </c>
      <c r="N944" s="25">
        <f t="shared" si="42"/>
        <v>244354.99000000005</v>
      </c>
      <c r="O944" s="25">
        <f t="shared" ca="1" si="43"/>
        <v>1</v>
      </c>
      <c r="P944" s="25">
        <f t="shared" ca="1" si="44"/>
        <v>0.25547329526791285</v>
      </c>
    </row>
    <row r="945" spans="12:16" s="23" customFormat="1" ht="13.8">
      <c r="L945" s="23">
        <v>942</v>
      </c>
      <c r="M945" s="23">
        <f ca="1"/>
        <v>197080.10898777464</v>
      </c>
      <c r="N945" s="25">
        <f t="shared" si="42"/>
        <v>244354.99000000005</v>
      </c>
      <c r="O945" s="25">
        <f t="shared" ca="1" si="43"/>
        <v>1</v>
      </c>
      <c r="P945" s="25">
        <f t="shared" ca="1" si="44"/>
        <v>0.19346804013384541</v>
      </c>
    </row>
    <row r="946" spans="12:16" s="23" customFormat="1" ht="13.8">
      <c r="L946" s="33">
        <v>943</v>
      </c>
      <c r="M946" s="23">
        <f ca="1"/>
        <v>194445.36706656069</v>
      </c>
      <c r="N946" s="25">
        <f t="shared" si="42"/>
        <v>244354.99000000005</v>
      </c>
      <c r="O946" s="25">
        <f t="shared" ca="1" si="43"/>
        <v>1</v>
      </c>
      <c r="P946" s="25">
        <f t="shared" ca="1" si="44"/>
        <v>0.20425047564381374</v>
      </c>
    </row>
    <row r="947" spans="12:16" s="23" customFormat="1" ht="13.8">
      <c r="L947" s="23">
        <v>944</v>
      </c>
      <c r="M947" s="23">
        <f ca="1"/>
        <v>131873.35850146189</v>
      </c>
      <c r="N947" s="25">
        <f t="shared" si="42"/>
        <v>244354.99000000005</v>
      </c>
      <c r="O947" s="25">
        <f t="shared" ca="1" si="43"/>
        <v>1</v>
      </c>
      <c r="P947" s="25">
        <f t="shared" ca="1" si="44"/>
        <v>0.46032058317506896</v>
      </c>
    </row>
    <row r="948" spans="12:16" s="23" customFormat="1" ht="13.8">
      <c r="L948" s="33">
        <v>945</v>
      </c>
      <c r="M948" s="23">
        <f ca="1"/>
        <v>-78238.747346263917</v>
      </c>
      <c r="N948" s="25">
        <f t="shared" si="42"/>
        <v>244354.99000000005</v>
      </c>
      <c r="O948" s="25">
        <f t="shared" ca="1" si="43"/>
        <v>1</v>
      </c>
      <c r="P948" s="25">
        <f t="shared" ca="1" si="44"/>
        <v>1.3201847743983615</v>
      </c>
    </row>
    <row r="949" spans="12:16" s="23" customFormat="1" ht="13.8">
      <c r="L949" s="23">
        <v>946</v>
      </c>
      <c r="M949" s="23">
        <f ca="1"/>
        <v>175824.91873454498</v>
      </c>
      <c r="N949" s="25">
        <f t="shared" si="42"/>
        <v>244354.99000000005</v>
      </c>
      <c r="O949" s="25">
        <f t="shared" ca="1" si="43"/>
        <v>1</v>
      </c>
      <c r="P949" s="25">
        <f t="shared" ca="1" si="44"/>
        <v>0.28045292328777516</v>
      </c>
    </row>
    <row r="950" spans="12:16" s="23" customFormat="1" ht="13.8">
      <c r="L950" s="33">
        <v>947</v>
      </c>
      <c r="M950" s="23">
        <f ca="1"/>
        <v>405209.30327964947</v>
      </c>
      <c r="N950" s="25">
        <f t="shared" si="42"/>
        <v>244354.99000000005</v>
      </c>
      <c r="O950" s="25">
        <f t="shared" ca="1" si="43"/>
        <v>0</v>
      </c>
      <c r="P950" s="25">
        <f t="shared" ca="1" si="44"/>
        <v>0</v>
      </c>
    </row>
    <row r="951" spans="12:16" s="23" customFormat="1" ht="13.8">
      <c r="L951" s="23">
        <v>948</v>
      </c>
      <c r="M951" s="23">
        <f ca="1"/>
        <v>207865.66419721057</v>
      </c>
      <c r="N951" s="25">
        <f t="shared" si="42"/>
        <v>244354.99000000005</v>
      </c>
      <c r="O951" s="25">
        <f t="shared" ca="1" si="43"/>
        <v>1</v>
      </c>
      <c r="P951" s="25">
        <f t="shared" ca="1" si="44"/>
        <v>0.14932916165448257</v>
      </c>
    </row>
    <row r="952" spans="12:16" s="23" customFormat="1" ht="13.8">
      <c r="L952" s="33">
        <v>949</v>
      </c>
      <c r="M952" s="23">
        <f ca="1"/>
        <v>72076.361983490453</v>
      </c>
      <c r="N952" s="25">
        <f t="shared" si="42"/>
        <v>244354.99000000005</v>
      </c>
      <c r="O952" s="25">
        <f t="shared" ca="1" si="43"/>
        <v>1</v>
      </c>
      <c r="P952" s="25">
        <f t="shared" ca="1" si="44"/>
        <v>0.70503421279225587</v>
      </c>
    </row>
    <row r="953" spans="12:16" s="23" customFormat="1" ht="13.8">
      <c r="L953" s="23">
        <v>950</v>
      </c>
      <c r="M953" s="23">
        <f ca="1"/>
        <v>4248.0540174151511</v>
      </c>
      <c r="N953" s="25">
        <f t="shared" si="42"/>
        <v>244354.99000000005</v>
      </c>
      <c r="O953" s="25">
        <f t="shared" ca="1" si="43"/>
        <v>1</v>
      </c>
      <c r="P953" s="25">
        <f t="shared" ca="1" si="44"/>
        <v>0.98261523524682204</v>
      </c>
    </row>
    <row r="954" spans="12:16" s="23" customFormat="1" ht="13.8">
      <c r="L954" s="33">
        <v>951</v>
      </c>
      <c r="M954" s="23">
        <f ca="1"/>
        <v>91905.980729359697</v>
      </c>
      <c r="N954" s="25">
        <f t="shared" si="42"/>
        <v>244354.99000000005</v>
      </c>
      <c r="O954" s="25">
        <f t="shared" ca="1" si="43"/>
        <v>1</v>
      </c>
      <c r="P954" s="25">
        <f t="shared" ca="1" si="44"/>
        <v>0.62388334803656076</v>
      </c>
    </row>
    <row r="955" spans="12:16" s="23" customFormat="1" ht="13.8">
      <c r="L955" s="23">
        <v>952</v>
      </c>
      <c r="M955" s="23">
        <f ca="1"/>
        <v>95440.094914794827</v>
      </c>
      <c r="N955" s="25">
        <f t="shared" si="42"/>
        <v>244354.99000000005</v>
      </c>
      <c r="O955" s="25">
        <f t="shared" ca="1" si="43"/>
        <v>1</v>
      </c>
      <c r="P955" s="25">
        <f t="shared" ca="1" si="44"/>
        <v>0.60942031544027475</v>
      </c>
    </row>
    <row r="956" spans="12:16" s="23" customFormat="1" ht="13.8">
      <c r="L956" s="33">
        <v>953</v>
      </c>
      <c r="M956" s="23">
        <f ca="1"/>
        <v>226397.95437642242</v>
      </c>
      <c r="N956" s="25">
        <f t="shared" si="42"/>
        <v>244354.99000000005</v>
      </c>
      <c r="O956" s="25">
        <f t="shared" ca="1" si="43"/>
        <v>1</v>
      </c>
      <c r="P956" s="25">
        <f t="shared" ca="1" si="44"/>
        <v>7.3487493026345094E-2</v>
      </c>
    </row>
    <row r="957" spans="12:16" s="23" customFormat="1" ht="13.8">
      <c r="L957" s="23">
        <v>954</v>
      </c>
      <c r="M957" s="23">
        <f ca="1"/>
        <v>248158.85807351544</v>
      </c>
      <c r="N957" s="25">
        <f t="shared" si="42"/>
        <v>244354.99000000005</v>
      </c>
      <c r="O957" s="25">
        <f t="shared" ca="1" si="43"/>
        <v>0</v>
      </c>
      <c r="P957" s="25">
        <f t="shared" ca="1" si="44"/>
        <v>0</v>
      </c>
    </row>
    <row r="958" spans="12:16" s="23" customFormat="1" ht="13.8">
      <c r="L958" s="33">
        <v>955</v>
      </c>
      <c r="M958" s="23">
        <f ca="1"/>
        <v>202018.94133800335</v>
      </c>
      <c r="N958" s="25">
        <f t="shared" si="42"/>
        <v>244354.99000000005</v>
      </c>
      <c r="O958" s="25">
        <f t="shared" ca="1" si="43"/>
        <v>1</v>
      </c>
      <c r="P958" s="25">
        <f t="shared" ca="1" si="44"/>
        <v>0.17325632949831182</v>
      </c>
    </row>
    <row r="959" spans="12:16" s="23" customFormat="1" ht="13.8">
      <c r="L959" s="23">
        <v>956</v>
      </c>
      <c r="M959" s="23">
        <f ca="1"/>
        <v>107825.1698309619</v>
      </c>
      <c r="N959" s="25">
        <f t="shared" si="42"/>
        <v>244354.99000000005</v>
      </c>
      <c r="O959" s="25">
        <f t="shared" ca="1" si="43"/>
        <v>1</v>
      </c>
      <c r="P959" s="25">
        <f t="shared" ca="1" si="44"/>
        <v>0.55873555178487699</v>
      </c>
    </row>
    <row r="960" spans="12:16" s="23" customFormat="1" ht="13.8">
      <c r="L960" s="33">
        <v>957</v>
      </c>
      <c r="M960" s="23">
        <f ca="1"/>
        <v>76409.741093731296</v>
      </c>
      <c r="N960" s="25">
        <f t="shared" si="42"/>
        <v>244354.99000000005</v>
      </c>
      <c r="O960" s="25">
        <f t="shared" ca="1" si="43"/>
        <v>1</v>
      </c>
      <c r="P960" s="25">
        <f t="shared" ca="1" si="44"/>
        <v>0.68730026305691039</v>
      </c>
    </row>
    <row r="961" spans="12:16" s="23" customFormat="1" ht="13.8">
      <c r="L961" s="23">
        <v>958</v>
      </c>
      <c r="M961" s="23">
        <f ca="1"/>
        <v>156439.03024691346</v>
      </c>
      <c r="N961" s="25">
        <f t="shared" si="42"/>
        <v>244354.99000000005</v>
      </c>
      <c r="O961" s="25">
        <f t="shared" ca="1" si="43"/>
        <v>1</v>
      </c>
      <c r="P961" s="25">
        <f t="shared" ca="1" si="44"/>
        <v>0.35978786335849566</v>
      </c>
    </row>
    <row r="962" spans="12:16" s="23" customFormat="1" ht="13.8">
      <c r="L962" s="33">
        <v>959</v>
      </c>
      <c r="M962" s="23">
        <f ca="1"/>
        <v>205417.87910994483</v>
      </c>
      <c r="N962" s="25">
        <f t="shared" si="42"/>
        <v>244354.99000000005</v>
      </c>
      <c r="O962" s="25">
        <f t="shared" ca="1" si="43"/>
        <v>1</v>
      </c>
      <c r="P962" s="25">
        <f t="shared" ca="1" si="44"/>
        <v>0.15934649376325491</v>
      </c>
    </row>
    <row r="963" spans="12:16" s="23" customFormat="1" ht="13.8">
      <c r="L963" s="23">
        <v>960</v>
      </c>
      <c r="M963" s="23">
        <f ca="1"/>
        <v>303251.92133261391</v>
      </c>
      <c r="N963" s="25">
        <f t="shared" si="42"/>
        <v>244354.99000000005</v>
      </c>
      <c r="O963" s="25">
        <f t="shared" ca="1" si="43"/>
        <v>0</v>
      </c>
      <c r="P963" s="25">
        <f t="shared" ca="1" si="44"/>
        <v>0</v>
      </c>
    </row>
    <row r="964" spans="12:16" s="23" customFormat="1" ht="13.8">
      <c r="L964" s="33">
        <v>961</v>
      </c>
      <c r="M964" s="23">
        <f ca="1"/>
        <v>281474.03302839998</v>
      </c>
      <c r="N964" s="25">
        <f t="shared" ref="N964:N1003" si="45">($C$22+$E$22)*1.1</f>
        <v>244354.99000000005</v>
      </c>
      <c r="O964" s="25">
        <f t="shared" ca="1" si="43"/>
        <v>0</v>
      </c>
      <c r="P964" s="25">
        <f t="shared" ca="1" si="44"/>
        <v>0</v>
      </c>
    </row>
    <row r="965" spans="12:16" s="23" customFormat="1" ht="13.8">
      <c r="L965" s="23">
        <v>962</v>
      </c>
      <c r="M965" s="23">
        <f ca="1"/>
        <v>-1247.0381851719676</v>
      </c>
      <c r="N965" s="25">
        <f t="shared" si="45"/>
        <v>244354.99000000005</v>
      </c>
      <c r="O965" s="25">
        <f t="shared" ref="O965:O1003" ca="1" si="46">IF(M965&lt;N965,1,0)</f>
        <v>1</v>
      </c>
      <c r="P965" s="25">
        <f t="shared" ref="P965:P1003" ca="1" si="47">MAX((N965-M965)/N965,0)</f>
        <v>1.0051033874330619</v>
      </c>
    </row>
    <row r="966" spans="12:16" s="23" customFormat="1" ht="13.8">
      <c r="L966" s="33">
        <v>963</v>
      </c>
      <c r="M966" s="23">
        <f ca="1"/>
        <v>302394.16900109558</v>
      </c>
      <c r="N966" s="25">
        <f t="shared" si="45"/>
        <v>244354.99000000005</v>
      </c>
      <c r="O966" s="25">
        <f t="shared" ca="1" si="46"/>
        <v>0</v>
      </c>
      <c r="P966" s="25">
        <f t="shared" ca="1" si="47"/>
        <v>0</v>
      </c>
    </row>
    <row r="967" spans="12:16" s="23" customFormat="1" ht="13.8">
      <c r="L967" s="23">
        <v>964</v>
      </c>
      <c r="M967" s="23">
        <f ca="1"/>
        <v>248416.27027997797</v>
      </c>
      <c r="N967" s="25">
        <f t="shared" si="45"/>
        <v>244354.99000000005</v>
      </c>
      <c r="O967" s="25">
        <f t="shared" ca="1" si="46"/>
        <v>0</v>
      </c>
      <c r="P967" s="25">
        <f t="shared" ca="1" si="47"/>
        <v>0</v>
      </c>
    </row>
    <row r="968" spans="12:16" s="23" customFormat="1" ht="13.8">
      <c r="L968" s="33">
        <v>965</v>
      </c>
      <c r="M968" s="23">
        <f ca="1"/>
        <v>191636.34737338254</v>
      </c>
      <c r="N968" s="25">
        <f t="shared" si="45"/>
        <v>244354.99000000005</v>
      </c>
      <c r="O968" s="25">
        <f t="shared" ca="1" si="46"/>
        <v>1</v>
      </c>
      <c r="P968" s="25">
        <f t="shared" ca="1" si="47"/>
        <v>0.21574612667667437</v>
      </c>
    </row>
    <row r="969" spans="12:16" s="23" customFormat="1" ht="13.8">
      <c r="L969" s="23">
        <v>966</v>
      </c>
      <c r="M969" s="23">
        <f ca="1"/>
        <v>109264.44604225417</v>
      </c>
      <c r="N969" s="25">
        <f t="shared" si="45"/>
        <v>244354.99000000005</v>
      </c>
      <c r="O969" s="25">
        <f t="shared" ca="1" si="46"/>
        <v>1</v>
      </c>
      <c r="P969" s="25">
        <f t="shared" ca="1" si="47"/>
        <v>0.55284544816435244</v>
      </c>
    </row>
    <row r="970" spans="12:16" s="23" customFormat="1" ht="13.8">
      <c r="L970" s="33">
        <v>967</v>
      </c>
      <c r="M970" s="23">
        <f ca="1"/>
        <v>5736.5525684218801</v>
      </c>
      <c r="N970" s="25">
        <f t="shared" si="45"/>
        <v>244354.99000000005</v>
      </c>
      <c r="O970" s="25">
        <f t="shared" ca="1" si="46"/>
        <v>1</v>
      </c>
      <c r="P970" s="25">
        <f t="shared" ca="1" si="47"/>
        <v>0.97652369379310866</v>
      </c>
    </row>
    <row r="971" spans="12:16" s="23" customFormat="1" ht="13.8">
      <c r="L971" s="23">
        <v>968</v>
      </c>
      <c r="M971" s="23">
        <f ca="1"/>
        <v>139349.64569905074</v>
      </c>
      <c r="N971" s="25">
        <f t="shared" si="45"/>
        <v>244354.99000000005</v>
      </c>
      <c r="O971" s="25">
        <f t="shared" ca="1" si="46"/>
        <v>1</v>
      </c>
      <c r="P971" s="25">
        <f t="shared" ca="1" si="47"/>
        <v>0.42972457530312469</v>
      </c>
    </row>
    <row r="972" spans="12:16" s="23" customFormat="1" ht="13.8">
      <c r="L972" s="33">
        <v>969</v>
      </c>
      <c r="M972" s="23">
        <f ca="1"/>
        <v>16132.061708557188</v>
      </c>
      <c r="N972" s="25">
        <f t="shared" si="45"/>
        <v>244354.99000000005</v>
      </c>
      <c r="O972" s="25">
        <f t="shared" ca="1" si="46"/>
        <v>1</v>
      </c>
      <c r="P972" s="25">
        <f t="shared" ca="1" si="47"/>
        <v>0.93398104246384661</v>
      </c>
    </row>
    <row r="973" spans="12:16" s="23" customFormat="1" ht="13.8">
      <c r="L973" s="23">
        <v>970</v>
      </c>
      <c r="M973" s="23">
        <f ca="1"/>
        <v>33080.309477876057</v>
      </c>
      <c r="N973" s="25">
        <f t="shared" si="45"/>
        <v>244354.99000000005</v>
      </c>
      <c r="O973" s="25">
        <f t="shared" ca="1" si="46"/>
        <v>1</v>
      </c>
      <c r="P973" s="25">
        <f t="shared" ca="1" si="47"/>
        <v>0.86462191961835499</v>
      </c>
    </row>
    <row r="974" spans="12:16" s="23" customFormat="1" ht="13.8">
      <c r="L974" s="33">
        <v>971</v>
      </c>
      <c r="M974" s="23">
        <f ca="1"/>
        <v>-26409.488122193496</v>
      </c>
      <c r="N974" s="25">
        <f t="shared" si="45"/>
        <v>244354.99000000005</v>
      </c>
      <c r="O974" s="25">
        <f t="shared" ca="1" si="46"/>
        <v>1</v>
      </c>
      <c r="P974" s="25">
        <f t="shared" ca="1" si="47"/>
        <v>1.108078366323493</v>
      </c>
    </row>
    <row r="975" spans="12:16" s="23" customFormat="1" ht="13.8">
      <c r="L975" s="23">
        <v>972</v>
      </c>
      <c r="M975" s="23">
        <f ca="1"/>
        <v>82730.38515626856</v>
      </c>
      <c r="N975" s="25">
        <f t="shared" si="45"/>
        <v>244354.99000000005</v>
      </c>
      <c r="O975" s="25">
        <f t="shared" ca="1" si="46"/>
        <v>1</v>
      </c>
      <c r="P975" s="25">
        <f t="shared" ca="1" si="47"/>
        <v>0.66143361690191582</v>
      </c>
    </row>
    <row r="976" spans="12:16" s="23" customFormat="1" ht="13.8">
      <c r="L976" s="33">
        <v>973</v>
      </c>
      <c r="M976" s="23">
        <f ca="1"/>
        <v>267409.20302552055</v>
      </c>
      <c r="N976" s="25">
        <f t="shared" si="45"/>
        <v>244354.99000000005</v>
      </c>
      <c r="O976" s="25">
        <f t="shared" ca="1" si="46"/>
        <v>0</v>
      </c>
      <c r="P976" s="25">
        <f t="shared" ca="1" si="47"/>
        <v>0</v>
      </c>
    </row>
    <row r="977" spans="12:16" s="23" customFormat="1" ht="13.8">
      <c r="L977" s="23">
        <v>974</v>
      </c>
      <c r="M977" s="23">
        <f ca="1"/>
        <v>291061.61469563999</v>
      </c>
      <c r="N977" s="25">
        <f t="shared" si="45"/>
        <v>244354.99000000005</v>
      </c>
      <c r="O977" s="25">
        <f t="shared" ca="1" si="46"/>
        <v>0</v>
      </c>
      <c r="P977" s="25">
        <f t="shared" ca="1" si="47"/>
        <v>0</v>
      </c>
    </row>
    <row r="978" spans="12:16" s="23" customFormat="1" ht="13.8">
      <c r="L978" s="33">
        <v>975</v>
      </c>
      <c r="M978" s="23">
        <f ca="1"/>
        <v>323082.16161160445</v>
      </c>
      <c r="N978" s="25">
        <f t="shared" si="45"/>
        <v>244354.99000000005</v>
      </c>
      <c r="O978" s="25">
        <f t="shared" ca="1" si="46"/>
        <v>0</v>
      </c>
      <c r="P978" s="25">
        <f t="shared" ca="1" si="47"/>
        <v>0</v>
      </c>
    </row>
    <row r="979" spans="12:16" s="23" customFormat="1" ht="13.8">
      <c r="L979" s="23">
        <v>976</v>
      </c>
      <c r="M979" s="23">
        <f ca="1"/>
        <v>356132.43534652161</v>
      </c>
      <c r="N979" s="25">
        <f t="shared" si="45"/>
        <v>244354.99000000005</v>
      </c>
      <c r="O979" s="25">
        <f t="shared" ca="1" si="46"/>
        <v>0</v>
      </c>
      <c r="P979" s="25">
        <f t="shared" ca="1" si="47"/>
        <v>0</v>
      </c>
    </row>
    <row r="980" spans="12:16" s="23" customFormat="1" ht="13.8">
      <c r="L980" s="33">
        <v>977</v>
      </c>
      <c r="M980" s="23">
        <f ca="1"/>
        <v>334966.9120333161</v>
      </c>
      <c r="N980" s="25">
        <f t="shared" si="45"/>
        <v>244354.99000000005</v>
      </c>
      <c r="O980" s="25">
        <f t="shared" ca="1" si="46"/>
        <v>0</v>
      </c>
      <c r="P980" s="25">
        <f t="shared" ca="1" si="47"/>
        <v>0</v>
      </c>
    </row>
    <row r="981" spans="12:16" s="23" customFormat="1" ht="13.8">
      <c r="L981" s="23">
        <v>978</v>
      </c>
      <c r="M981" s="23">
        <f ca="1"/>
        <v>203739.16644241137</v>
      </c>
      <c r="N981" s="25">
        <f t="shared" si="45"/>
        <v>244354.99000000005</v>
      </c>
      <c r="O981" s="25">
        <f t="shared" ca="1" si="46"/>
        <v>1</v>
      </c>
      <c r="P981" s="25">
        <f t="shared" ca="1" si="47"/>
        <v>0.1662164687432357</v>
      </c>
    </row>
    <row r="982" spans="12:16" s="23" customFormat="1" ht="13.8">
      <c r="L982" s="33">
        <v>979</v>
      </c>
      <c r="M982" s="23">
        <f ca="1"/>
        <v>288362.14818577835</v>
      </c>
      <c r="N982" s="25">
        <f t="shared" si="45"/>
        <v>244354.99000000005</v>
      </c>
      <c r="O982" s="25">
        <f t="shared" ca="1" si="46"/>
        <v>0</v>
      </c>
      <c r="P982" s="25">
        <f t="shared" ca="1" si="47"/>
        <v>0</v>
      </c>
    </row>
    <row r="983" spans="12:16" s="23" customFormat="1" ht="13.8">
      <c r="L983" s="23">
        <v>980</v>
      </c>
      <c r="M983" s="23">
        <f ca="1"/>
        <v>267923.94992176251</v>
      </c>
      <c r="N983" s="25">
        <f t="shared" si="45"/>
        <v>244354.99000000005</v>
      </c>
      <c r="O983" s="25">
        <f t="shared" ca="1" si="46"/>
        <v>0</v>
      </c>
      <c r="P983" s="25">
        <f t="shared" ca="1" si="47"/>
        <v>0</v>
      </c>
    </row>
    <row r="984" spans="12:16" s="23" customFormat="1" ht="13.8">
      <c r="L984" s="33">
        <v>981</v>
      </c>
      <c r="M984" s="23">
        <f ca="1"/>
        <v>190588.74206496836</v>
      </c>
      <c r="N984" s="25">
        <f t="shared" si="45"/>
        <v>244354.99000000005</v>
      </c>
      <c r="O984" s="25">
        <f t="shared" ca="1" si="46"/>
        <v>1</v>
      </c>
      <c r="P984" s="25">
        <f t="shared" ca="1" si="47"/>
        <v>0.22003335366726776</v>
      </c>
    </row>
    <row r="985" spans="12:16" s="23" customFormat="1" ht="13.8">
      <c r="L985" s="23">
        <v>982</v>
      </c>
      <c r="M985" s="23">
        <f ca="1"/>
        <v>269050.92346629151</v>
      </c>
      <c r="N985" s="25">
        <f t="shared" si="45"/>
        <v>244354.99000000005</v>
      </c>
      <c r="O985" s="25">
        <f t="shared" ca="1" si="46"/>
        <v>0</v>
      </c>
      <c r="P985" s="25">
        <f t="shared" ca="1" si="47"/>
        <v>0</v>
      </c>
    </row>
    <row r="986" spans="12:16" s="23" customFormat="1" ht="13.8">
      <c r="L986" s="33">
        <v>983</v>
      </c>
      <c r="M986" s="23">
        <f ca="1"/>
        <v>294521.0635646896</v>
      </c>
      <c r="N986" s="25">
        <f t="shared" si="45"/>
        <v>244354.99000000005</v>
      </c>
      <c r="O986" s="25">
        <f t="shared" ca="1" si="46"/>
        <v>0</v>
      </c>
      <c r="P986" s="25">
        <f t="shared" ca="1" si="47"/>
        <v>0</v>
      </c>
    </row>
    <row r="987" spans="12:16" s="23" customFormat="1" ht="13.8">
      <c r="L987" s="23">
        <v>984</v>
      </c>
      <c r="M987" s="23">
        <f ca="1"/>
        <v>108248.35766723337</v>
      </c>
      <c r="N987" s="25">
        <f t="shared" si="45"/>
        <v>244354.99000000005</v>
      </c>
      <c r="O987" s="25">
        <f t="shared" ca="1" si="46"/>
        <v>1</v>
      </c>
      <c r="P987" s="25">
        <f t="shared" ca="1" si="47"/>
        <v>0.55700369504533809</v>
      </c>
    </row>
    <row r="988" spans="12:16" s="23" customFormat="1" ht="13.8">
      <c r="L988" s="33">
        <v>985</v>
      </c>
      <c r="M988" s="23">
        <f ca="1"/>
        <v>-3285.916001811946</v>
      </c>
      <c r="N988" s="25">
        <f t="shared" si="45"/>
        <v>244354.99000000005</v>
      </c>
      <c r="O988" s="25">
        <f t="shared" ca="1" si="46"/>
        <v>1</v>
      </c>
      <c r="P988" s="25">
        <f t="shared" ca="1" si="47"/>
        <v>1.0134473046849255</v>
      </c>
    </row>
    <row r="989" spans="12:16" s="23" customFormat="1" ht="13.8">
      <c r="L989" s="23">
        <v>986</v>
      </c>
      <c r="M989" s="23">
        <f ca="1"/>
        <v>215271.95725893343</v>
      </c>
      <c r="N989" s="25">
        <f t="shared" si="45"/>
        <v>244354.99000000005</v>
      </c>
      <c r="O989" s="25">
        <f t="shared" ca="1" si="46"/>
        <v>1</v>
      </c>
      <c r="P989" s="25">
        <f t="shared" ca="1" si="47"/>
        <v>0.11901959825361706</v>
      </c>
    </row>
    <row r="990" spans="12:16" s="23" customFormat="1" ht="13.8">
      <c r="L990" s="33">
        <v>987</v>
      </c>
      <c r="M990" s="23">
        <f ca="1"/>
        <v>308092.53705361707</v>
      </c>
      <c r="N990" s="25">
        <f t="shared" si="45"/>
        <v>244354.99000000005</v>
      </c>
      <c r="O990" s="25">
        <f t="shared" ca="1" si="46"/>
        <v>0</v>
      </c>
      <c r="P990" s="25">
        <f t="shared" ca="1" si="47"/>
        <v>0</v>
      </c>
    </row>
    <row r="991" spans="12:16" s="23" customFormat="1" ht="13.8">
      <c r="L991" s="23">
        <v>988</v>
      </c>
      <c r="M991" s="23">
        <f ca="1"/>
        <v>29719.365263082018</v>
      </c>
      <c r="N991" s="25">
        <f t="shared" si="45"/>
        <v>244354.99000000005</v>
      </c>
      <c r="O991" s="25">
        <f t="shared" ca="1" si="46"/>
        <v>1</v>
      </c>
      <c r="P991" s="25">
        <f t="shared" ca="1" si="47"/>
        <v>0.87837627026531351</v>
      </c>
    </row>
    <row r="992" spans="12:16" s="23" customFormat="1" ht="13.8">
      <c r="L992" s="33">
        <v>989</v>
      </c>
      <c r="M992" s="23">
        <f ca="1"/>
        <v>204903.36274723223</v>
      </c>
      <c r="N992" s="25">
        <f t="shared" si="45"/>
        <v>244354.99000000005</v>
      </c>
      <c r="O992" s="25">
        <f t="shared" ca="1" si="46"/>
        <v>1</v>
      </c>
      <c r="P992" s="25">
        <f t="shared" ca="1" si="47"/>
        <v>0.16145210397695506</v>
      </c>
    </row>
    <row r="993" spans="12:16" s="23" customFormat="1" ht="13.8">
      <c r="L993" s="23">
        <v>990</v>
      </c>
      <c r="M993" s="23">
        <f ca="1"/>
        <v>220256.20268312021</v>
      </c>
      <c r="N993" s="25">
        <f t="shared" si="45"/>
        <v>244354.99000000005</v>
      </c>
      <c r="O993" s="25">
        <f t="shared" ca="1" si="46"/>
        <v>1</v>
      </c>
      <c r="P993" s="25">
        <f t="shared" ca="1" si="47"/>
        <v>9.8622038849625435E-2</v>
      </c>
    </row>
    <row r="994" spans="12:16" s="23" customFormat="1" ht="13.8">
      <c r="L994" s="33">
        <v>991</v>
      </c>
      <c r="M994" s="23">
        <f ca="1"/>
        <v>238182.2367128027</v>
      </c>
      <c r="N994" s="25">
        <f t="shared" si="45"/>
        <v>244354.99000000005</v>
      </c>
      <c r="O994" s="25">
        <f t="shared" ca="1" si="46"/>
        <v>1</v>
      </c>
      <c r="P994" s="25">
        <f t="shared" ca="1" si="47"/>
        <v>2.5261416954068961E-2</v>
      </c>
    </row>
    <row r="995" spans="12:16" s="23" customFormat="1" ht="13.8">
      <c r="L995" s="23">
        <v>992</v>
      </c>
      <c r="M995" s="23">
        <f ca="1"/>
        <v>296841.30323747807</v>
      </c>
      <c r="N995" s="25">
        <f t="shared" si="45"/>
        <v>244354.99000000005</v>
      </c>
      <c r="O995" s="25">
        <f t="shared" ca="1" si="46"/>
        <v>0</v>
      </c>
      <c r="P995" s="25">
        <f t="shared" ca="1" si="47"/>
        <v>0</v>
      </c>
    </row>
    <row r="996" spans="12:16" s="23" customFormat="1" ht="13.8">
      <c r="L996" s="33">
        <v>993</v>
      </c>
      <c r="M996" s="23">
        <f ca="1"/>
        <v>268505.05456799077</v>
      </c>
      <c r="N996" s="25">
        <f t="shared" si="45"/>
        <v>244354.99000000005</v>
      </c>
      <c r="O996" s="25">
        <f t="shared" ca="1" si="46"/>
        <v>0</v>
      </c>
      <c r="P996" s="25">
        <f t="shared" ca="1" si="47"/>
        <v>0</v>
      </c>
    </row>
    <row r="997" spans="12:16" s="23" customFormat="1" ht="13.8">
      <c r="L997" s="23">
        <v>994</v>
      </c>
      <c r="M997" s="23">
        <f ca="1"/>
        <v>159202.05173702876</v>
      </c>
      <c r="N997" s="25">
        <f t="shared" si="45"/>
        <v>244354.99000000005</v>
      </c>
      <c r="O997" s="25">
        <f t="shared" ca="1" si="46"/>
        <v>1</v>
      </c>
      <c r="P997" s="25">
        <f t="shared" ca="1" si="47"/>
        <v>0.34848045568036601</v>
      </c>
    </row>
    <row r="998" spans="12:16" s="23" customFormat="1" ht="13.8">
      <c r="L998" s="33">
        <v>995</v>
      </c>
      <c r="M998" s="23">
        <f ca="1"/>
        <v>355670.79312937305</v>
      </c>
      <c r="N998" s="25">
        <f t="shared" si="45"/>
        <v>244354.99000000005</v>
      </c>
      <c r="O998" s="25">
        <f t="shared" ca="1" si="46"/>
        <v>0</v>
      </c>
      <c r="P998" s="25">
        <f t="shared" ca="1" si="47"/>
        <v>0</v>
      </c>
    </row>
    <row r="999" spans="12:16" s="23" customFormat="1" ht="13.8">
      <c r="L999" s="23">
        <v>996</v>
      </c>
      <c r="M999" s="23">
        <f ca="1"/>
        <v>64190.887151614537</v>
      </c>
      <c r="N999" s="25">
        <f t="shared" si="45"/>
        <v>244354.99000000005</v>
      </c>
      <c r="O999" s="25">
        <f t="shared" ca="1" si="46"/>
        <v>1</v>
      </c>
      <c r="P999" s="25">
        <f t="shared" ca="1" si="47"/>
        <v>0.73730478288323675</v>
      </c>
    </row>
    <row r="1000" spans="12:16" s="23" customFormat="1" ht="13.8">
      <c r="L1000" s="33">
        <v>997</v>
      </c>
      <c r="M1000" s="23">
        <f ca="1"/>
        <v>264714.87539713155</v>
      </c>
      <c r="N1000" s="25">
        <f t="shared" si="45"/>
        <v>244354.99000000005</v>
      </c>
      <c r="O1000" s="25">
        <f t="shared" ca="1" si="46"/>
        <v>0</v>
      </c>
      <c r="P1000" s="25">
        <f t="shared" ca="1" si="47"/>
        <v>0</v>
      </c>
    </row>
    <row r="1001" spans="12:16" s="23" customFormat="1" ht="13.8">
      <c r="L1001" s="23">
        <v>998</v>
      </c>
      <c r="M1001" s="23">
        <f ca="1"/>
        <v>185177.39122290898</v>
      </c>
      <c r="N1001" s="25">
        <f t="shared" si="45"/>
        <v>244354.99000000005</v>
      </c>
      <c r="O1001" s="25">
        <f t="shared" ca="1" si="46"/>
        <v>1</v>
      </c>
      <c r="P1001" s="25">
        <f t="shared" ca="1" si="47"/>
        <v>0.2421788021480186</v>
      </c>
    </row>
    <row r="1002" spans="12:16" s="23" customFormat="1" ht="13.8">
      <c r="L1002" s="33">
        <v>999</v>
      </c>
      <c r="M1002" s="23">
        <f ca="1"/>
        <v>-44136.607876775772</v>
      </c>
      <c r="N1002" s="25">
        <f t="shared" si="45"/>
        <v>244354.99000000005</v>
      </c>
      <c r="O1002" s="25">
        <f t="shared" ca="1" si="46"/>
        <v>1</v>
      </c>
      <c r="P1002" s="25">
        <f t="shared" ca="1" si="47"/>
        <v>1.1806249501054829</v>
      </c>
    </row>
    <row r="1003" spans="12:16" s="23" customFormat="1" ht="13.8">
      <c r="L1003" s="23">
        <v>1000</v>
      </c>
      <c r="M1003" s="23">
        <f ca="1"/>
        <v>283594.27148885693</v>
      </c>
      <c r="N1003" s="25">
        <f t="shared" si="45"/>
        <v>244354.99000000005</v>
      </c>
      <c r="O1003" s="25">
        <f t="shared" ca="1" si="46"/>
        <v>0</v>
      </c>
      <c r="P1003" s="25">
        <f t="shared" ca="1" si="47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97B3-6B14-422F-8838-549D3DA2D46A}">
  <sheetPr codeName="Sheet8"/>
  <dimension ref="B2:AM207"/>
  <sheetViews>
    <sheetView showGridLines="0" zoomScale="70" zoomScaleNormal="70" workbookViewId="0">
      <selection activeCell="M14" sqref="M14"/>
    </sheetView>
  </sheetViews>
  <sheetFormatPr defaultColWidth="36.88671875" defaultRowHeight="14.4"/>
  <cols>
    <col min="1" max="1" width="36.88671875" style="5"/>
    <col min="2" max="2" width="5.5546875" style="2" customWidth="1"/>
    <col min="3" max="3" width="21.5546875" style="5" bestFit="1" customWidth="1"/>
    <col min="4" max="4" width="11.109375" style="5" bestFit="1" customWidth="1"/>
    <col min="5" max="5" width="21.33203125" style="5" bestFit="1" customWidth="1"/>
    <col min="6" max="6" width="11.109375" style="5" bestFit="1" customWidth="1"/>
    <col min="7" max="7" width="1.33203125" style="3" customWidth="1"/>
    <col min="8" max="8" width="18.5546875" style="3" bestFit="1" customWidth="1"/>
    <col min="9" max="11" width="18.5546875" style="3" customWidth="1"/>
    <col min="12" max="12" width="11.6640625" style="3" bestFit="1" customWidth="1"/>
    <col min="13" max="13" width="12.5546875" style="3" bestFit="1" customWidth="1"/>
    <col min="14" max="17" width="12.5546875" style="3" customWidth="1"/>
    <col min="18" max="20" width="6.6640625" style="3" customWidth="1"/>
    <col min="21" max="21" width="6.6640625" style="4" customWidth="1"/>
    <col min="22" max="22" width="5.21875" style="5" bestFit="1" customWidth="1"/>
    <col min="23" max="23" width="11.88671875" style="6" bestFit="1" customWidth="1"/>
    <col min="24" max="24" width="8.109375" style="5" bestFit="1" customWidth="1"/>
    <col min="25" max="25" width="9.33203125" style="5" customWidth="1"/>
    <col min="26" max="26" width="8.88671875" style="5" bestFit="1" customWidth="1"/>
    <col min="27" max="27" width="7.21875" style="5" bestFit="1" customWidth="1"/>
    <col min="28" max="28" width="11.6640625" style="5" bestFit="1" customWidth="1"/>
    <col min="29" max="29" width="7.21875" style="5" bestFit="1" customWidth="1"/>
    <col min="30" max="30" width="14.44140625" style="5" bestFit="1" customWidth="1"/>
    <col min="31" max="16384" width="36.88671875" style="5"/>
  </cols>
  <sheetData>
    <row r="2" spans="3:39">
      <c r="C2" s="57" t="s">
        <v>3</v>
      </c>
      <c r="D2" s="57"/>
      <c r="E2" s="57"/>
      <c r="F2" s="57"/>
      <c r="G2" s="57"/>
      <c r="H2" s="57"/>
      <c r="I2" s="57"/>
      <c r="J2"/>
      <c r="K2"/>
    </row>
    <row r="4" spans="3:39" ht="15" thickBot="1"/>
    <row r="5" spans="3:39" ht="17.25" customHeight="1" thickBot="1">
      <c r="W5" s="5"/>
      <c r="Y5" s="7">
        <f>1.5/MAX(Y7:Y55)</f>
        <v>404918.10774821957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spans="3:39">
      <c r="V6" s="8" t="s">
        <v>48</v>
      </c>
      <c r="W6" s="9" t="s">
        <v>49</v>
      </c>
      <c r="X6" s="9" t="s">
        <v>50</v>
      </c>
      <c r="Y6" s="10" t="s">
        <v>51</v>
      </c>
      <c r="Z6" s="9" t="s">
        <v>52</v>
      </c>
      <c r="AA6" s="9" t="s">
        <v>53</v>
      </c>
      <c r="AB6" s="9" t="s">
        <v>54</v>
      </c>
      <c r="AC6" s="9" t="s">
        <v>53</v>
      </c>
      <c r="AD6" s="9" t="s">
        <v>55</v>
      </c>
      <c r="AE6" s="6"/>
    </row>
    <row r="7" spans="3:39">
      <c r="H7" s="11"/>
      <c r="V7" s="12">
        <v>6</v>
      </c>
      <c r="W7" s="13">
        <f t="shared" ref="W7:W55" si="0">$F$22-($F$24*V7)</f>
        <v>-539255.58321287727</v>
      </c>
      <c r="X7" s="12">
        <f t="shared" ref="X7:X55" si="1">(1/(SQRT(2*PI()*$F$24^2))*EXP((-1/(2*$F$24^2))*(W7-$F$22)^2))*$Y$5+$AA$19</f>
        <v>12.000000022036845</v>
      </c>
      <c r="Y7" s="12">
        <f>(1/(SQRT(2*PI()*$D$24^2))*EXP((-1/(2*$D$24^2))*(W7-$F$22)^2))</f>
        <v>1.4708437104727446E-14</v>
      </c>
      <c r="Z7" s="14">
        <v>12</v>
      </c>
      <c r="AA7" s="13">
        <v>0</v>
      </c>
      <c r="AB7" s="13">
        <f>D22</f>
        <v>125976</v>
      </c>
      <c r="AC7" s="14">
        <v>11</v>
      </c>
      <c r="AD7" s="12">
        <f>$D$26</f>
        <v>244354.99000000005</v>
      </c>
    </row>
    <row r="8" spans="3:39">
      <c r="V8" s="12">
        <f t="shared" ref="V8:V55" si="2">V7-0.25</f>
        <v>5.75</v>
      </c>
      <c r="W8" s="13">
        <f t="shared" si="0"/>
        <v>-511345.11191514094</v>
      </c>
      <c r="X8" s="12">
        <f t="shared" si="1"/>
        <v>12.000000095723694</v>
      </c>
      <c r="Y8" s="12">
        <f t="shared" ref="Y8:Y55" si="3">(1/(SQRT(2*PI()*$D$24^2))*EXP((-1/(2*$D$24^2))*(W8-$F$22)^2))</f>
        <v>7.1298048979052866E-14</v>
      </c>
      <c r="Z8" s="14">
        <v>12</v>
      </c>
      <c r="AA8" s="14">
        <v>1</v>
      </c>
      <c r="AB8" s="13" cm="1">
        <f t="array" aca="1" ref="AB8" ca="1">_xlfn.LET(_xlpm.mean,_xlfn.XLOOKUP($C$2,calc!$C$3:$C$6,calc!$H$3:$H$6),_xlpm.sd,_xlfn.XLOOKUP($C$2,calc!$C$3:$C$6,calc!$I$3:$I$6),D22*EXP((_xlpm.mean-0.5*_xlpm.sd^2)*1/12+_xlpm.sd*SQRT(1/12)*_xlfn.NORM.S.INV(_xlfn.RANDARRAY(1))))</f>
        <v>146492.00212045808</v>
      </c>
      <c r="AC8" s="14">
        <v>12</v>
      </c>
      <c r="AD8" s="12">
        <f>$D$26</f>
        <v>244354.99000000005</v>
      </c>
    </row>
    <row r="9" spans="3:39">
      <c r="V9" s="12">
        <f t="shared" si="2"/>
        <v>5.5</v>
      </c>
      <c r="W9" s="13">
        <f t="shared" si="0"/>
        <v>-483434.64061740466</v>
      </c>
      <c r="X9" s="12">
        <f t="shared" si="1"/>
        <v>12.000000390612435</v>
      </c>
      <c r="Y9" s="12">
        <f t="shared" si="3"/>
        <v>3.2316035615223796E-13</v>
      </c>
      <c r="Z9" s="14">
        <v>12</v>
      </c>
      <c r="AA9" s="14">
        <v>2</v>
      </c>
      <c r="AB9" s="13" cm="1">
        <f t="array" aca="1" ref="AB9" ca="1">_xlfn.LET(_xlpm.mean,_xlfn.XLOOKUP($C$2,calc!$C$3:$C$6,calc!$H$3:$H$6),_xlpm.sd,_xlfn.XLOOKUP($C$2,calc!$C$3:$C$6,calc!$I$3:$I$6),AB8*EXP((_xlpm.mean-0.5*_xlpm.sd^2)*1/12+_xlpm.sd*SQRT(1/12)*_xlfn.NORM.S.INV(_xlfn.RANDARRAY(1))))</f>
        <v>99533.49256190451</v>
      </c>
      <c r="AC9" s="14">
        <v>13</v>
      </c>
      <c r="AD9" s="12">
        <f>$D$26</f>
        <v>244354.99000000005</v>
      </c>
    </row>
    <row r="10" spans="3:39">
      <c r="V10" s="12">
        <f t="shared" si="2"/>
        <v>5.25</v>
      </c>
      <c r="W10" s="13">
        <f t="shared" si="0"/>
        <v>-455524.16931966826</v>
      </c>
      <c r="X10" s="12">
        <f t="shared" si="1"/>
        <v>12.000001497370505</v>
      </c>
      <c r="Y10" s="12">
        <f t="shared" si="3"/>
        <v>1.369581321615298E-12</v>
      </c>
      <c r="Z10" s="14">
        <v>12</v>
      </c>
      <c r="AA10" s="14">
        <v>3</v>
      </c>
      <c r="AB10" s="13" cm="1">
        <f t="array" aca="1" ref="AB10" ca="1">_xlfn.LET(_xlpm.mean,_xlfn.XLOOKUP($C$2,calc!$C$3:$C$6,calc!$H$3:$H$6),_xlpm.sd,_xlfn.XLOOKUP($C$2,calc!$C$3:$C$6,calc!$I$3:$I$6),AB9*EXP((_xlpm.mean-0.5*_xlpm.sd^2)*1/12+_xlpm.sd*SQRT(1/12)*_xlfn.NORM.S.INV(_xlfn.RANDARRAY(1))))</f>
        <v>72126.83453756322</v>
      </c>
    </row>
    <row r="11" spans="3:39">
      <c r="V11" s="12">
        <f t="shared" si="2"/>
        <v>5</v>
      </c>
      <c r="W11" s="13">
        <f t="shared" si="0"/>
        <v>-427613.69802193198</v>
      </c>
      <c r="X11" s="12">
        <f t="shared" si="1"/>
        <v>12.000005392238331</v>
      </c>
      <c r="Y11" s="12">
        <f t="shared" si="3"/>
        <v>5.4273381977865478E-12</v>
      </c>
      <c r="Z11" s="14">
        <v>12</v>
      </c>
      <c r="AA11" s="14">
        <v>4</v>
      </c>
      <c r="AB11" s="13" cm="1">
        <f t="array" aca="1" ref="AB11" ca="1">_xlfn.LET(_xlpm.mean,_xlfn.XLOOKUP($C$2,calc!$C$3:$C$6,calc!$H$3:$H$6),_xlpm.sd,_xlfn.XLOOKUP($C$2,calc!$C$3:$C$6,calc!$I$3:$I$6),AB10*EXP((_xlpm.mean-0.5*_xlpm.sd^2)*1/12+_xlpm.sd*SQRT(1/12)*_xlfn.NORM.S.INV(_xlfn.RANDARRAY(1))))</f>
        <v>96607.591756911264</v>
      </c>
    </row>
    <row r="12" spans="3:39">
      <c r="V12" s="12">
        <f t="shared" si="2"/>
        <v>4.75</v>
      </c>
      <c r="W12" s="13">
        <f t="shared" si="0"/>
        <v>-399703.2267241957</v>
      </c>
      <c r="X12" s="12">
        <f t="shared" si="1"/>
        <v>12.00001824170714</v>
      </c>
      <c r="Y12" s="12">
        <f t="shared" si="3"/>
        <v>2.0110147664877165E-11</v>
      </c>
      <c r="Z12" s="14">
        <v>12</v>
      </c>
      <c r="AA12" s="14">
        <v>5</v>
      </c>
      <c r="AB12" s="13" cm="1">
        <f t="array" aca="1" ref="AB12" ca="1">_xlfn.LET(_xlpm.mean,_xlfn.XLOOKUP($C$2,calc!$C$3:$C$6,calc!$H$3:$H$6),_xlpm.sd,_xlfn.XLOOKUP($C$2,calc!$C$3:$C$6,calc!$I$3:$I$6),AB11*EXP((_xlpm.mean-0.5*_xlpm.sd^2)*1/12+_xlpm.sd*SQRT(1/12)*_xlfn.NORM.S.INV(_xlfn.RANDARRAY(1))))</f>
        <v>69627.212735951311</v>
      </c>
    </row>
    <row r="13" spans="3:39">
      <c r="V13" s="12">
        <f t="shared" si="2"/>
        <v>4.5</v>
      </c>
      <c r="W13" s="13">
        <f t="shared" si="0"/>
        <v>-371792.75542645936</v>
      </c>
      <c r="X13" s="12">
        <f t="shared" si="1"/>
        <v>12.000057972025397</v>
      </c>
      <c r="Y13" s="12">
        <f t="shared" si="3"/>
        <v>6.9674353602851624E-11</v>
      </c>
      <c r="Z13" s="14">
        <v>12</v>
      </c>
      <c r="AA13" s="14">
        <v>6</v>
      </c>
      <c r="AB13" s="13" cm="1">
        <f t="array" aca="1" ref="AB13" ca="1">_xlfn.LET(_xlpm.mean,_xlfn.XLOOKUP($C$2,calc!$C$3:$C$6,calc!$H$3:$H$6),_xlpm.sd,_xlfn.XLOOKUP($C$2,calc!$C$3:$C$6,calc!$I$3:$I$6),AB12*EXP((_xlpm.mean-0.5*_xlpm.sd^2)*1/12+_xlpm.sd*SQRT(1/12)*_xlfn.NORM.S.INV(_xlfn.RANDARRAY(1))))</f>
        <v>64982.794104275476</v>
      </c>
    </row>
    <row r="14" spans="3:39">
      <c r="V14" s="12">
        <f t="shared" si="2"/>
        <v>4.25</v>
      </c>
      <c r="W14" s="13">
        <f t="shared" si="0"/>
        <v>-343882.28412872303</v>
      </c>
      <c r="X14" s="12">
        <f t="shared" si="1"/>
        <v>12.000173072498548</v>
      </c>
      <c r="Y14" s="12">
        <f t="shared" si="3"/>
        <v>2.2571475564705761E-10</v>
      </c>
      <c r="Z14" s="14">
        <v>12</v>
      </c>
      <c r="AA14" s="14">
        <v>7</v>
      </c>
      <c r="AB14" s="13" cm="1">
        <f t="array" aca="1" ref="AB14" ca="1">_xlfn.LET(_xlpm.mean,_xlfn.XLOOKUP($C$2,calc!$C$3:$C$6,calc!$H$3:$H$6),_xlpm.sd,_xlfn.XLOOKUP($C$2,calc!$C$3:$C$6,calc!$I$3:$I$6),AB13*EXP((_xlpm.mean-0.5*_xlpm.sd^2)*1/12+_xlpm.sd*SQRT(1/12)*_xlfn.NORM.S.INV(_xlfn.RANDARRAY(1))))</f>
        <v>41120.429607303784</v>
      </c>
    </row>
    <row r="15" spans="3:39">
      <c r="V15" s="12">
        <f t="shared" si="2"/>
        <v>4</v>
      </c>
      <c r="W15" s="13">
        <f t="shared" si="0"/>
        <v>-315971.81283098675</v>
      </c>
      <c r="X15" s="12">
        <f t="shared" si="1"/>
        <v>12.000485393825835</v>
      </c>
      <c r="Y15" s="12">
        <f t="shared" si="3"/>
        <v>6.8371682641156284E-10</v>
      </c>
      <c r="Z15" s="14">
        <v>12</v>
      </c>
      <c r="AA15" s="14">
        <v>8</v>
      </c>
      <c r="AB15" s="13" cm="1">
        <f t="array" aca="1" ref="AB15" ca="1">_xlfn.LET(_xlpm.mean,_xlfn.XLOOKUP($C$2,calc!$C$3:$C$6,calc!$H$3:$H$6),_xlpm.sd,_xlfn.XLOOKUP($C$2,calc!$C$3:$C$6,calc!$I$3:$I$6),AB14*EXP((_xlpm.mean-0.5*_xlpm.sd^2)*1/12+_xlpm.sd*SQRT(1/12)*_xlfn.NORM.S.INV(_xlfn.RANDARRAY(1))))</f>
        <v>28912.584019177782</v>
      </c>
    </row>
    <row r="16" spans="3:39">
      <c r="V16" s="12">
        <f t="shared" si="2"/>
        <v>3.75</v>
      </c>
      <c r="W16" s="13">
        <f t="shared" si="0"/>
        <v>-288061.34153325047</v>
      </c>
      <c r="X16" s="12">
        <f t="shared" si="1"/>
        <v>12.001278842400952</v>
      </c>
      <c r="Y16" s="12">
        <f t="shared" si="3"/>
        <v>1.9365196100733465E-9</v>
      </c>
      <c r="Z16" s="14">
        <v>12</v>
      </c>
      <c r="AA16" s="14">
        <v>9</v>
      </c>
      <c r="AB16" s="13" cm="1">
        <f t="array" aca="1" ref="AB16" ca="1">_xlfn.LET(_xlpm.mean,_xlfn.XLOOKUP($C$2,calc!$C$3:$C$6,calc!$H$3:$H$6),_xlpm.sd,_xlfn.XLOOKUP($C$2,calc!$C$3:$C$6,calc!$I$3:$I$6),AB15*EXP((_xlpm.mean-0.5*_xlpm.sd^2)*1/12+_xlpm.sd*SQRT(1/12)*_xlfn.NORM.S.INV(_xlfn.RANDARRAY(1))))</f>
        <v>21967.365728004235</v>
      </c>
    </row>
    <row r="17" spans="3:28">
      <c r="V17" s="12">
        <f t="shared" si="2"/>
        <v>3.5</v>
      </c>
      <c r="W17" s="13">
        <f t="shared" si="0"/>
        <v>-260150.87023551413</v>
      </c>
      <c r="X17" s="12">
        <f t="shared" si="1"/>
        <v>12.003165165340393</v>
      </c>
      <c r="Y17" s="12">
        <f t="shared" si="3"/>
        <v>5.1285765756800585E-9</v>
      </c>
      <c r="Z17" s="14">
        <v>12</v>
      </c>
      <c r="AA17" s="14">
        <v>10</v>
      </c>
      <c r="AB17" s="13" cm="1">
        <f t="array" aca="1" ref="AB17" ca="1">_xlfn.LET(_xlpm.mean,_xlfn.XLOOKUP($C$2,calc!$C$3:$C$6,calc!$H$3:$H$6),_xlpm.sd,_xlfn.XLOOKUP($C$2,calc!$C$3:$C$6,calc!$I$3:$I$6),AB16*EXP((_xlpm.mean-0.5*_xlpm.sd^2)*1/12+_xlpm.sd*SQRT(1/12)*_xlfn.NORM.S.INV(_xlfn.RANDARRAY(1))))</f>
        <v>21210.397686788914</v>
      </c>
    </row>
    <row r="18" spans="3:28">
      <c r="V18" s="12">
        <f t="shared" si="2"/>
        <v>3.25</v>
      </c>
      <c r="W18" s="13">
        <f t="shared" si="0"/>
        <v>-232240.39893777779</v>
      </c>
      <c r="X18" s="12">
        <f t="shared" si="1"/>
        <v>12.007359229902709</v>
      </c>
      <c r="Y18" s="12">
        <f t="shared" si="3"/>
        <v>1.2699923466367005E-8</v>
      </c>
      <c r="Z18" s="14">
        <v>12</v>
      </c>
      <c r="AA18" s="14">
        <v>11</v>
      </c>
      <c r="AB18" s="13" cm="1">
        <f t="array" aca="1" ref="AB18" ca="1">_xlfn.LET(_xlpm.mean,_xlfn.XLOOKUP($C$2,calc!$C$3:$C$6,calc!$H$3:$H$6),_xlpm.sd,_xlfn.XLOOKUP($C$2,calc!$C$3:$C$6,calc!$I$3:$I$6),AB17*EXP((_xlpm.mean-0.5*_xlpm.sd^2)*1/12+_xlpm.sd*SQRT(1/12)*_xlfn.NORM.S.INV(_xlfn.RANDARRAY(1))))</f>
        <v>31776.584683150755</v>
      </c>
    </row>
    <row r="19" spans="3:28">
      <c r="V19" s="12">
        <f t="shared" si="2"/>
        <v>3</v>
      </c>
      <c r="W19" s="13">
        <f t="shared" si="0"/>
        <v>-204329.92764004151</v>
      </c>
      <c r="X19" s="12">
        <f t="shared" si="1"/>
        <v>12.016074035920475</v>
      </c>
      <c r="Y19" s="12">
        <f t="shared" si="3"/>
        <v>2.9405913625594845E-8</v>
      </c>
      <c r="Z19" s="14">
        <v>12</v>
      </c>
      <c r="AA19" s="14">
        <v>12</v>
      </c>
      <c r="AB19" s="13" cm="1">
        <f t="array" aca="1" ref="AB19" ca="1">_xlfn.LET(_xlpm.mean,_xlfn.XLOOKUP($C$2,calc!$C$3:$C$6,calc!$H$3:$H$6),_xlpm.sd,_xlfn.XLOOKUP($C$2,calc!$C$3:$C$6,calc!$I$3:$I$6),AB18*EXP((_xlpm.mean-0.5*_xlpm.sd^2)*1/12+_xlpm.sd*SQRT(1/12)*_xlfn.NORM.S.INV(_xlfn.RANDARRAY(1))))</f>
        <v>33644.084557248716</v>
      </c>
    </row>
    <row r="20" spans="3:28">
      <c r="V20" s="12">
        <f t="shared" si="2"/>
        <v>2.75</v>
      </c>
      <c r="W20" s="13">
        <f t="shared" si="0"/>
        <v>-176419.45634230523</v>
      </c>
      <c r="X20" s="12">
        <f t="shared" si="1"/>
        <v>12.032981780221077</v>
      </c>
      <c r="Y20" s="12">
        <f t="shared" si="3"/>
        <v>6.3664534039880573E-8</v>
      </c>
      <c r="Z20" s="14">
        <v>12</v>
      </c>
    </row>
    <row r="21" spans="3:28">
      <c r="C21" s="56" t="s">
        <v>56</v>
      </c>
      <c r="D21" s="56"/>
      <c r="E21" s="56"/>
      <c r="F21" s="56"/>
      <c r="V21" s="12">
        <f t="shared" si="2"/>
        <v>2.5</v>
      </c>
      <c r="W21" s="13">
        <f t="shared" si="0"/>
        <v>-148508.98504456889</v>
      </c>
      <c r="X21" s="12">
        <f t="shared" si="1"/>
        <v>12.063574045312464</v>
      </c>
      <c r="Y21" s="12">
        <f t="shared" si="3"/>
        <v>1.2888125799807526E-7</v>
      </c>
      <c r="Z21" s="14">
        <v>12</v>
      </c>
    </row>
    <row r="22" spans="3:28">
      <c r="C22" s="5" t="s">
        <v>57</v>
      </c>
      <c r="D22" s="15">
        <f>_xlfn.XLOOKUP(C2,calc!C3:C6,calc!F3:F6)</f>
        <v>125976</v>
      </c>
      <c r="E22" s="5" t="s">
        <v>58</v>
      </c>
      <c r="F22" s="16">
        <f>D22*EXP(_xlfn.XLOOKUP(C2,calc!C3:C6,calc!H3:H6)*1)</f>
        <v>130595.72793279418</v>
      </c>
      <c r="V22" s="12">
        <f t="shared" si="2"/>
        <v>2.25</v>
      </c>
      <c r="W22" s="13">
        <f t="shared" si="0"/>
        <v>-120598.5137468326</v>
      </c>
      <c r="X22" s="12">
        <f t="shared" si="1"/>
        <v>12.115117724319189</v>
      </c>
      <c r="Y22" s="12">
        <f t="shared" si="3"/>
        <v>2.4395587557508305E-7</v>
      </c>
      <c r="Z22" s="14">
        <v>12</v>
      </c>
    </row>
    <row r="23" spans="3:28">
      <c r="C23" s="5" t="s">
        <v>59</v>
      </c>
      <c r="D23" s="17">
        <f>_xlfn.XLOOKUP(C2,calc!C3:C6,calc!I3:I6)</f>
        <v>0.85486628818667965</v>
      </c>
      <c r="E23" s="5" t="s">
        <v>59</v>
      </c>
      <c r="F23" s="18">
        <f>D23</f>
        <v>0.85486628818667965</v>
      </c>
      <c r="V23" s="12">
        <f t="shared" si="2"/>
        <v>2</v>
      </c>
      <c r="W23" s="13">
        <f t="shared" si="0"/>
        <v>-92688.042449096291</v>
      </c>
      <c r="X23" s="12">
        <f t="shared" si="1"/>
        <v>12.195821845525327</v>
      </c>
      <c r="Y23" s="12">
        <f t="shared" si="3"/>
        <v>4.317795927107739E-7</v>
      </c>
      <c r="Z23" s="14">
        <v>12</v>
      </c>
    </row>
    <row r="24" spans="3:28">
      <c r="C24" s="5" t="s">
        <v>60</v>
      </c>
      <c r="D24" s="19">
        <f>D23*D22</f>
        <v>107692.63552060515</v>
      </c>
      <c r="E24" s="5" t="s">
        <v>61</v>
      </c>
      <c r="F24" s="20">
        <f>F22*D23</f>
        <v>111641.88519094524</v>
      </c>
      <c r="V24" s="12">
        <f t="shared" si="2"/>
        <v>1.75</v>
      </c>
      <c r="W24" s="13">
        <f t="shared" si="0"/>
        <v>-64777.571151359982</v>
      </c>
      <c r="X24" s="12">
        <f t="shared" si="1"/>
        <v>12.312922418150409</v>
      </c>
      <c r="Y24" s="12">
        <f t="shared" si="3"/>
        <v>7.1456584922511574E-7</v>
      </c>
      <c r="Z24" s="14">
        <v>12</v>
      </c>
    </row>
    <row r="25" spans="3:28">
      <c r="C25" s="3"/>
      <c r="D25" s="3"/>
      <c r="E25" s="3"/>
      <c r="F25" s="3"/>
      <c r="V25" s="12">
        <f t="shared" si="2"/>
        <v>1.5</v>
      </c>
      <c r="W25" s="13">
        <f t="shared" si="0"/>
        <v>-36867.099853623673</v>
      </c>
      <c r="X25" s="12">
        <f t="shared" si="1"/>
        <v>12.46975218724975</v>
      </c>
      <c r="Y25" s="12">
        <f t="shared" si="3"/>
        <v>1.1057366753392797E-6</v>
      </c>
      <c r="Z25" s="14">
        <v>12</v>
      </c>
    </row>
    <row r="26" spans="3:28">
      <c r="C26" s="5" t="s">
        <v>62</v>
      </c>
      <c r="D26" s="21">
        <f>_xlfn.XLOOKUP(C2,calc!C3:C6,calc!G3:G6)</f>
        <v>244354.99000000005</v>
      </c>
      <c r="E26" s="3"/>
      <c r="F26" s="3"/>
      <c r="V26" s="12">
        <f t="shared" si="2"/>
        <v>1.25</v>
      </c>
      <c r="W26" s="13">
        <f t="shared" si="0"/>
        <v>-8956.6285558873642</v>
      </c>
      <c r="X26" s="12">
        <f t="shared" si="1"/>
        <v>12.662456764422894</v>
      </c>
      <c r="Y26" s="12">
        <f t="shared" si="3"/>
        <v>1.5998913374581082E-6</v>
      </c>
      <c r="Z26" s="14">
        <v>12</v>
      </c>
    </row>
    <row r="27" spans="3:28">
      <c r="C27" s="3"/>
      <c r="D27" s="3"/>
      <c r="E27" s="3"/>
      <c r="F27" s="3"/>
      <c r="V27" s="12">
        <f t="shared" si="2"/>
        <v>1</v>
      </c>
      <c r="W27" s="13">
        <f t="shared" si="0"/>
        <v>18953.842741848945</v>
      </c>
      <c r="X27" s="12">
        <f t="shared" si="1"/>
        <v>12.877612624824287</v>
      </c>
      <c r="Y27" s="12">
        <f t="shared" si="3"/>
        <v>2.164504900416106E-6</v>
      </c>
      <c r="Z27" s="14">
        <v>12</v>
      </c>
    </row>
    <row r="28" spans="3:28">
      <c r="C28" s="3"/>
      <c r="D28" s="3"/>
      <c r="E28" s="3"/>
      <c r="F28" s="3"/>
      <c r="V28" s="12">
        <f t="shared" si="2"/>
        <v>0.75</v>
      </c>
      <c r="W28" s="13">
        <f t="shared" si="0"/>
        <v>46864.314039585253</v>
      </c>
      <c r="X28" s="12">
        <f t="shared" si="1"/>
        <v>13.092206558423209</v>
      </c>
      <c r="Y28" s="12">
        <f t="shared" si="3"/>
        <v>2.738142044589018E-6</v>
      </c>
      <c r="Z28" s="14">
        <v>12</v>
      </c>
    </row>
    <row r="29" spans="3:28">
      <c r="E29" s="3"/>
      <c r="F29" s="3"/>
      <c r="V29" s="12">
        <f t="shared" si="2"/>
        <v>0.5</v>
      </c>
      <c r="W29" s="13">
        <f t="shared" si="0"/>
        <v>74774.785337321562</v>
      </c>
      <c r="X29" s="12">
        <f t="shared" si="1"/>
        <v>13.276918834479885</v>
      </c>
      <c r="Y29" s="12">
        <f t="shared" si="3"/>
        <v>3.2387892465004004E-6</v>
      </c>
      <c r="Z29" s="14">
        <v>12</v>
      </c>
    </row>
    <row r="30" spans="3:28">
      <c r="C30" s="3"/>
      <c r="D30" s="3"/>
      <c r="E30" s="3"/>
      <c r="F30" s="3"/>
      <c r="V30" s="12">
        <f t="shared" si="2"/>
        <v>0.25</v>
      </c>
      <c r="W30" s="13">
        <f t="shared" si="0"/>
        <v>102685.25663505787</v>
      </c>
      <c r="X30" s="12">
        <f t="shared" si="1"/>
        <v>13.402420981288444</v>
      </c>
      <c r="Y30" s="12">
        <f t="shared" si="3"/>
        <v>3.582108345157012E-6</v>
      </c>
      <c r="Z30" s="14">
        <v>12</v>
      </c>
    </row>
    <row r="31" spans="3:28">
      <c r="C31" s="3"/>
      <c r="D31" s="3"/>
      <c r="E31" s="3"/>
      <c r="F31" s="3"/>
      <c r="V31" s="12">
        <f t="shared" si="2"/>
        <v>0</v>
      </c>
      <c r="W31" s="13">
        <f t="shared" si="0"/>
        <v>130595.72793279418</v>
      </c>
      <c r="X31" s="12">
        <f t="shared" si="1"/>
        <v>13.446938601982776</v>
      </c>
      <c r="Y31" s="12">
        <f t="shared" si="3"/>
        <v>3.7044527555006474E-6</v>
      </c>
      <c r="Z31" s="14">
        <v>12</v>
      </c>
    </row>
    <row r="32" spans="3:28">
      <c r="C32" s="3"/>
      <c r="D32" s="3"/>
      <c r="E32" s="3"/>
      <c r="F32" s="3"/>
      <c r="V32" s="12">
        <f t="shared" si="2"/>
        <v>-0.25</v>
      </c>
      <c r="W32" s="13">
        <f t="shared" si="0"/>
        <v>158506.19923053047</v>
      </c>
      <c r="X32" s="12">
        <f t="shared" si="1"/>
        <v>13.402420981288444</v>
      </c>
      <c r="Y32" s="12">
        <f t="shared" si="3"/>
        <v>3.582108345157012E-6</v>
      </c>
      <c r="Z32" s="14">
        <v>12</v>
      </c>
    </row>
    <row r="33" spans="3:26">
      <c r="C33" s="3"/>
      <c r="D33" s="3"/>
      <c r="E33" s="3"/>
      <c r="F33" s="3"/>
      <c r="V33" s="12">
        <f t="shared" si="2"/>
        <v>-0.5</v>
      </c>
      <c r="W33" s="13">
        <f t="shared" si="0"/>
        <v>186416.67052826681</v>
      </c>
      <c r="X33" s="12">
        <f t="shared" si="1"/>
        <v>13.276918834479883</v>
      </c>
      <c r="Y33" s="12">
        <f t="shared" si="3"/>
        <v>3.2387892465004004E-6</v>
      </c>
      <c r="Z33" s="14">
        <v>12</v>
      </c>
    </row>
    <row r="34" spans="3:26">
      <c r="C34" s="3"/>
      <c r="D34" s="3"/>
      <c r="E34" s="3"/>
      <c r="F34" s="3"/>
      <c r="V34" s="12">
        <f t="shared" si="2"/>
        <v>-0.75</v>
      </c>
      <c r="W34" s="13">
        <f t="shared" si="0"/>
        <v>214327.14182600309</v>
      </c>
      <c r="X34" s="12">
        <f t="shared" si="1"/>
        <v>13.092206558423209</v>
      </c>
      <c r="Y34" s="12">
        <f t="shared" si="3"/>
        <v>2.7381420445890184E-6</v>
      </c>
      <c r="Z34" s="14">
        <v>12</v>
      </c>
    </row>
    <row r="35" spans="3:26">
      <c r="C35" s="3"/>
      <c r="D35" s="3"/>
      <c r="E35" s="3"/>
      <c r="F35" s="3"/>
      <c r="V35" s="12">
        <f t="shared" si="2"/>
        <v>-1</v>
      </c>
      <c r="W35" s="13">
        <f t="shared" si="0"/>
        <v>242237.61312373943</v>
      </c>
      <c r="X35" s="12">
        <f t="shared" si="1"/>
        <v>12.877612624824287</v>
      </c>
      <c r="Y35" s="12">
        <f t="shared" si="3"/>
        <v>2.1645049004161055E-6</v>
      </c>
      <c r="Z35" s="14">
        <v>12</v>
      </c>
    </row>
    <row r="36" spans="3:26">
      <c r="V36" s="12">
        <f t="shared" si="2"/>
        <v>-1.25</v>
      </c>
      <c r="W36" s="13">
        <f t="shared" si="0"/>
        <v>270148.08442147571</v>
      </c>
      <c r="X36" s="12">
        <f t="shared" si="1"/>
        <v>12.662456764422894</v>
      </c>
      <c r="Y36" s="12">
        <f t="shared" si="3"/>
        <v>1.5998913374581088E-6</v>
      </c>
      <c r="Z36" s="14">
        <v>12</v>
      </c>
    </row>
    <row r="37" spans="3:26">
      <c r="V37" s="12">
        <f t="shared" si="2"/>
        <v>-1.5</v>
      </c>
      <c r="W37" s="13">
        <f t="shared" si="0"/>
        <v>298058.55571921205</v>
      </c>
      <c r="X37" s="12">
        <f t="shared" si="1"/>
        <v>12.46975218724975</v>
      </c>
      <c r="Y37" s="12">
        <f t="shared" si="3"/>
        <v>1.1057366753392797E-6</v>
      </c>
      <c r="Z37" s="14">
        <v>12</v>
      </c>
    </row>
    <row r="38" spans="3:26">
      <c r="V38" s="12">
        <f t="shared" si="2"/>
        <v>-1.75</v>
      </c>
      <c r="W38" s="13">
        <f t="shared" si="0"/>
        <v>325969.02701694833</v>
      </c>
      <c r="X38" s="12">
        <f t="shared" si="1"/>
        <v>12.312922418150409</v>
      </c>
      <c r="Y38" s="12">
        <f t="shared" si="3"/>
        <v>7.1456584922511605E-7</v>
      </c>
      <c r="Z38" s="14">
        <v>12</v>
      </c>
    </row>
    <row r="39" spans="3:26">
      <c r="V39" s="12">
        <f t="shared" si="2"/>
        <v>-2</v>
      </c>
      <c r="W39" s="13">
        <f t="shared" si="0"/>
        <v>353879.49831468466</v>
      </c>
      <c r="X39" s="12">
        <f t="shared" si="1"/>
        <v>12.195821845525327</v>
      </c>
      <c r="Y39" s="12">
        <f t="shared" si="3"/>
        <v>4.317795927107739E-7</v>
      </c>
      <c r="Z39" s="14">
        <v>12</v>
      </c>
    </row>
    <row r="40" spans="3:26">
      <c r="V40" s="12">
        <f t="shared" si="2"/>
        <v>-2.25</v>
      </c>
      <c r="W40" s="13">
        <f t="shared" si="0"/>
        <v>381789.96961242094</v>
      </c>
      <c r="X40" s="12">
        <f t="shared" si="1"/>
        <v>12.115117724319189</v>
      </c>
      <c r="Y40" s="12">
        <f t="shared" si="3"/>
        <v>2.4395587557508316E-7</v>
      </c>
      <c r="Z40" s="14">
        <v>12</v>
      </c>
    </row>
    <row r="41" spans="3:26">
      <c r="V41" s="12">
        <f t="shared" si="2"/>
        <v>-2.5</v>
      </c>
      <c r="W41" s="13">
        <f t="shared" si="0"/>
        <v>409700.44091015728</v>
      </c>
      <c r="X41" s="12">
        <f t="shared" si="1"/>
        <v>12.063574045312464</v>
      </c>
      <c r="Y41" s="12">
        <f t="shared" si="3"/>
        <v>1.2888125799807526E-7</v>
      </c>
      <c r="Z41" s="14">
        <v>12</v>
      </c>
    </row>
    <row r="42" spans="3:26">
      <c r="V42" s="12">
        <f t="shared" si="2"/>
        <v>-2.75</v>
      </c>
      <c r="W42" s="13">
        <f t="shared" si="0"/>
        <v>437610.91220789362</v>
      </c>
      <c r="X42" s="12">
        <f t="shared" si="1"/>
        <v>12.032981780221077</v>
      </c>
      <c r="Y42" s="12">
        <f t="shared" si="3"/>
        <v>6.3664534039880573E-8</v>
      </c>
      <c r="Z42" s="14">
        <v>12</v>
      </c>
    </row>
    <row r="43" spans="3:26">
      <c r="V43" s="12">
        <f t="shared" si="2"/>
        <v>-3</v>
      </c>
      <c r="W43" s="13">
        <f t="shared" si="0"/>
        <v>465521.3835056299</v>
      </c>
      <c r="X43" s="12">
        <f t="shared" si="1"/>
        <v>12.016074035920475</v>
      </c>
      <c r="Y43" s="12">
        <f t="shared" si="3"/>
        <v>2.9405913625594845E-8</v>
      </c>
      <c r="Z43" s="14">
        <v>12</v>
      </c>
    </row>
    <row r="44" spans="3:26">
      <c r="V44" s="12">
        <f t="shared" si="2"/>
        <v>-3.25</v>
      </c>
      <c r="W44" s="13">
        <f t="shared" si="0"/>
        <v>493431.85480336618</v>
      </c>
      <c r="X44" s="12">
        <f t="shared" si="1"/>
        <v>12.007359229902709</v>
      </c>
      <c r="Y44" s="12">
        <f t="shared" si="3"/>
        <v>1.2699923466367005E-8</v>
      </c>
      <c r="Z44" s="14">
        <v>12</v>
      </c>
    </row>
    <row r="45" spans="3:26">
      <c r="V45" s="12">
        <f t="shared" si="2"/>
        <v>-3.5</v>
      </c>
      <c r="W45" s="13">
        <f t="shared" si="0"/>
        <v>521342.32610110252</v>
      </c>
      <c r="X45" s="12">
        <f t="shared" si="1"/>
        <v>12.003165165340393</v>
      </c>
      <c r="Y45" s="12">
        <f t="shared" si="3"/>
        <v>5.1285765756800585E-9</v>
      </c>
      <c r="Z45" s="14">
        <v>12</v>
      </c>
    </row>
    <row r="46" spans="3:26">
      <c r="V46" s="12">
        <f t="shared" si="2"/>
        <v>-3.75</v>
      </c>
      <c r="W46" s="13">
        <f t="shared" si="0"/>
        <v>549252.7973988388</v>
      </c>
      <c r="X46" s="12">
        <f t="shared" si="1"/>
        <v>12.001278842400952</v>
      </c>
      <c r="Y46" s="12">
        <f t="shared" si="3"/>
        <v>1.9365196100733519E-9</v>
      </c>
      <c r="Z46" s="14">
        <v>12</v>
      </c>
    </row>
    <row r="47" spans="3:26">
      <c r="V47" s="12">
        <f t="shared" si="2"/>
        <v>-4</v>
      </c>
      <c r="W47" s="13">
        <f t="shared" si="0"/>
        <v>577163.26869657508</v>
      </c>
      <c r="X47" s="12">
        <f t="shared" si="1"/>
        <v>12.000485393825835</v>
      </c>
      <c r="Y47" s="12">
        <f t="shared" si="3"/>
        <v>6.8371682641156532E-10</v>
      </c>
      <c r="Z47" s="14">
        <v>12</v>
      </c>
    </row>
    <row r="48" spans="3:26">
      <c r="V48" s="12">
        <f t="shared" si="2"/>
        <v>-4.25</v>
      </c>
      <c r="W48" s="13">
        <f t="shared" si="0"/>
        <v>605073.73999431136</v>
      </c>
      <c r="X48" s="12">
        <f t="shared" si="1"/>
        <v>12.000173072498548</v>
      </c>
      <c r="Y48" s="12">
        <f t="shared" si="3"/>
        <v>2.2571475564705842E-10</v>
      </c>
      <c r="Z48" s="14">
        <v>12</v>
      </c>
    </row>
    <row r="49" spans="22:26">
      <c r="V49" s="12">
        <f t="shared" si="2"/>
        <v>-4.5</v>
      </c>
      <c r="W49" s="13">
        <f t="shared" si="0"/>
        <v>632984.21129204775</v>
      </c>
      <c r="X49" s="12">
        <f t="shared" si="1"/>
        <v>12.000057972025397</v>
      </c>
      <c r="Y49" s="12">
        <f t="shared" si="3"/>
        <v>6.9674353602851624E-11</v>
      </c>
      <c r="Z49" s="14">
        <v>12</v>
      </c>
    </row>
    <row r="50" spans="22:26">
      <c r="V50" s="12">
        <f t="shared" si="2"/>
        <v>-4.75</v>
      </c>
      <c r="W50" s="13">
        <f t="shared" si="0"/>
        <v>660894.68258978403</v>
      </c>
      <c r="X50" s="12">
        <f t="shared" si="1"/>
        <v>12.00001824170714</v>
      </c>
      <c r="Y50" s="12">
        <f t="shared" si="3"/>
        <v>2.0110147664877165E-11</v>
      </c>
      <c r="Z50" s="14">
        <v>12</v>
      </c>
    </row>
    <row r="51" spans="22:26">
      <c r="V51" s="12">
        <f t="shared" si="2"/>
        <v>-5</v>
      </c>
      <c r="W51" s="13">
        <f t="shared" si="0"/>
        <v>688805.15388752031</v>
      </c>
      <c r="X51" s="12">
        <f t="shared" si="1"/>
        <v>12.000005392238331</v>
      </c>
      <c r="Y51" s="12">
        <f t="shared" si="3"/>
        <v>5.4273381977865478E-12</v>
      </c>
      <c r="Z51" s="14">
        <v>12</v>
      </c>
    </row>
    <row r="52" spans="22:26">
      <c r="V52" s="12">
        <f t="shared" si="2"/>
        <v>-5.25</v>
      </c>
      <c r="W52" s="13">
        <f t="shared" si="0"/>
        <v>716715.62518525659</v>
      </c>
      <c r="X52" s="12">
        <f t="shared" si="1"/>
        <v>12.000001497370505</v>
      </c>
      <c r="Y52" s="12">
        <f t="shared" si="3"/>
        <v>1.369581321615298E-12</v>
      </c>
      <c r="Z52" s="14">
        <v>12</v>
      </c>
    </row>
    <row r="53" spans="22:26">
      <c r="V53" s="12">
        <f t="shared" si="2"/>
        <v>-5.5</v>
      </c>
      <c r="W53" s="13">
        <f t="shared" si="0"/>
        <v>744626.09648299299</v>
      </c>
      <c r="X53" s="12">
        <f t="shared" si="1"/>
        <v>12.000000390612435</v>
      </c>
      <c r="Y53" s="12">
        <f t="shared" si="3"/>
        <v>3.2316035615223796E-13</v>
      </c>
      <c r="Z53" s="14">
        <v>12</v>
      </c>
    </row>
    <row r="54" spans="22:26">
      <c r="V54" s="12">
        <f t="shared" si="2"/>
        <v>-5.75</v>
      </c>
      <c r="W54" s="13">
        <f t="shared" si="0"/>
        <v>772536.56778072927</v>
      </c>
      <c r="X54" s="12">
        <f t="shared" si="1"/>
        <v>12.000000095723694</v>
      </c>
      <c r="Y54" s="12">
        <f t="shared" si="3"/>
        <v>7.1298048979052866E-14</v>
      </c>
      <c r="Z54" s="14">
        <v>12</v>
      </c>
    </row>
    <row r="55" spans="22:26">
      <c r="V55" s="12">
        <f t="shared" si="2"/>
        <v>-6</v>
      </c>
      <c r="W55" s="13">
        <f t="shared" si="0"/>
        <v>800447.03907846555</v>
      </c>
      <c r="X55" s="12">
        <f t="shared" si="1"/>
        <v>12.000000022036845</v>
      </c>
      <c r="Y55" s="12">
        <f t="shared" si="3"/>
        <v>1.4708437104727446E-14</v>
      </c>
      <c r="Z55" s="14">
        <v>12</v>
      </c>
    </row>
    <row r="56" spans="22:26">
      <c r="X56" s="22"/>
      <c r="Y56" s="22"/>
    </row>
    <row r="57" spans="22:26">
      <c r="X57" s="22"/>
      <c r="Y57" s="22"/>
    </row>
    <row r="58" spans="22:26">
      <c r="X58" s="22"/>
      <c r="Y58" s="22"/>
    </row>
    <row r="59" spans="22:26">
      <c r="X59" s="22"/>
      <c r="Y59" s="22"/>
    </row>
    <row r="60" spans="22:26">
      <c r="X60" s="22"/>
      <c r="Y60" s="22"/>
    </row>
    <row r="61" spans="22:26">
      <c r="X61" s="22"/>
      <c r="Y61" s="22"/>
    </row>
    <row r="62" spans="22:26">
      <c r="X62" s="22"/>
      <c r="Y62" s="22"/>
    </row>
    <row r="63" spans="22:26">
      <c r="X63" s="22"/>
      <c r="Y63" s="22"/>
    </row>
    <row r="64" spans="22:26">
      <c r="X64" s="22"/>
      <c r="Y64" s="22"/>
    </row>
    <row r="65" spans="24:25">
      <c r="X65" s="22"/>
      <c r="Y65" s="22"/>
    </row>
    <row r="66" spans="24:25">
      <c r="X66" s="22"/>
      <c r="Y66" s="22"/>
    </row>
    <row r="67" spans="24:25">
      <c r="X67" s="22"/>
      <c r="Y67" s="22"/>
    </row>
    <row r="68" spans="24:25">
      <c r="X68" s="22"/>
      <c r="Y68" s="22"/>
    </row>
    <row r="69" spans="24:25">
      <c r="X69" s="22"/>
      <c r="Y69" s="22"/>
    </row>
    <row r="70" spans="24:25">
      <c r="X70" s="22"/>
      <c r="Y70" s="22"/>
    </row>
    <row r="71" spans="24:25">
      <c r="X71" s="22"/>
      <c r="Y71" s="22"/>
    </row>
    <row r="72" spans="24:25">
      <c r="X72" s="22"/>
      <c r="Y72" s="22"/>
    </row>
    <row r="73" spans="24:25">
      <c r="X73" s="22"/>
      <c r="Y73" s="22"/>
    </row>
    <row r="74" spans="24:25">
      <c r="X74" s="22"/>
      <c r="Y74" s="22"/>
    </row>
    <row r="75" spans="24:25">
      <c r="X75" s="22"/>
      <c r="Y75" s="22"/>
    </row>
    <row r="76" spans="24:25">
      <c r="X76" s="22"/>
      <c r="Y76" s="22"/>
    </row>
    <row r="77" spans="24:25">
      <c r="X77" s="22"/>
      <c r="Y77" s="22"/>
    </row>
    <row r="78" spans="24:25">
      <c r="X78" s="22"/>
      <c r="Y78" s="22"/>
    </row>
    <row r="79" spans="24:25">
      <c r="X79" s="22"/>
      <c r="Y79" s="22"/>
    </row>
    <row r="80" spans="24:25">
      <c r="X80" s="22"/>
      <c r="Y80" s="22"/>
    </row>
    <row r="81" spans="24:25">
      <c r="X81" s="22"/>
      <c r="Y81" s="22"/>
    </row>
    <row r="82" spans="24:25">
      <c r="X82" s="22"/>
      <c r="Y82" s="22"/>
    </row>
    <row r="83" spans="24:25">
      <c r="X83" s="22"/>
      <c r="Y83" s="22"/>
    </row>
    <row r="84" spans="24:25">
      <c r="X84" s="22"/>
      <c r="Y84" s="22"/>
    </row>
    <row r="85" spans="24:25">
      <c r="X85" s="22"/>
      <c r="Y85" s="22"/>
    </row>
    <row r="86" spans="24:25">
      <c r="X86" s="22"/>
      <c r="Y86" s="22"/>
    </row>
    <row r="87" spans="24:25">
      <c r="X87" s="22"/>
      <c r="Y87" s="22"/>
    </row>
    <row r="88" spans="24:25">
      <c r="X88" s="22"/>
      <c r="Y88" s="22"/>
    </row>
    <row r="89" spans="24:25">
      <c r="X89" s="22"/>
      <c r="Y89" s="22"/>
    </row>
    <row r="90" spans="24:25">
      <c r="X90" s="22"/>
      <c r="Y90" s="22"/>
    </row>
    <row r="91" spans="24:25">
      <c r="X91" s="22"/>
      <c r="Y91" s="22"/>
    </row>
    <row r="92" spans="24:25">
      <c r="X92" s="22"/>
      <c r="Y92" s="22"/>
    </row>
    <row r="93" spans="24:25">
      <c r="X93" s="22"/>
      <c r="Y93" s="22"/>
    </row>
    <row r="94" spans="24:25">
      <c r="X94" s="22"/>
      <c r="Y94" s="22"/>
    </row>
    <row r="95" spans="24:25">
      <c r="X95" s="22"/>
      <c r="Y95" s="22"/>
    </row>
    <row r="96" spans="24:25">
      <c r="X96" s="22"/>
      <c r="Y96" s="22"/>
    </row>
    <row r="97" spans="24:25">
      <c r="X97" s="22"/>
      <c r="Y97" s="22"/>
    </row>
    <row r="98" spans="24:25">
      <c r="X98" s="22"/>
      <c r="Y98" s="22"/>
    </row>
    <row r="99" spans="24:25">
      <c r="X99" s="22"/>
      <c r="Y99" s="22"/>
    </row>
    <row r="100" spans="24:25">
      <c r="X100" s="22"/>
      <c r="Y100" s="22"/>
    </row>
    <row r="101" spans="24:25">
      <c r="X101" s="22"/>
      <c r="Y101" s="22"/>
    </row>
    <row r="102" spans="24:25">
      <c r="X102" s="22"/>
      <c r="Y102" s="22"/>
    </row>
    <row r="103" spans="24:25">
      <c r="X103" s="22"/>
      <c r="Y103" s="22"/>
    </row>
    <row r="104" spans="24:25">
      <c r="X104" s="22"/>
      <c r="Y104" s="22"/>
    </row>
    <row r="105" spans="24:25">
      <c r="X105" s="22"/>
      <c r="Y105" s="22"/>
    </row>
    <row r="106" spans="24:25">
      <c r="X106" s="22"/>
      <c r="Y106" s="22"/>
    </row>
    <row r="107" spans="24:25">
      <c r="X107" s="22"/>
      <c r="Y107" s="22"/>
    </row>
    <row r="108" spans="24:25">
      <c r="X108" s="22"/>
      <c r="Y108" s="22"/>
    </row>
    <row r="109" spans="24:25">
      <c r="X109" s="22"/>
      <c r="Y109" s="22"/>
    </row>
    <row r="110" spans="24:25">
      <c r="X110" s="22"/>
      <c r="Y110" s="22"/>
    </row>
    <row r="111" spans="24:25">
      <c r="X111" s="22"/>
      <c r="Y111" s="22"/>
    </row>
    <row r="112" spans="24:25">
      <c r="X112" s="22"/>
      <c r="Y112" s="22"/>
    </row>
    <row r="113" spans="24:25">
      <c r="X113" s="22"/>
      <c r="Y113" s="22"/>
    </row>
    <row r="114" spans="24:25">
      <c r="X114" s="22"/>
      <c r="Y114" s="22"/>
    </row>
    <row r="115" spans="24:25">
      <c r="X115" s="22"/>
      <c r="Y115" s="22"/>
    </row>
    <row r="116" spans="24:25">
      <c r="X116" s="22"/>
      <c r="Y116" s="22"/>
    </row>
    <row r="117" spans="24:25">
      <c r="X117" s="22"/>
      <c r="Y117" s="22"/>
    </row>
    <row r="118" spans="24:25">
      <c r="X118" s="22"/>
      <c r="Y118" s="22"/>
    </row>
    <row r="119" spans="24:25">
      <c r="X119" s="22"/>
      <c r="Y119" s="22"/>
    </row>
    <row r="120" spans="24:25">
      <c r="X120" s="22"/>
      <c r="Y120" s="22"/>
    </row>
    <row r="121" spans="24:25">
      <c r="X121" s="22"/>
      <c r="Y121" s="22"/>
    </row>
    <row r="122" spans="24:25">
      <c r="X122" s="22"/>
      <c r="Y122" s="22"/>
    </row>
    <row r="123" spans="24:25">
      <c r="X123" s="22"/>
      <c r="Y123" s="22"/>
    </row>
    <row r="124" spans="24:25">
      <c r="X124" s="22"/>
      <c r="Y124" s="22"/>
    </row>
    <row r="125" spans="24:25">
      <c r="X125" s="22"/>
      <c r="Y125" s="22"/>
    </row>
    <row r="126" spans="24:25">
      <c r="X126" s="22"/>
      <c r="Y126" s="22"/>
    </row>
    <row r="127" spans="24:25">
      <c r="X127" s="22"/>
      <c r="Y127" s="22"/>
    </row>
    <row r="128" spans="24:25">
      <c r="X128" s="22"/>
      <c r="Y128" s="22"/>
    </row>
    <row r="129" spans="24:25">
      <c r="X129" s="22"/>
      <c r="Y129" s="22"/>
    </row>
    <row r="130" spans="24:25">
      <c r="X130" s="22"/>
      <c r="Y130" s="22"/>
    </row>
    <row r="131" spans="24:25">
      <c r="X131" s="22"/>
      <c r="Y131" s="22"/>
    </row>
    <row r="132" spans="24:25">
      <c r="X132" s="22"/>
      <c r="Y132" s="22"/>
    </row>
    <row r="133" spans="24:25">
      <c r="X133" s="22"/>
      <c r="Y133" s="22"/>
    </row>
    <row r="134" spans="24:25">
      <c r="X134" s="22"/>
      <c r="Y134" s="22"/>
    </row>
    <row r="135" spans="24:25">
      <c r="X135" s="22"/>
      <c r="Y135" s="22"/>
    </row>
    <row r="136" spans="24:25">
      <c r="X136" s="22"/>
      <c r="Y136" s="22"/>
    </row>
    <row r="137" spans="24:25">
      <c r="X137" s="22"/>
      <c r="Y137" s="22"/>
    </row>
    <row r="138" spans="24:25">
      <c r="X138" s="22"/>
      <c r="Y138" s="22"/>
    </row>
    <row r="139" spans="24:25">
      <c r="X139" s="22"/>
      <c r="Y139" s="22"/>
    </row>
    <row r="140" spans="24:25">
      <c r="X140" s="22"/>
      <c r="Y140" s="22"/>
    </row>
    <row r="141" spans="24:25">
      <c r="X141" s="22"/>
      <c r="Y141" s="22"/>
    </row>
    <row r="142" spans="24:25">
      <c r="X142" s="22"/>
      <c r="Y142" s="22"/>
    </row>
    <row r="143" spans="24:25">
      <c r="X143" s="22"/>
      <c r="Y143" s="22"/>
    </row>
    <row r="144" spans="24:25">
      <c r="X144" s="22"/>
      <c r="Y144" s="22"/>
    </row>
    <row r="145" spans="24:25">
      <c r="X145" s="22"/>
      <c r="Y145" s="22"/>
    </row>
    <row r="146" spans="24:25">
      <c r="X146" s="22"/>
      <c r="Y146" s="22"/>
    </row>
    <row r="147" spans="24:25">
      <c r="X147" s="22"/>
      <c r="Y147" s="22"/>
    </row>
    <row r="148" spans="24:25">
      <c r="X148" s="22"/>
      <c r="Y148" s="22"/>
    </row>
    <row r="149" spans="24:25">
      <c r="X149" s="22"/>
      <c r="Y149" s="22"/>
    </row>
    <row r="150" spans="24:25">
      <c r="X150" s="22"/>
      <c r="Y150" s="22"/>
    </row>
    <row r="151" spans="24:25">
      <c r="X151" s="22"/>
      <c r="Y151" s="22"/>
    </row>
    <row r="152" spans="24:25">
      <c r="X152" s="22"/>
      <c r="Y152" s="22"/>
    </row>
    <row r="153" spans="24:25">
      <c r="X153" s="22"/>
      <c r="Y153" s="22"/>
    </row>
    <row r="154" spans="24:25">
      <c r="X154" s="22"/>
      <c r="Y154" s="22"/>
    </row>
    <row r="155" spans="24:25">
      <c r="X155" s="22"/>
      <c r="Y155" s="22"/>
    </row>
    <row r="156" spans="24:25">
      <c r="X156" s="22"/>
      <c r="Y156" s="22"/>
    </row>
    <row r="157" spans="24:25">
      <c r="X157" s="22"/>
      <c r="Y157" s="22"/>
    </row>
    <row r="158" spans="24:25">
      <c r="X158" s="22"/>
      <c r="Y158" s="22"/>
    </row>
    <row r="159" spans="24:25">
      <c r="X159" s="22"/>
      <c r="Y159" s="22"/>
    </row>
    <row r="160" spans="24:25">
      <c r="X160" s="22"/>
      <c r="Y160" s="22"/>
    </row>
    <row r="161" spans="24:25">
      <c r="X161" s="22"/>
      <c r="Y161" s="22"/>
    </row>
    <row r="162" spans="24:25">
      <c r="X162" s="22"/>
      <c r="Y162" s="22"/>
    </row>
    <row r="163" spans="24:25">
      <c r="X163" s="22"/>
      <c r="Y163" s="22"/>
    </row>
    <row r="164" spans="24:25">
      <c r="X164" s="22"/>
      <c r="Y164" s="22"/>
    </row>
    <row r="165" spans="24:25">
      <c r="X165" s="22"/>
      <c r="Y165" s="22"/>
    </row>
    <row r="166" spans="24:25">
      <c r="X166" s="22"/>
      <c r="Y166" s="22"/>
    </row>
    <row r="167" spans="24:25">
      <c r="X167" s="22"/>
      <c r="Y167" s="22"/>
    </row>
    <row r="168" spans="24:25">
      <c r="X168" s="22"/>
      <c r="Y168" s="22"/>
    </row>
    <row r="169" spans="24:25">
      <c r="X169" s="22"/>
      <c r="Y169" s="22"/>
    </row>
    <row r="170" spans="24:25">
      <c r="X170" s="22"/>
      <c r="Y170" s="22"/>
    </row>
    <row r="171" spans="24:25">
      <c r="X171" s="22"/>
      <c r="Y171" s="22"/>
    </row>
    <row r="172" spans="24:25">
      <c r="X172" s="22"/>
      <c r="Y172" s="22"/>
    </row>
    <row r="173" spans="24:25">
      <c r="X173" s="22"/>
      <c r="Y173" s="22"/>
    </row>
    <row r="174" spans="24:25">
      <c r="X174" s="22"/>
      <c r="Y174" s="22"/>
    </row>
    <row r="175" spans="24:25">
      <c r="X175" s="22"/>
      <c r="Y175" s="22"/>
    </row>
    <row r="176" spans="24:25">
      <c r="X176" s="22"/>
      <c r="Y176" s="22"/>
    </row>
    <row r="177" spans="24:25">
      <c r="X177" s="22"/>
      <c r="Y177" s="22"/>
    </row>
    <row r="178" spans="24:25">
      <c r="X178" s="22"/>
      <c r="Y178" s="22"/>
    </row>
    <row r="179" spans="24:25">
      <c r="X179" s="22"/>
      <c r="Y179" s="22"/>
    </row>
    <row r="180" spans="24:25">
      <c r="X180" s="22"/>
      <c r="Y180" s="22"/>
    </row>
    <row r="181" spans="24:25">
      <c r="X181" s="22"/>
      <c r="Y181" s="22"/>
    </row>
    <row r="182" spans="24:25">
      <c r="X182" s="22"/>
      <c r="Y182" s="22"/>
    </row>
    <row r="183" spans="24:25">
      <c r="X183" s="22"/>
      <c r="Y183" s="22"/>
    </row>
    <row r="184" spans="24:25">
      <c r="X184" s="22"/>
      <c r="Y184" s="22"/>
    </row>
    <row r="185" spans="24:25">
      <c r="X185" s="22"/>
      <c r="Y185" s="22"/>
    </row>
    <row r="186" spans="24:25">
      <c r="X186" s="22"/>
      <c r="Y186" s="22"/>
    </row>
    <row r="187" spans="24:25">
      <c r="X187" s="22"/>
      <c r="Y187" s="22"/>
    </row>
    <row r="188" spans="24:25">
      <c r="X188" s="22"/>
      <c r="Y188" s="22"/>
    </row>
    <row r="189" spans="24:25">
      <c r="X189" s="22"/>
      <c r="Y189" s="22"/>
    </row>
    <row r="190" spans="24:25">
      <c r="X190" s="22"/>
      <c r="Y190" s="22"/>
    </row>
    <row r="191" spans="24:25">
      <c r="X191" s="22"/>
      <c r="Y191" s="22"/>
    </row>
    <row r="192" spans="24:25">
      <c r="X192" s="22"/>
      <c r="Y192" s="22"/>
    </row>
    <row r="193" spans="24:25">
      <c r="X193" s="22"/>
      <c r="Y193" s="22"/>
    </row>
    <row r="194" spans="24:25">
      <c r="X194" s="22"/>
      <c r="Y194" s="22"/>
    </row>
    <row r="195" spans="24:25">
      <c r="X195" s="22"/>
      <c r="Y195" s="22"/>
    </row>
    <row r="196" spans="24:25">
      <c r="X196" s="22"/>
      <c r="Y196" s="22"/>
    </row>
    <row r="197" spans="24:25">
      <c r="X197" s="22"/>
      <c r="Y197" s="22"/>
    </row>
    <row r="198" spans="24:25">
      <c r="X198" s="22"/>
      <c r="Y198" s="22"/>
    </row>
    <row r="199" spans="24:25">
      <c r="X199" s="22"/>
      <c r="Y199" s="22"/>
    </row>
    <row r="200" spans="24:25">
      <c r="X200" s="22"/>
      <c r="Y200" s="22"/>
    </row>
    <row r="201" spans="24:25">
      <c r="X201" s="22"/>
      <c r="Y201" s="22"/>
    </row>
    <row r="202" spans="24:25">
      <c r="X202" s="22"/>
      <c r="Y202" s="22"/>
    </row>
    <row r="203" spans="24:25">
      <c r="X203" s="22"/>
      <c r="Y203" s="22"/>
    </row>
    <row r="204" spans="24:25">
      <c r="X204" s="22"/>
      <c r="Y204" s="22"/>
    </row>
    <row r="205" spans="24:25">
      <c r="X205" s="22"/>
      <c r="Y205" s="22"/>
    </row>
    <row r="206" spans="24:25">
      <c r="X206" s="22"/>
      <c r="Y206" s="22"/>
    </row>
    <row r="207" spans="24:25">
      <c r="X207" s="22"/>
      <c r="Y207" s="22"/>
    </row>
  </sheetData>
  <mergeCells count="2">
    <mergeCell ref="C21:F21"/>
    <mergeCell ref="C2:I2"/>
  </mergeCells>
  <pageMargins left="0.75" right="0.75" top="1" bottom="1" header="0.5" footer="0.5"/>
  <pageSetup paperSize="9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FC1142-C10A-41D8-A1A0-C3BE62A40687}">
          <x14:formula1>
            <xm:f>calc!$C$3:$C$6</xm:f>
          </x14:formula1>
          <xm:sqref>C2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1BE5-68B8-4245-9B3B-A33E3DB3E24D}">
  <sheetPr codeName="Sheet9"/>
  <dimension ref="C1:I6"/>
  <sheetViews>
    <sheetView showGridLines="0" workbookViewId="0">
      <selection activeCell="G6" sqref="G6"/>
    </sheetView>
  </sheetViews>
  <sheetFormatPr defaultColWidth="8.88671875" defaultRowHeight="14.4"/>
  <cols>
    <col min="1" max="2" width="8.88671875" style="1"/>
    <col min="3" max="3" width="16.5546875" style="1" bestFit="1" customWidth="1"/>
    <col min="4" max="5" width="16.5546875" style="1" customWidth="1"/>
    <col min="6" max="8" width="8.88671875" style="1"/>
    <col min="9" max="9" width="12.44140625" style="1" customWidth="1"/>
    <col min="10" max="16384" width="8.88671875" style="1"/>
  </cols>
  <sheetData>
    <row r="1" spans="3:9" ht="7.2" customHeight="1"/>
    <row r="2" spans="3:9" ht="27.6" customHeight="1">
      <c r="C2" s="55" t="s">
        <v>71</v>
      </c>
      <c r="D2" s="49"/>
      <c r="E2" s="49"/>
      <c r="F2" s="50" t="s">
        <v>1</v>
      </c>
      <c r="G2" s="50" t="s">
        <v>17</v>
      </c>
      <c r="H2" s="50" t="s">
        <v>18</v>
      </c>
      <c r="I2" s="50" t="s">
        <v>69</v>
      </c>
    </row>
    <row r="3" spans="3:9">
      <c r="C3" s="51" t="s">
        <v>31</v>
      </c>
      <c r="D3" s="52"/>
      <c r="E3" s="52"/>
      <c r="F3" s="53">
        <f>'TVS Motors'!M3</f>
        <v>37058.03</v>
      </c>
      <c r="G3" s="53">
        <f>'TVS Motors'!N3</f>
        <v>31343.917000000001</v>
      </c>
      <c r="H3" s="54">
        <f>'TVS Motors'!J3</f>
        <v>0.25729400946742131</v>
      </c>
      <c r="I3" s="54">
        <f>'TVS Motors'!J4</f>
        <v>0.46344877785167149</v>
      </c>
    </row>
    <row r="4" spans="3:9">
      <c r="C4" s="51" t="s">
        <v>32</v>
      </c>
      <c r="D4" s="52"/>
      <c r="E4" s="52"/>
      <c r="F4" s="53">
        <f>'Adani Enterprises'!M3</f>
        <v>132706.85999999999</v>
      </c>
      <c r="G4" s="53">
        <f>'Adani Enterprises'!N3</f>
        <v>127713.65200000002</v>
      </c>
      <c r="H4" s="54">
        <f>'Adani Enterprises'!J3</f>
        <v>0.35576879608247386</v>
      </c>
      <c r="I4" s="54">
        <f>'Adani Enterprises'!J4</f>
        <v>0.48536886213298125</v>
      </c>
    </row>
    <row r="5" spans="3:9">
      <c r="C5" s="51" t="s">
        <v>63</v>
      </c>
      <c r="D5" s="52"/>
      <c r="E5" s="52"/>
      <c r="F5" s="53">
        <f>'Sequent Scientific'!M3</f>
        <v>1216.74</v>
      </c>
      <c r="G5" s="53">
        <f>'Sequent Scientific'!N3</f>
        <v>1106.9630000000002</v>
      </c>
      <c r="H5" s="54">
        <f>'Sequent Scientific'!J3</f>
        <v>0.26143125797347144</v>
      </c>
      <c r="I5" s="54">
        <f>'Sequent Scientific'!J4</f>
        <v>0.39215599700286841</v>
      </c>
    </row>
    <row r="6" spans="3:9">
      <c r="C6" s="51" t="s">
        <v>3</v>
      </c>
      <c r="D6" s="52"/>
      <c r="E6" s="52"/>
      <c r="F6" s="53">
        <f>'Vodafone Idea'!M3</f>
        <v>125976</v>
      </c>
      <c r="G6" s="53">
        <f>'Vodafone Idea'!N3</f>
        <v>244354.99000000005</v>
      </c>
      <c r="H6" s="54">
        <f>'Vodafone Idea'!J3</f>
        <v>3.6015092607994792E-2</v>
      </c>
      <c r="I6" s="54">
        <f>'Vodafone Idea'!J4</f>
        <v>0.85486628818667965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3EC1-F7CB-41D8-9326-4995F01A7E20}">
  <sheetPr codeName="Sheet10"/>
  <dimension ref="B1:W1002"/>
  <sheetViews>
    <sheetView zoomScale="80" zoomScaleNormal="80" workbookViewId="0">
      <selection activeCell="G6" sqref="G6"/>
    </sheetView>
  </sheetViews>
  <sheetFormatPr defaultColWidth="8.77734375" defaultRowHeight="14.4"/>
  <cols>
    <col min="1" max="1" width="8.77734375" style="35"/>
    <col min="2" max="2" width="16.5546875" style="35" bestFit="1" customWidth="1"/>
    <col min="3" max="6" width="12" style="35" customWidth="1"/>
    <col min="8" max="15" width="8.77734375" style="35"/>
    <col min="16" max="16" width="10" style="35" customWidth="1"/>
    <col min="17" max="17" width="10.33203125" style="35" customWidth="1"/>
    <col min="18" max="19" width="8.77734375" style="35"/>
    <col min="20" max="21" width="11.109375" style="35" bestFit="1" customWidth="1"/>
    <col min="22" max="16384" width="8.77734375" style="35"/>
  </cols>
  <sheetData>
    <row r="1" spans="2:23">
      <c r="I1" s="36"/>
      <c r="J1" s="36"/>
      <c r="K1" s="36"/>
      <c r="L1" s="36"/>
      <c r="T1" s="35">
        <v>40</v>
      </c>
      <c r="U1" s="35">
        <f ca="1">MIN(_xlfn.ANCHORARRAY(Q3))</f>
        <v>0</v>
      </c>
      <c r="V1" s="35">
        <f ca="1">MAX(_xlfn.ANCHORARRAY(Q3))</f>
        <v>266011.49789353838</v>
      </c>
      <c r="W1" s="35">
        <f ca="1">(V1-U1)/(T1)</f>
        <v>6650.28744733846</v>
      </c>
    </row>
    <row r="2" spans="2:23">
      <c r="B2" s="37"/>
      <c r="C2" s="37" t="s">
        <v>2</v>
      </c>
      <c r="D2" s="37" t="s">
        <v>43</v>
      </c>
      <c r="E2" s="37" t="s">
        <v>44</v>
      </c>
      <c r="F2" s="37" t="s">
        <v>33</v>
      </c>
      <c r="I2" s="38" t="s">
        <v>34</v>
      </c>
      <c r="J2" s="38" t="s">
        <v>35</v>
      </c>
      <c r="K2" s="38" t="s">
        <v>36</v>
      </c>
      <c r="L2" s="38" t="s">
        <v>37</v>
      </c>
      <c r="M2" s="38" t="s">
        <v>38</v>
      </c>
      <c r="N2" s="38" t="s">
        <v>39</v>
      </c>
      <c r="O2" s="38" t="s">
        <v>40</v>
      </c>
      <c r="P2" s="38" t="s">
        <v>41</v>
      </c>
      <c r="Q2" s="38" t="s">
        <v>42</v>
      </c>
    </row>
    <row r="3" spans="2:23">
      <c r="B3" s="35" t="s">
        <v>31</v>
      </c>
      <c r="C3" s="46">
        <f ca="1">'TVS Motors'!S4</f>
        <v>0.185</v>
      </c>
      <c r="D3" s="40">
        <f ca="1">10*'TVS Motors'!T4</f>
        <v>3.0974188325580361</v>
      </c>
      <c r="E3" s="40">
        <f ca="1">10-D3</f>
        <v>6.9025811674419639</v>
      </c>
      <c r="F3" s="40">
        <f>'TVS Motors'!N3</f>
        <v>31343.917000000001</v>
      </c>
      <c r="H3" s="35">
        <v>1</v>
      </c>
      <c r="I3" s="35" cm="1">
        <f t="array" aca="1" ref="I3:I1002" ca="1">IF(_xlfn.RANDARRAY(1000)&lt;$C$3,1,0)</f>
        <v>0</v>
      </c>
      <c r="J3" s="35" cm="1">
        <f t="array" aca="1" ref="J3:J1002" ca="1">IF(_xlfn.RANDARRAY(1000)&lt;$C$4,1,0)</f>
        <v>0</v>
      </c>
      <c r="K3" s="35" cm="1">
        <f t="array" aca="1" ref="K3:K1002" ca="1">IF(_xlfn.RANDARRAY(1000)&lt;$C$5,1,0)</f>
        <v>1</v>
      </c>
      <c r="L3" s="35" cm="1">
        <f t="array" aca="1" ref="L3:L1002" ca="1">IF(_xlfn.RANDARRAY(1000)&lt;$C$6,1,0)</f>
        <v>1</v>
      </c>
      <c r="M3" s="35" cm="1">
        <f t="array" aca="1" ref="M3:M1002" ca="1">_xlfn.ANCHORARRAY(I3)*$F$3*_xlfn.BETA.INV(_xlfn.RANDARRAY(1000),$D$3,$E$3)</f>
        <v>0</v>
      </c>
      <c r="N3" s="35" cm="1">
        <f t="array" aca="1" ref="N3:N1002" ca="1">_xlfn.ANCHORARRAY(J3)*$F$4*_xlfn.BETA.INV(_xlfn.RANDARRAY(1000),$D$4,$E$4)</f>
        <v>0</v>
      </c>
      <c r="O3" s="35" cm="1">
        <f t="array" aca="1" ref="O3:O1002" ca="1">_xlfn.ANCHORARRAY(K3)*$F$5*_xlfn.BETA.INV(_xlfn.RANDARRAY(1000),$D$5,$E$5)</f>
        <v>120.01220327447504</v>
      </c>
      <c r="P3" s="35" cm="1">
        <f t="array" aca="1" ref="P3:P1002" ca="1">_xlfn.ANCHORARRAY(L3)*$F$6*_xlfn.BETA.INV(_xlfn.RANDARRAY(1000),$D$6,$E$6)</f>
        <v>142548.82097551244</v>
      </c>
      <c r="Q3" s="35" cm="1">
        <f t="array" aca="1" ref="Q3:Q1002" ca="1">_xlfn.ANCHORARRAY(M3)+_xlfn.ANCHORARRAY(N3)+_xlfn.ANCHORARRAY(O3)+_xlfn.ANCHORARRAY(P3)</f>
        <v>142668.83317878691</v>
      </c>
      <c r="T3" s="41" t="s">
        <v>45</v>
      </c>
      <c r="U3" s="41" t="s">
        <v>46</v>
      </c>
      <c r="V3" s="41" t="s">
        <v>47</v>
      </c>
      <c r="W3" s="42"/>
    </row>
    <row r="4" spans="2:23">
      <c r="B4" s="35" t="s">
        <v>32</v>
      </c>
      <c r="C4" s="39">
        <f ca="1">'Adani Enterprises'!S4</f>
        <v>0.22800000000000001</v>
      </c>
      <c r="D4" s="40">
        <f ca="1">10*'Adani Enterprises'!T4</f>
        <v>2.9728321433174054</v>
      </c>
      <c r="E4" s="40">
        <f ca="1">10-D4</f>
        <v>7.0271678566825946</v>
      </c>
      <c r="F4" s="40">
        <f>'Adani Enterprises'!N3</f>
        <v>127713.65200000002</v>
      </c>
      <c r="H4" s="35">
        <v>2</v>
      </c>
      <c r="I4" s="35">
        <f ca="1"/>
        <v>0</v>
      </c>
      <c r="J4" s="35">
        <f ca="1"/>
        <v>0</v>
      </c>
      <c r="K4" s="35">
        <f ca="1"/>
        <v>0</v>
      </c>
      <c r="L4" s="35">
        <f ca="1"/>
        <v>1</v>
      </c>
      <c r="M4" s="35">
        <f ca="1"/>
        <v>0</v>
      </c>
      <c r="N4" s="35">
        <f ca="1"/>
        <v>0</v>
      </c>
      <c r="O4" s="35">
        <f ca="1"/>
        <v>0</v>
      </c>
      <c r="P4" s="35">
        <f ca="1"/>
        <v>166473.53212718636</v>
      </c>
      <c r="Q4" s="35">
        <f ca="1"/>
        <v>166473.53212718636</v>
      </c>
      <c r="T4" s="43"/>
      <c r="U4" s="43">
        <v>0</v>
      </c>
      <c r="V4" s="35">
        <v>0</v>
      </c>
      <c r="W4" s="42"/>
    </row>
    <row r="5" spans="2:23">
      <c r="B5" s="35" t="s">
        <v>63</v>
      </c>
      <c r="C5" s="39">
        <f ca="1">'Sequent Scientific'!S4</f>
        <v>0.188</v>
      </c>
      <c r="D5" s="40">
        <f ca="1">10*'Sequent Scientific'!T4</f>
        <v>2.2563679975134123</v>
      </c>
      <c r="E5" s="40">
        <f ca="1">10-D5</f>
        <v>7.7436320024865877</v>
      </c>
      <c r="F5" s="40">
        <f>'Sequent Scientific'!N3</f>
        <v>1106.9630000000002</v>
      </c>
      <c r="H5" s="35">
        <v>3</v>
      </c>
      <c r="I5" s="35">
        <f ca="1"/>
        <v>0</v>
      </c>
      <c r="J5" s="35">
        <f ca="1"/>
        <v>0</v>
      </c>
      <c r="K5" s="35">
        <f ca="1"/>
        <v>0</v>
      </c>
      <c r="L5" s="35">
        <f ca="1"/>
        <v>1</v>
      </c>
      <c r="M5" s="35">
        <f ca="1"/>
        <v>0</v>
      </c>
      <c r="N5" s="35">
        <f ca="1"/>
        <v>0</v>
      </c>
      <c r="O5" s="35">
        <f ca="1"/>
        <v>0</v>
      </c>
      <c r="P5" s="35">
        <f ca="1"/>
        <v>59705.6673361211</v>
      </c>
      <c r="Q5" s="35">
        <f ca="1"/>
        <v>59705.6673361211</v>
      </c>
      <c r="T5" s="44" cm="1">
        <f t="array" aca="1" ref="T5:T44" ca="1">_xlfn.SEQUENCE(T1,,U1,W1)</f>
        <v>0</v>
      </c>
      <c r="U5" s="44" cm="1">
        <f t="array" aca="1" ref="U5:U44" ca="1">_xlfn.ANCHORARRAY(T5)+W1</f>
        <v>6650.28744733846</v>
      </c>
      <c r="V5" s="36" cm="1">
        <f t="array" aca="1" ref="V5:V44" ca="1">_xlfn.DROP(FREQUENCY(_xlfn.ANCHORARRAY(Q3),_xlfn.ANCHORARRAY(U5)),-1)/1000</f>
        <v>0.11799999999999999</v>
      </c>
      <c r="W5" s="42"/>
    </row>
    <row r="6" spans="2:23">
      <c r="B6" s="35" t="s">
        <v>3</v>
      </c>
      <c r="C6" s="39">
        <f ca="1">'Vodafone Idea'!S4</f>
        <v>0.84399999999999997</v>
      </c>
      <c r="D6" s="40">
        <f ca="1">10*'Vodafone Idea'!T4</f>
        <v>5.7023965746868823</v>
      </c>
      <c r="E6" s="40">
        <f ca="1">10-D6</f>
        <v>4.2976034253131177</v>
      </c>
      <c r="F6" s="40">
        <f>'Vodafone Idea'!N3</f>
        <v>244354.99000000005</v>
      </c>
      <c r="H6" s="35">
        <v>4</v>
      </c>
      <c r="I6" s="35">
        <f ca="1"/>
        <v>0</v>
      </c>
      <c r="J6" s="35">
        <f ca="1"/>
        <v>0</v>
      </c>
      <c r="K6" s="35">
        <f ca="1"/>
        <v>0</v>
      </c>
      <c r="L6" s="35">
        <f ca="1"/>
        <v>0</v>
      </c>
      <c r="M6" s="35">
        <f ca="1"/>
        <v>0</v>
      </c>
      <c r="N6" s="35">
        <f ca="1"/>
        <v>0</v>
      </c>
      <c r="O6" s="35">
        <f ca="1"/>
        <v>0</v>
      </c>
      <c r="P6" s="35">
        <f ca="1"/>
        <v>0</v>
      </c>
      <c r="Q6" s="35">
        <f ca="1"/>
        <v>0</v>
      </c>
      <c r="T6" s="44">
        <f ca="1"/>
        <v>6650.28744733846</v>
      </c>
      <c r="U6" s="44">
        <f ca="1"/>
        <v>13300.57489467692</v>
      </c>
      <c r="V6" s="36">
        <f ca="1"/>
        <v>1.4E-2</v>
      </c>
      <c r="W6" s="42"/>
    </row>
    <row r="7" spans="2:23">
      <c r="H7" s="35">
        <v>5</v>
      </c>
      <c r="I7" s="35">
        <f ca="1"/>
        <v>0</v>
      </c>
      <c r="J7" s="35">
        <f ca="1"/>
        <v>0</v>
      </c>
      <c r="K7" s="35">
        <f ca="1"/>
        <v>1</v>
      </c>
      <c r="L7" s="35">
        <f ca="1"/>
        <v>1</v>
      </c>
      <c r="M7" s="35">
        <f ca="1"/>
        <v>0</v>
      </c>
      <c r="N7" s="35">
        <f ca="1"/>
        <v>0</v>
      </c>
      <c r="O7" s="35">
        <f ca="1"/>
        <v>156.84080081567282</v>
      </c>
      <c r="P7" s="35">
        <f ca="1"/>
        <v>140375.80516242824</v>
      </c>
      <c r="Q7" s="35">
        <f ca="1"/>
        <v>140532.64596324391</v>
      </c>
      <c r="T7" s="44">
        <f ca="1"/>
        <v>13300.57489467692</v>
      </c>
      <c r="U7" s="44">
        <f ca="1"/>
        <v>19950.862342015382</v>
      </c>
      <c r="V7" s="36">
        <f ca="1"/>
        <v>3.0000000000000001E-3</v>
      </c>
      <c r="W7" s="42"/>
    </row>
    <row r="8" spans="2:23">
      <c r="C8" s="36"/>
      <c r="H8" s="35">
        <v>6</v>
      </c>
      <c r="I8" s="35">
        <f ca="1"/>
        <v>1</v>
      </c>
      <c r="J8" s="35">
        <f ca="1"/>
        <v>0</v>
      </c>
      <c r="K8" s="35">
        <f ca="1"/>
        <v>1</v>
      </c>
      <c r="L8" s="35">
        <f ca="1"/>
        <v>1</v>
      </c>
      <c r="M8" s="35">
        <f ca="1"/>
        <v>11330.644781006911</v>
      </c>
      <c r="N8" s="35">
        <f ca="1"/>
        <v>0</v>
      </c>
      <c r="O8" s="35">
        <f ca="1"/>
        <v>354.11639953450555</v>
      </c>
      <c r="P8" s="35">
        <f ca="1"/>
        <v>116997.31718340877</v>
      </c>
      <c r="Q8" s="35">
        <f ca="1"/>
        <v>128682.07836395019</v>
      </c>
      <c r="T8" s="44">
        <f ca="1"/>
        <v>19950.862342015382</v>
      </c>
      <c r="U8" s="44">
        <f ca="1"/>
        <v>26601.14978935384</v>
      </c>
      <c r="V8" s="36">
        <f ca="1"/>
        <v>3.0000000000000001E-3</v>
      </c>
      <c r="W8" s="42"/>
    </row>
    <row r="9" spans="2:23">
      <c r="B9" s="45"/>
      <c r="H9" s="35">
        <v>7</v>
      </c>
      <c r="I9" s="35">
        <f ca="1"/>
        <v>0</v>
      </c>
      <c r="J9" s="35">
        <f ca="1"/>
        <v>1</v>
      </c>
      <c r="K9" s="35">
        <f ca="1"/>
        <v>0</v>
      </c>
      <c r="L9" s="35">
        <f ca="1"/>
        <v>1</v>
      </c>
      <c r="M9" s="35">
        <f ca="1"/>
        <v>0</v>
      </c>
      <c r="N9" s="35">
        <f ca="1"/>
        <v>39751.515316531099</v>
      </c>
      <c r="O9" s="35">
        <f ca="1"/>
        <v>0</v>
      </c>
      <c r="P9" s="35">
        <f ca="1"/>
        <v>99641.92524008076</v>
      </c>
      <c r="Q9" s="35">
        <f ca="1"/>
        <v>139393.44055661187</v>
      </c>
      <c r="T9" s="44">
        <f ca="1"/>
        <v>26601.14978935384</v>
      </c>
      <c r="U9" s="44">
        <f ca="1"/>
        <v>33251.437236692298</v>
      </c>
      <c r="V9" s="36">
        <f ca="1"/>
        <v>5.0000000000000001E-3</v>
      </c>
      <c r="W9" s="42"/>
    </row>
    <row r="10" spans="2:23">
      <c r="B10" s="45"/>
      <c r="H10" s="35">
        <v>8</v>
      </c>
      <c r="I10" s="35">
        <f ca="1"/>
        <v>0</v>
      </c>
      <c r="J10" s="35">
        <f ca="1"/>
        <v>1</v>
      </c>
      <c r="K10" s="35">
        <f ca="1"/>
        <v>1</v>
      </c>
      <c r="L10" s="35">
        <f ca="1"/>
        <v>1</v>
      </c>
      <c r="M10" s="35">
        <f ca="1"/>
        <v>0</v>
      </c>
      <c r="N10" s="35">
        <f ca="1"/>
        <v>24817.24756482074</v>
      </c>
      <c r="O10" s="35">
        <f ca="1"/>
        <v>272.36880806033781</v>
      </c>
      <c r="P10" s="35">
        <f ca="1"/>
        <v>182398.23031443902</v>
      </c>
      <c r="Q10" s="35">
        <f ca="1"/>
        <v>207487.8466873201</v>
      </c>
      <c r="T10" s="44">
        <f ca="1"/>
        <v>33251.437236692298</v>
      </c>
      <c r="U10" s="44">
        <f ca="1"/>
        <v>39901.724684030756</v>
      </c>
      <c r="V10" s="36">
        <f ca="1"/>
        <v>5.0000000000000001E-3</v>
      </c>
      <c r="W10" s="42"/>
    </row>
    <row r="11" spans="2:23">
      <c r="B11" s="45"/>
      <c r="H11" s="35">
        <v>9</v>
      </c>
      <c r="I11" s="35">
        <f ca="1"/>
        <v>0</v>
      </c>
      <c r="J11" s="35">
        <f ca="1"/>
        <v>0</v>
      </c>
      <c r="K11" s="35">
        <f ca="1"/>
        <v>0</v>
      </c>
      <c r="L11" s="35">
        <f ca="1"/>
        <v>1</v>
      </c>
      <c r="M11" s="35">
        <f ca="1"/>
        <v>0</v>
      </c>
      <c r="N11" s="35">
        <f ca="1"/>
        <v>0</v>
      </c>
      <c r="O11" s="35">
        <f ca="1"/>
        <v>0</v>
      </c>
      <c r="P11" s="35">
        <f ca="1"/>
        <v>136458.73218381937</v>
      </c>
      <c r="Q11" s="35">
        <f ca="1"/>
        <v>136458.73218381937</v>
      </c>
      <c r="T11" s="44">
        <f ca="1"/>
        <v>39901.724684030756</v>
      </c>
      <c r="U11" s="44">
        <f ca="1"/>
        <v>46552.012131369214</v>
      </c>
      <c r="V11" s="36">
        <f ca="1"/>
        <v>8.0000000000000002E-3</v>
      </c>
      <c r="W11" s="42"/>
    </row>
    <row r="12" spans="2:23">
      <c r="B12" s="45"/>
      <c r="H12" s="35">
        <v>10</v>
      </c>
      <c r="I12" s="35">
        <f ca="1"/>
        <v>0</v>
      </c>
      <c r="J12" s="35">
        <f ca="1"/>
        <v>0</v>
      </c>
      <c r="K12" s="35">
        <f ca="1"/>
        <v>1</v>
      </c>
      <c r="L12" s="35">
        <f ca="1"/>
        <v>1</v>
      </c>
      <c r="M12" s="35">
        <f ca="1"/>
        <v>0</v>
      </c>
      <c r="N12" s="35">
        <f ca="1"/>
        <v>0</v>
      </c>
      <c r="O12" s="35">
        <f ca="1"/>
        <v>83.306805194646174</v>
      </c>
      <c r="P12" s="35">
        <f ca="1"/>
        <v>70382.489859302863</v>
      </c>
      <c r="Q12" s="35">
        <f ca="1"/>
        <v>70465.796664497509</v>
      </c>
      <c r="T12" s="44">
        <f ca="1"/>
        <v>46552.012131369214</v>
      </c>
      <c r="U12" s="44">
        <f ca="1"/>
        <v>53202.299578707672</v>
      </c>
      <c r="V12" s="36">
        <f ca="1"/>
        <v>1.0999999999999999E-2</v>
      </c>
      <c r="W12" s="42"/>
    </row>
    <row r="13" spans="2:23">
      <c r="B13" s="45"/>
      <c r="H13" s="35">
        <v>11</v>
      </c>
      <c r="I13" s="35">
        <f ca="1"/>
        <v>0</v>
      </c>
      <c r="J13" s="35">
        <f ca="1"/>
        <v>0</v>
      </c>
      <c r="K13" s="35">
        <f ca="1"/>
        <v>0</v>
      </c>
      <c r="L13" s="35">
        <f ca="1"/>
        <v>1</v>
      </c>
      <c r="M13" s="35">
        <f ca="1"/>
        <v>0</v>
      </c>
      <c r="N13" s="35">
        <f ca="1"/>
        <v>0</v>
      </c>
      <c r="O13" s="35">
        <f ca="1"/>
        <v>0</v>
      </c>
      <c r="P13" s="35">
        <f ca="1"/>
        <v>97045.790261068629</v>
      </c>
      <c r="Q13" s="35">
        <f ca="1"/>
        <v>97045.790261068629</v>
      </c>
      <c r="T13" s="44">
        <f ca="1"/>
        <v>53202.299578707672</v>
      </c>
      <c r="U13" s="44">
        <f ca="1"/>
        <v>59852.587026046131</v>
      </c>
      <c r="V13" s="36">
        <f ca="1"/>
        <v>7.0000000000000001E-3</v>
      </c>
      <c r="W13" s="42"/>
    </row>
    <row r="14" spans="2:23">
      <c r="B14" s="45"/>
      <c r="H14" s="35">
        <v>12</v>
      </c>
      <c r="I14" s="35">
        <f ca="1"/>
        <v>0</v>
      </c>
      <c r="J14" s="35">
        <f ca="1"/>
        <v>1</v>
      </c>
      <c r="K14" s="35">
        <f ca="1"/>
        <v>0</v>
      </c>
      <c r="L14" s="35">
        <f ca="1"/>
        <v>1</v>
      </c>
      <c r="M14" s="35">
        <f ca="1"/>
        <v>0</v>
      </c>
      <c r="N14" s="35">
        <f ca="1"/>
        <v>58381.217473501099</v>
      </c>
      <c r="O14" s="35">
        <f ca="1"/>
        <v>0</v>
      </c>
      <c r="P14" s="35">
        <f ca="1"/>
        <v>101861.70059564694</v>
      </c>
      <c r="Q14" s="35">
        <f ca="1"/>
        <v>160242.91806914803</v>
      </c>
      <c r="T14" s="44">
        <f ca="1"/>
        <v>59852.587026046131</v>
      </c>
      <c r="U14" s="44">
        <f ca="1"/>
        <v>66502.874473384596</v>
      </c>
      <c r="V14" s="36">
        <f ca="1"/>
        <v>8.0000000000000002E-3</v>
      </c>
      <c r="W14" s="42"/>
    </row>
    <row r="15" spans="2:23">
      <c r="B15" s="45"/>
      <c r="H15" s="35">
        <v>13</v>
      </c>
      <c r="I15" s="35">
        <f ca="1"/>
        <v>0</v>
      </c>
      <c r="J15" s="35">
        <f ca="1"/>
        <v>1</v>
      </c>
      <c r="K15" s="35">
        <f ca="1"/>
        <v>0</v>
      </c>
      <c r="L15" s="35">
        <f ca="1"/>
        <v>1</v>
      </c>
      <c r="M15" s="35">
        <f ca="1"/>
        <v>0</v>
      </c>
      <c r="N15" s="35">
        <f ca="1"/>
        <v>47553.434360058047</v>
      </c>
      <c r="O15" s="35">
        <f ca="1"/>
        <v>0</v>
      </c>
      <c r="P15" s="35">
        <f ca="1"/>
        <v>161480.6597847137</v>
      </c>
      <c r="Q15" s="35">
        <f ca="1"/>
        <v>209034.09414477175</v>
      </c>
      <c r="T15" s="44">
        <f ca="1"/>
        <v>66502.874473384596</v>
      </c>
      <c r="U15" s="44">
        <f ca="1"/>
        <v>73153.161920723054</v>
      </c>
      <c r="V15" s="36">
        <f ca="1"/>
        <v>8.0000000000000002E-3</v>
      </c>
      <c r="W15" s="42"/>
    </row>
    <row r="16" spans="2:23">
      <c r="B16" s="45"/>
      <c r="H16" s="35">
        <v>14</v>
      </c>
      <c r="I16" s="35">
        <f ca="1"/>
        <v>0</v>
      </c>
      <c r="J16" s="35">
        <f ca="1"/>
        <v>1</v>
      </c>
      <c r="K16" s="35">
        <f ca="1"/>
        <v>0</v>
      </c>
      <c r="L16" s="35">
        <f ca="1"/>
        <v>1</v>
      </c>
      <c r="M16" s="35">
        <f ca="1"/>
        <v>0</v>
      </c>
      <c r="N16" s="35">
        <f ca="1"/>
        <v>48121.679376698659</v>
      </c>
      <c r="O16" s="35">
        <f ca="1"/>
        <v>0</v>
      </c>
      <c r="P16" s="35">
        <f ca="1"/>
        <v>208253.23055208221</v>
      </c>
      <c r="Q16" s="35">
        <f ca="1"/>
        <v>256374.90992878086</v>
      </c>
      <c r="T16" s="44">
        <f ca="1"/>
        <v>73153.161920723054</v>
      </c>
      <c r="U16" s="44">
        <f ca="1"/>
        <v>79803.449368061512</v>
      </c>
      <c r="V16" s="36">
        <f ca="1"/>
        <v>1.0999999999999999E-2</v>
      </c>
      <c r="W16" s="42"/>
    </row>
    <row r="17" spans="2:23">
      <c r="B17" s="45"/>
      <c r="H17" s="35">
        <v>15</v>
      </c>
      <c r="I17" s="35">
        <f ca="1"/>
        <v>1</v>
      </c>
      <c r="J17" s="35">
        <f ca="1"/>
        <v>1</v>
      </c>
      <c r="K17" s="35">
        <f ca="1"/>
        <v>0</v>
      </c>
      <c r="L17" s="35">
        <f ca="1"/>
        <v>1</v>
      </c>
      <c r="M17" s="35">
        <f ca="1"/>
        <v>15013.116198171185</v>
      </c>
      <c r="N17" s="35">
        <f ca="1"/>
        <v>14058.777762115355</v>
      </c>
      <c r="O17" s="35">
        <f ca="1"/>
        <v>0</v>
      </c>
      <c r="P17" s="35">
        <f ca="1"/>
        <v>169729.5058443984</v>
      </c>
      <c r="Q17" s="35">
        <f ca="1"/>
        <v>198801.39980468494</v>
      </c>
      <c r="T17" s="44">
        <f ca="1"/>
        <v>79803.449368061512</v>
      </c>
      <c r="U17" s="44">
        <f ca="1"/>
        <v>86453.736815399971</v>
      </c>
      <c r="V17" s="36">
        <f ca="1"/>
        <v>1.9E-2</v>
      </c>
      <c r="W17" s="42"/>
    </row>
    <row r="18" spans="2:23">
      <c r="B18" s="45"/>
      <c r="H18" s="35">
        <v>16</v>
      </c>
      <c r="I18" s="35">
        <f ca="1"/>
        <v>0</v>
      </c>
      <c r="J18" s="35">
        <f ca="1"/>
        <v>0</v>
      </c>
      <c r="K18" s="35">
        <f ca="1"/>
        <v>0</v>
      </c>
      <c r="L18" s="35">
        <f ca="1"/>
        <v>1</v>
      </c>
      <c r="M18" s="35">
        <f ca="1"/>
        <v>0</v>
      </c>
      <c r="N18" s="35">
        <f ca="1"/>
        <v>0</v>
      </c>
      <c r="O18" s="35">
        <f ca="1"/>
        <v>0</v>
      </c>
      <c r="P18" s="35">
        <f ca="1"/>
        <v>117046.50759672257</v>
      </c>
      <c r="Q18" s="35">
        <f ca="1"/>
        <v>117046.50759672257</v>
      </c>
      <c r="T18" s="44">
        <f ca="1"/>
        <v>86453.736815399971</v>
      </c>
      <c r="U18" s="44">
        <f ca="1"/>
        <v>93104.024262738429</v>
      </c>
      <c r="V18" s="36">
        <f ca="1"/>
        <v>1.4E-2</v>
      </c>
      <c r="W18" s="42"/>
    </row>
    <row r="19" spans="2:23">
      <c r="B19" s="45"/>
      <c r="H19" s="35">
        <v>17</v>
      </c>
      <c r="I19" s="35">
        <f ca="1"/>
        <v>0</v>
      </c>
      <c r="J19" s="35">
        <f ca="1"/>
        <v>1</v>
      </c>
      <c r="K19" s="35">
        <f ca="1"/>
        <v>1</v>
      </c>
      <c r="L19" s="35">
        <f ca="1"/>
        <v>1</v>
      </c>
      <c r="M19" s="35">
        <f ca="1"/>
        <v>0</v>
      </c>
      <c r="N19" s="35">
        <f ca="1"/>
        <v>76824.76709057836</v>
      </c>
      <c r="O19" s="35">
        <f ca="1"/>
        <v>195.96352637951748</v>
      </c>
      <c r="P19" s="35">
        <f ca="1"/>
        <v>187946.75408035246</v>
      </c>
      <c r="Q19" s="35">
        <f ca="1"/>
        <v>264967.48469731037</v>
      </c>
      <c r="T19" s="44">
        <f ca="1"/>
        <v>93104.024262738429</v>
      </c>
      <c r="U19" s="44">
        <f ca="1"/>
        <v>99754.311710076887</v>
      </c>
      <c r="V19" s="36">
        <f ca="1"/>
        <v>2.1000000000000001E-2</v>
      </c>
      <c r="W19" s="42"/>
    </row>
    <row r="20" spans="2:23">
      <c r="B20" s="45"/>
      <c r="H20" s="35">
        <v>18</v>
      </c>
      <c r="I20" s="35">
        <f ca="1"/>
        <v>0</v>
      </c>
      <c r="J20" s="35">
        <f ca="1"/>
        <v>1</v>
      </c>
      <c r="K20" s="35">
        <f ca="1"/>
        <v>1</v>
      </c>
      <c r="L20" s="35">
        <f ca="1"/>
        <v>0</v>
      </c>
      <c r="M20" s="35">
        <f ca="1"/>
        <v>0</v>
      </c>
      <c r="N20" s="35">
        <f ca="1"/>
        <v>8696.5837541861292</v>
      </c>
      <c r="O20" s="35">
        <f ca="1"/>
        <v>106.20821189181943</v>
      </c>
      <c r="P20" s="35">
        <f ca="1"/>
        <v>0</v>
      </c>
      <c r="Q20" s="35">
        <f ca="1"/>
        <v>8802.791966077948</v>
      </c>
      <c r="T20" s="44">
        <f ca="1"/>
        <v>99754.311710076887</v>
      </c>
      <c r="U20" s="44">
        <f ca="1"/>
        <v>106404.59915741534</v>
      </c>
      <c r="V20" s="36">
        <f ca="1"/>
        <v>2.7E-2</v>
      </c>
      <c r="W20" s="42"/>
    </row>
    <row r="21" spans="2:23">
      <c r="B21" s="45"/>
      <c r="H21" s="35">
        <v>19</v>
      </c>
      <c r="I21" s="35">
        <f ca="1"/>
        <v>1</v>
      </c>
      <c r="J21" s="35">
        <f ca="1"/>
        <v>0</v>
      </c>
      <c r="K21" s="35">
        <f ca="1"/>
        <v>1</v>
      </c>
      <c r="L21" s="35">
        <f ca="1"/>
        <v>1</v>
      </c>
      <c r="M21" s="35">
        <f ca="1"/>
        <v>15188.440664021669</v>
      </c>
      <c r="N21" s="35">
        <f ca="1"/>
        <v>0</v>
      </c>
      <c r="O21" s="35">
        <f ca="1"/>
        <v>169.71485575429102</v>
      </c>
      <c r="P21" s="35">
        <f ca="1"/>
        <v>101860.26182705622</v>
      </c>
      <c r="Q21" s="35">
        <f ca="1"/>
        <v>117218.41734683218</v>
      </c>
      <c r="T21" s="44">
        <f ca="1"/>
        <v>106404.59915741534</v>
      </c>
      <c r="U21" s="44">
        <f ca="1"/>
        <v>113054.8866047538</v>
      </c>
      <c r="V21" s="36">
        <f ca="1"/>
        <v>3.5000000000000003E-2</v>
      </c>
      <c r="W21" s="42"/>
    </row>
    <row r="22" spans="2:23">
      <c r="B22" s="45"/>
      <c r="H22" s="35">
        <v>20</v>
      </c>
      <c r="I22" s="35">
        <f ca="1"/>
        <v>1</v>
      </c>
      <c r="J22" s="35">
        <f ca="1"/>
        <v>0</v>
      </c>
      <c r="K22" s="35">
        <f ca="1"/>
        <v>1</v>
      </c>
      <c r="L22" s="35">
        <f ca="1"/>
        <v>1</v>
      </c>
      <c r="M22" s="35">
        <f ca="1"/>
        <v>10518.955349611389</v>
      </c>
      <c r="N22" s="35">
        <f ca="1"/>
        <v>0</v>
      </c>
      <c r="O22" s="35">
        <f ca="1"/>
        <v>97.56947798344018</v>
      </c>
      <c r="P22" s="35">
        <f ca="1"/>
        <v>148876.38564847113</v>
      </c>
      <c r="Q22" s="35">
        <f ca="1"/>
        <v>159492.91047606597</v>
      </c>
      <c r="T22" s="44">
        <f ca="1"/>
        <v>113054.8866047538</v>
      </c>
      <c r="U22" s="44">
        <f ca="1"/>
        <v>119705.17405209226</v>
      </c>
      <c r="V22" s="36">
        <f ca="1"/>
        <v>3.5999999999999997E-2</v>
      </c>
      <c r="W22" s="42"/>
    </row>
    <row r="23" spans="2:23">
      <c r="B23" s="45"/>
      <c r="H23" s="35">
        <v>21</v>
      </c>
      <c r="I23" s="35">
        <f ca="1"/>
        <v>0</v>
      </c>
      <c r="J23" s="35">
        <f ca="1"/>
        <v>0</v>
      </c>
      <c r="K23" s="35">
        <f ca="1"/>
        <v>0</v>
      </c>
      <c r="L23" s="35">
        <f ca="1"/>
        <v>1</v>
      </c>
      <c r="M23" s="35">
        <f ca="1"/>
        <v>0</v>
      </c>
      <c r="N23" s="35">
        <f ca="1"/>
        <v>0</v>
      </c>
      <c r="O23" s="35">
        <f ca="1"/>
        <v>0</v>
      </c>
      <c r="P23" s="35">
        <f ca="1"/>
        <v>211868.07658984108</v>
      </c>
      <c r="Q23" s="35">
        <f ca="1"/>
        <v>211868.07658984108</v>
      </c>
      <c r="T23" s="44">
        <f ca="1"/>
        <v>119705.17405209226</v>
      </c>
      <c r="U23" s="44">
        <f ca="1"/>
        <v>126355.46149943072</v>
      </c>
      <c r="V23" s="36">
        <f ca="1"/>
        <v>0.05</v>
      </c>
    </row>
    <row r="24" spans="2:23">
      <c r="B24" s="45"/>
      <c r="H24" s="35">
        <v>22</v>
      </c>
      <c r="I24" s="35">
        <f ca="1"/>
        <v>0</v>
      </c>
      <c r="J24" s="35">
        <f ca="1"/>
        <v>0</v>
      </c>
      <c r="K24" s="35">
        <f ca="1"/>
        <v>0</v>
      </c>
      <c r="L24" s="35">
        <f ca="1"/>
        <v>1</v>
      </c>
      <c r="M24" s="35">
        <f ca="1"/>
        <v>0</v>
      </c>
      <c r="N24" s="35">
        <f ca="1"/>
        <v>0</v>
      </c>
      <c r="O24" s="35">
        <f ca="1"/>
        <v>0</v>
      </c>
      <c r="P24" s="35">
        <f ca="1"/>
        <v>120402.4454637749</v>
      </c>
      <c r="Q24" s="35">
        <f ca="1"/>
        <v>120402.4454637749</v>
      </c>
      <c r="T24" s="44">
        <f ca="1"/>
        <v>126355.46149943072</v>
      </c>
      <c r="U24" s="44">
        <f ca="1"/>
        <v>133005.74894676919</v>
      </c>
      <c r="V24" s="36">
        <f ca="1"/>
        <v>0.04</v>
      </c>
    </row>
    <row r="25" spans="2:23">
      <c r="B25" s="45"/>
      <c r="H25" s="35">
        <v>23</v>
      </c>
      <c r="I25" s="35">
        <f ca="1"/>
        <v>0</v>
      </c>
      <c r="J25" s="35">
        <f ca="1"/>
        <v>0</v>
      </c>
      <c r="K25" s="35">
        <f ca="1"/>
        <v>0</v>
      </c>
      <c r="L25" s="35">
        <f ca="1"/>
        <v>1</v>
      </c>
      <c r="M25" s="35">
        <f ca="1"/>
        <v>0</v>
      </c>
      <c r="N25" s="35">
        <f ca="1"/>
        <v>0</v>
      </c>
      <c r="O25" s="35">
        <f ca="1"/>
        <v>0</v>
      </c>
      <c r="P25" s="35">
        <f ca="1"/>
        <v>53635.092740777254</v>
      </c>
      <c r="Q25" s="35">
        <f ca="1"/>
        <v>53635.092740777254</v>
      </c>
      <c r="T25" s="40">
        <f ca="1"/>
        <v>133005.74894676919</v>
      </c>
      <c r="U25" s="40">
        <f ca="1"/>
        <v>139656.03639410765</v>
      </c>
      <c r="V25" s="36">
        <f ca="1"/>
        <v>4.8000000000000001E-2</v>
      </c>
    </row>
    <row r="26" spans="2:23">
      <c r="B26" s="45"/>
      <c r="H26" s="35">
        <v>24</v>
      </c>
      <c r="I26" s="35">
        <f ca="1"/>
        <v>0</v>
      </c>
      <c r="J26" s="35">
        <f ca="1"/>
        <v>1</v>
      </c>
      <c r="K26" s="35">
        <f ca="1"/>
        <v>0</v>
      </c>
      <c r="L26" s="35">
        <f ca="1"/>
        <v>1</v>
      </c>
      <c r="M26" s="35">
        <f ca="1"/>
        <v>0</v>
      </c>
      <c r="N26" s="35">
        <f ca="1"/>
        <v>39014.013356385978</v>
      </c>
      <c r="O26" s="35">
        <f ca="1"/>
        <v>0</v>
      </c>
      <c r="P26" s="35">
        <f ca="1"/>
        <v>162773.96379117868</v>
      </c>
      <c r="Q26" s="35">
        <f ca="1"/>
        <v>201787.97714756467</v>
      </c>
      <c r="T26" s="40">
        <f ca="1"/>
        <v>139656.03639410765</v>
      </c>
      <c r="U26" s="40">
        <f ca="1"/>
        <v>146306.32384144611</v>
      </c>
      <c r="V26" s="36">
        <f ca="1"/>
        <v>5.3999999999999999E-2</v>
      </c>
    </row>
    <row r="27" spans="2:23">
      <c r="B27" s="45"/>
      <c r="H27" s="35">
        <v>25</v>
      </c>
      <c r="I27" s="35">
        <f ca="1"/>
        <v>0</v>
      </c>
      <c r="J27" s="35">
        <f ca="1"/>
        <v>1</v>
      </c>
      <c r="K27" s="35">
        <f ca="1"/>
        <v>0</v>
      </c>
      <c r="L27" s="35">
        <f ca="1"/>
        <v>1</v>
      </c>
      <c r="M27" s="35">
        <f ca="1"/>
        <v>0</v>
      </c>
      <c r="N27" s="35">
        <f ca="1"/>
        <v>66444.721373629363</v>
      </c>
      <c r="O27" s="35">
        <f ca="1"/>
        <v>0</v>
      </c>
      <c r="P27" s="35">
        <f ca="1"/>
        <v>115854.92504860248</v>
      </c>
      <c r="Q27" s="35">
        <f ca="1"/>
        <v>182299.64642223186</v>
      </c>
      <c r="T27" s="40">
        <f ca="1"/>
        <v>146306.32384144611</v>
      </c>
      <c r="U27" s="40">
        <f ca="1"/>
        <v>152956.61128878457</v>
      </c>
      <c r="V27" s="36">
        <f ca="1"/>
        <v>5.3999999999999999E-2</v>
      </c>
    </row>
    <row r="28" spans="2:23">
      <c r="B28" s="45"/>
      <c r="H28" s="35">
        <v>26</v>
      </c>
      <c r="I28" s="35">
        <f ca="1"/>
        <v>0</v>
      </c>
      <c r="J28" s="35">
        <f ca="1"/>
        <v>0</v>
      </c>
      <c r="K28" s="35">
        <f ca="1"/>
        <v>0</v>
      </c>
      <c r="L28" s="35">
        <f ca="1"/>
        <v>1</v>
      </c>
      <c r="M28" s="35">
        <f ca="1"/>
        <v>0</v>
      </c>
      <c r="N28" s="35">
        <f ca="1"/>
        <v>0</v>
      </c>
      <c r="O28" s="35">
        <f ca="1"/>
        <v>0</v>
      </c>
      <c r="P28" s="35">
        <f ca="1"/>
        <v>45560.082404457055</v>
      </c>
      <c r="Q28" s="35">
        <f ca="1"/>
        <v>45560.082404457055</v>
      </c>
      <c r="T28" s="40">
        <f ca="1"/>
        <v>152956.61128878457</v>
      </c>
      <c r="U28" s="40">
        <f ca="1"/>
        <v>159606.89873612302</v>
      </c>
      <c r="V28" s="36">
        <f ca="1"/>
        <v>5.6000000000000001E-2</v>
      </c>
    </row>
    <row r="29" spans="2:23">
      <c r="B29" s="45"/>
      <c r="H29" s="35">
        <v>27</v>
      </c>
      <c r="I29" s="35">
        <f ca="1"/>
        <v>0</v>
      </c>
      <c r="J29" s="35">
        <f ca="1"/>
        <v>0</v>
      </c>
      <c r="K29" s="35">
        <f ca="1"/>
        <v>0</v>
      </c>
      <c r="L29" s="35">
        <f ca="1"/>
        <v>1</v>
      </c>
      <c r="M29" s="35">
        <f ca="1"/>
        <v>0</v>
      </c>
      <c r="N29" s="35">
        <f ca="1"/>
        <v>0</v>
      </c>
      <c r="O29" s="35">
        <f ca="1"/>
        <v>0</v>
      </c>
      <c r="P29" s="35">
        <f ca="1"/>
        <v>85402.690960760403</v>
      </c>
      <c r="Q29" s="35">
        <f ca="1"/>
        <v>85402.690960760403</v>
      </c>
      <c r="T29" s="40">
        <f ca="1"/>
        <v>159606.89873612302</v>
      </c>
      <c r="U29" s="40">
        <f ca="1"/>
        <v>166257.18618346148</v>
      </c>
      <c r="V29" s="36">
        <f ca="1"/>
        <v>5.8999999999999997E-2</v>
      </c>
    </row>
    <row r="30" spans="2:23">
      <c r="B30" s="45"/>
      <c r="H30" s="35">
        <v>28</v>
      </c>
      <c r="I30" s="35">
        <f ca="1"/>
        <v>0</v>
      </c>
      <c r="J30" s="35">
        <f ca="1"/>
        <v>0</v>
      </c>
      <c r="K30" s="35">
        <f ca="1"/>
        <v>0</v>
      </c>
      <c r="L30" s="35">
        <f ca="1"/>
        <v>1</v>
      </c>
      <c r="M30" s="35">
        <f ca="1"/>
        <v>0</v>
      </c>
      <c r="N30" s="35">
        <f ca="1"/>
        <v>0</v>
      </c>
      <c r="O30" s="35">
        <f ca="1"/>
        <v>0</v>
      </c>
      <c r="P30" s="35">
        <f ca="1"/>
        <v>180389.01759412652</v>
      </c>
      <c r="Q30" s="35">
        <f ca="1"/>
        <v>180389.01759412652</v>
      </c>
      <c r="T30" s="35">
        <f ca="1"/>
        <v>166257.18618346148</v>
      </c>
      <c r="U30" s="35">
        <f ca="1"/>
        <v>172907.47363079994</v>
      </c>
      <c r="V30" s="36">
        <f ca="1"/>
        <v>4.2999999999999997E-2</v>
      </c>
    </row>
    <row r="31" spans="2:23">
      <c r="B31" s="45"/>
      <c r="H31" s="35">
        <v>29</v>
      </c>
      <c r="I31" s="35">
        <f ca="1"/>
        <v>0</v>
      </c>
      <c r="J31" s="35">
        <f ca="1"/>
        <v>1</v>
      </c>
      <c r="K31" s="35">
        <f ca="1"/>
        <v>0</v>
      </c>
      <c r="L31" s="35">
        <f ca="1"/>
        <v>0</v>
      </c>
      <c r="M31" s="35">
        <f ca="1"/>
        <v>0</v>
      </c>
      <c r="N31" s="35">
        <f ca="1"/>
        <v>48971.177221531019</v>
      </c>
      <c r="O31" s="35">
        <f ca="1"/>
        <v>0</v>
      </c>
      <c r="P31" s="35">
        <f ca="1"/>
        <v>0</v>
      </c>
      <c r="Q31" s="35">
        <f ca="1"/>
        <v>48971.177221531019</v>
      </c>
      <c r="T31" s="35">
        <f ca="1"/>
        <v>172907.47363079994</v>
      </c>
      <c r="U31" s="35">
        <f ca="1"/>
        <v>179557.7610781384</v>
      </c>
      <c r="V31" s="36">
        <f ca="1"/>
        <v>4.9000000000000002E-2</v>
      </c>
    </row>
    <row r="32" spans="2:23">
      <c r="B32" s="45"/>
      <c r="H32" s="35">
        <v>30</v>
      </c>
      <c r="I32" s="35">
        <f ca="1"/>
        <v>0</v>
      </c>
      <c r="J32" s="35">
        <f ca="1"/>
        <v>0</v>
      </c>
      <c r="K32" s="35">
        <f ca="1"/>
        <v>0</v>
      </c>
      <c r="L32" s="35">
        <f ca="1"/>
        <v>1</v>
      </c>
      <c r="M32" s="35">
        <f ca="1"/>
        <v>0</v>
      </c>
      <c r="N32" s="35">
        <f ca="1"/>
        <v>0</v>
      </c>
      <c r="O32" s="35">
        <f ca="1"/>
        <v>0</v>
      </c>
      <c r="P32" s="35">
        <f ca="1"/>
        <v>208935.28705356235</v>
      </c>
      <c r="Q32" s="35">
        <f ca="1"/>
        <v>208935.28705356235</v>
      </c>
      <c r="T32" s="35">
        <f ca="1"/>
        <v>179557.7610781384</v>
      </c>
      <c r="U32" s="35">
        <f ca="1"/>
        <v>186208.04852547686</v>
      </c>
      <c r="V32" s="36">
        <f ca="1"/>
        <v>4.9000000000000002E-2</v>
      </c>
    </row>
    <row r="33" spans="2:22">
      <c r="B33" s="45"/>
      <c r="H33" s="35">
        <v>31</v>
      </c>
      <c r="I33" s="35">
        <f ca="1"/>
        <v>0</v>
      </c>
      <c r="J33" s="35">
        <f ca="1"/>
        <v>1</v>
      </c>
      <c r="K33" s="35">
        <f ca="1"/>
        <v>0</v>
      </c>
      <c r="L33" s="35">
        <f ca="1"/>
        <v>1</v>
      </c>
      <c r="M33" s="35">
        <f ca="1"/>
        <v>0</v>
      </c>
      <c r="N33" s="35">
        <f ca="1"/>
        <v>14796.825386140592</v>
      </c>
      <c r="O33" s="35">
        <f ca="1"/>
        <v>0</v>
      </c>
      <c r="P33" s="35">
        <f ca="1"/>
        <v>103971.13702477663</v>
      </c>
      <c r="Q33" s="35">
        <f ca="1"/>
        <v>118767.96241091723</v>
      </c>
      <c r="T33" s="35">
        <f ca="1"/>
        <v>186208.04852547686</v>
      </c>
      <c r="U33" s="35">
        <f ca="1"/>
        <v>192858.33597281532</v>
      </c>
      <c r="V33" s="36">
        <f ca="1"/>
        <v>2.7E-2</v>
      </c>
    </row>
    <row r="34" spans="2:22">
      <c r="B34" s="45"/>
      <c r="H34" s="35">
        <v>32</v>
      </c>
      <c r="I34" s="35">
        <f ca="1"/>
        <v>0</v>
      </c>
      <c r="J34" s="35">
        <f ca="1"/>
        <v>0</v>
      </c>
      <c r="K34" s="35">
        <f ca="1"/>
        <v>0</v>
      </c>
      <c r="L34" s="35">
        <f ca="1"/>
        <v>1</v>
      </c>
      <c r="M34" s="35">
        <f ca="1"/>
        <v>0</v>
      </c>
      <c r="N34" s="35">
        <f ca="1"/>
        <v>0</v>
      </c>
      <c r="O34" s="35">
        <f ca="1"/>
        <v>0</v>
      </c>
      <c r="P34" s="35">
        <f ca="1"/>
        <v>200843.84661410208</v>
      </c>
      <c r="Q34" s="35">
        <f ca="1"/>
        <v>200843.84661410208</v>
      </c>
      <c r="T34" s="35">
        <f ca="1"/>
        <v>192858.33597281532</v>
      </c>
      <c r="U34" s="35">
        <f ca="1"/>
        <v>199508.62342015377</v>
      </c>
      <c r="V34" s="36">
        <f ca="1"/>
        <v>2.4E-2</v>
      </c>
    </row>
    <row r="35" spans="2:22">
      <c r="B35" s="45"/>
      <c r="H35" s="35">
        <v>33</v>
      </c>
      <c r="I35" s="35">
        <f ca="1"/>
        <v>0</v>
      </c>
      <c r="J35" s="35">
        <f ca="1"/>
        <v>0</v>
      </c>
      <c r="K35" s="35">
        <f ca="1"/>
        <v>0</v>
      </c>
      <c r="L35" s="35">
        <f ca="1"/>
        <v>1</v>
      </c>
      <c r="M35" s="35">
        <f ca="1"/>
        <v>0</v>
      </c>
      <c r="N35" s="35">
        <f ca="1"/>
        <v>0</v>
      </c>
      <c r="O35" s="35">
        <f ca="1"/>
        <v>0</v>
      </c>
      <c r="P35" s="35">
        <f ca="1"/>
        <v>140033.34014368968</v>
      </c>
      <c r="Q35" s="35">
        <f ca="1"/>
        <v>140033.34014368968</v>
      </c>
      <c r="T35" s="35">
        <f ca="1"/>
        <v>199508.62342015377</v>
      </c>
      <c r="U35" s="35">
        <f ca="1"/>
        <v>206158.91086749223</v>
      </c>
      <c r="V35" s="36">
        <f ca="1"/>
        <v>2.4E-2</v>
      </c>
    </row>
    <row r="36" spans="2:22">
      <c r="B36" s="45"/>
      <c r="H36" s="35">
        <v>34</v>
      </c>
      <c r="I36" s="35">
        <f ca="1"/>
        <v>0</v>
      </c>
      <c r="J36" s="35">
        <f ca="1"/>
        <v>0</v>
      </c>
      <c r="K36" s="35">
        <f ca="1"/>
        <v>0</v>
      </c>
      <c r="L36" s="35">
        <f ca="1"/>
        <v>1</v>
      </c>
      <c r="M36" s="35">
        <f ca="1"/>
        <v>0</v>
      </c>
      <c r="N36" s="35">
        <f ca="1"/>
        <v>0</v>
      </c>
      <c r="O36" s="35">
        <f ca="1"/>
        <v>0</v>
      </c>
      <c r="P36" s="35">
        <f ca="1"/>
        <v>147341.3912612373</v>
      </c>
      <c r="Q36" s="35">
        <f ca="1"/>
        <v>147341.3912612373</v>
      </c>
      <c r="T36" s="35">
        <f ca="1"/>
        <v>206158.91086749223</v>
      </c>
      <c r="U36" s="35">
        <f ca="1"/>
        <v>212809.19831483069</v>
      </c>
      <c r="V36" s="36">
        <f ca="1"/>
        <v>2.1000000000000001E-2</v>
      </c>
    </row>
    <row r="37" spans="2:22">
      <c r="B37" s="45"/>
      <c r="H37" s="35">
        <v>35</v>
      </c>
      <c r="I37" s="35">
        <f ca="1"/>
        <v>1</v>
      </c>
      <c r="J37" s="35">
        <f ca="1"/>
        <v>0</v>
      </c>
      <c r="K37" s="35">
        <f ca="1"/>
        <v>0</v>
      </c>
      <c r="L37" s="35">
        <f ca="1"/>
        <v>1</v>
      </c>
      <c r="M37" s="35">
        <f ca="1"/>
        <v>9139.6906101383975</v>
      </c>
      <c r="N37" s="35">
        <f ca="1"/>
        <v>0</v>
      </c>
      <c r="O37" s="35">
        <f ca="1"/>
        <v>0</v>
      </c>
      <c r="P37" s="35">
        <f ca="1"/>
        <v>109974.48915729152</v>
      </c>
      <c r="Q37" s="35">
        <f ca="1"/>
        <v>119114.17976742992</v>
      </c>
      <c r="T37" s="35">
        <f ca="1"/>
        <v>212809.19831483069</v>
      </c>
      <c r="U37" s="35">
        <f ca="1"/>
        <v>219459.48576216915</v>
      </c>
      <c r="V37" s="36">
        <f ca="1"/>
        <v>1.7000000000000001E-2</v>
      </c>
    </row>
    <row r="38" spans="2:22">
      <c r="B38" s="45"/>
      <c r="H38" s="35">
        <v>36</v>
      </c>
      <c r="I38" s="35">
        <f ca="1"/>
        <v>0</v>
      </c>
      <c r="J38" s="35">
        <f ca="1"/>
        <v>0</v>
      </c>
      <c r="K38" s="35">
        <f ca="1"/>
        <v>0</v>
      </c>
      <c r="L38" s="35">
        <f ca="1"/>
        <v>1</v>
      </c>
      <c r="M38" s="35">
        <f ca="1"/>
        <v>0</v>
      </c>
      <c r="N38" s="35">
        <f ca="1"/>
        <v>0</v>
      </c>
      <c r="O38" s="35">
        <f ca="1"/>
        <v>0</v>
      </c>
      <c r="P38" s="35">
        <f ca="1"/>
        <v>97041.832853103406</v>
      </c>
      <c r="Q38" s="35">
        <f ca="1"/>
        <v>97041.832853103406</v>
      </c>
      <c r="T38" s="35">
        <f ca="1"/>
        <v>219459.48576216915</v>
      </c>
      <c r="U38" s="35">
        <f ca="1"/>
        <v>226109.77320950761</v>
      </c>
      <c r="V38" s="36">
        <f ca="1"/>
        <v>7.0000000000000001E-3</v>
      </c>
    </row>
    <row r="39" spans="2:22">
      <c r="B39" s="45"/>
      <c r="H39" s="35">
        <v>37</v>
      </c>
      <c r="I39" s="35">
        <f ca="1"/>
        <v>0</v>
      </c>
      <c r="J39" s="35">
        <f ca="1"/>
        <v>0</v>
      </c>
      <c r="K39" s="35">
        <f ca="1"/>
        <v>0</v>
      </c>
      <c r="L39" s="35">
        <f ca="1"/>
        <v>1</v>
      </c>
      <c r="M39" s="35">
        <f ca="1"/>
        <v>0</v>
      </c>
      <c r="N39" s="35">
        <f ca="1"/>
        <v>0</v>
      </c>
      <c r="O39" s="35">
        <f ca="1"/>
        <v>0</v>
      </c>
      <c r="P39" s="35">
        <f ca="1"/>
        <v>109953.04087413568</v>
      </c>
      <c r="Q39" s="35">
        <f ca="1"/>
        <v>109953.04087413568</v>
      </c>
      <c r="T39" s="35">
        <f ca="1"/>
        <v>226109.77320950761</v>
      </c>
      <c r="U39" s="35">
        <f ca="1"/>
        <v>232760.06065684606</v>
      </c>
      <c r="V39" s="36">
        <f ca="1"/>
        <v>1E-3</v>
      </c>
    </row>
    <row r="40" spans="2:22">
      <c r="B40" s="45"/>
      <c r="H40" s="35">
        <v>38</v>
      </c>
      <c r="I40" s="35">
        <f ca="1"/>
        <v>0</v>
      </c>
      <c r="J40" s="35">
        <f ca="1"/>
        <v>0</v>
      </c>
      <c r="K40" s="35">
        <f ca="1"/>
        <v>1</v>
      </c>
      <c r="L40" s="35">
        <f ca="1"/>
        <v>1</v>
      </c>
      <c r="M40" s="35">
        <f ca="1"/>
        <v>0</v>
      </c>
      <c r="N40" s="35">
        <f ca="1"/>
        <v>0</v>
      </c>
      <c r="O40" s="35">
        <f ca="1"/>
        <v>371.64801596109908</v>
      </c>
      <c r="P40" s="35">
        <f ca="1"/>
        <v>196426.15399399618</v>
      </c>
      <c r="Q40" s="35">
        <f ca="1"/>
        <v>196797.80200995729</v>
      </c>
      <c r="T40" s="35">
        <f ca="1"/>
        <v>232760.06065684606</v>
      </c>
      <c r="U40" s="35">
        <f ca="1"/>
        <v>239410.34810418452</v>
      </c>
      <c r="V40" s="36">
        <f ca="1"/>
        <v>6.0000000000000001E-3</v>
      </c>
    </row>
    <row r="41" spans="2:22">
      <c r="B41" s="45"/>
      <c r="H41" s="35">
        <v>39</v>
      </c>
      <c r="I41" s="35">
        <f ca="1"/>
        <v>1</v>
      </c>
      <c r="J41" s="35">
        <f ca="1"/>
        <v>0</v>
      </c>
      <c r="K41" s="35">
        <f ca="1"/>
        <v>1</v>
      </c>
      <c r="L41" s="35">
        <f ca="1"/>
        <v>1</v>
      </c>
      <c r="M41" s="35">
        <f ca="1"/>
        <v>13813.886426645064</v>
      </c>
      <c r="N41" s="35">
        <f ca="1"/>
        <v>0</v>
      </c>
      <c r="O41" s="35">
        <f ca="1"/>
        <v>222.90699566282819</v>
      </c>
      <c r="P41" s="35">
        <f ca="1"/>
        <v>136531.0177309573</v>
      </c>
      <c r="Q41" s="35">
        <f ca="1"/>
        <v>150567.81115326518</v>
      </c>
      <c r="T41" s="35">
        <f ca="1"/>
        <v>239410.34810418452</v>
      </c>
      <c r="U41" s="35">
        <f ca="1"/>
        <v>246060.63555152298</v>
      </c>
      <c r="V41" s="36">
        <f ca="1"/>
        <v>7.0000000000000001E-3</v>
      </c>
    </row>
    <row r="42" spans="2:22">
      <c r="B42" s="45"/>
      <c r="H42" s="35">
        <v>40</v>
      </c>
      <c r="I42" s="35">
        <f ca="1"/>
        <v>0</v>
      </c>
      <c r="J42" s="35">
        <f ca="1"/>
        <v>1</v>
      </c>
      <c r="K42" s="35">
        <f ca="1"/>
        <v>0</v>
      </c>
      <c r="L42" s="35">
        <f ca="1"/>
        <v>1</v>
      </c>
      <c r="M42" s="35">
        <f ca="1"/>
        <v>0</v>
      </c>
      <c r="N42" s="35">
        <f ca="1"/>
        <v>56308.225496315827</v>
      </c>
      <c r="O42" s="35">
        <f ca="1"/>
        <v>0</v>
      </c>
      <c r="P42" s="35">
        <f ca="1"/>
        <v>115436.2535369855</v>
      </c>
      <c r="Q42" s="35">
        <f ca="1"/>
        <v>171744.47903330132</v>
      </c>
      <c r="T42" s="35">
        <f ca="1"/>
        <v>246060.63555152298</v>
      </c>
      <c r="U42" s="35">
        <f ca="1"/>
        <v>252710.92299886144</v>
      </c>
      <c r="V42" s="36">
        <f ca="1"/>
        <v>4.0000000000000001E-3</v>
      </c>
    </row>
    <row r="43" spans="2:22">
      <c r="B43" s="45"/>
      <c r="H43" s="35">
        <v>41</v>
      </c>
      <c r="I43" s="35">
        <f ca="1"/>
        <v>0</v>
      </c>
      <c r="J43" s="35">
        <f ca="1"/>
        <v>1</v>
      </c>
      <c r="K43" s="35">
        <f ca="1"/>
        <v>1</v>
      </c>
      <c r="L43" s="35">
        <f ca="1"/>
        <v>1</v>
      </c>
      <c r="M43" s="35">
        <f ca="1"/>
        <v>0</v>
      </c>
      <c r="N43" s="35">
        <f ca="1"/>
        <v>29479.863364626672</v>
      </c>
      <c r="O43" s="35">
        <f ca="1"/>
        <v>63.720310632271229</v>
      </c>
      <c r="P43" s="35">
        <f ca="1"/>
        <v>217934.31516592627</v>
      </c>
      <c r="Q43" s="35">
        <f ca="1"/>
        <v>247477.8988411852</v>
      </c>
      <c r="T43" s="35">
        <f ca="1"/>
        <v>252710.92299886144</v>
      </c>
      <c r="U43" s="35">
        <f ca="1"/>
        <v>259361.2104461999</v>
      </c>
      <c r="V43" s="36">
        <f ca="1"/>
        <v>4.0000000000000001E-3</v>
      </c>
    </row>
    <row r="44" spans="2:22">
      <c r="B44" s="45"/>
      <c r="H44" s="35">
        <v>42</v>
      </c>
      <c r="I44" s="35">
        <f ca="1"/>
        <v>0</v>
      </c>
      <c r="J44" s="35">
        <f ca="1"/>
        <v>0</v>
      </c>
      <c r="K44" s="35">
        <f ca="1"/>
        <v>0</v>
      </c>
      <c r="L44" s="35">
        <f ca="1"/>
        <v>1</v>
      </c>
      <c r="M44" s="35">
        <f ca="1"/>
        <v>0</v>
      </c>
      <c r="N44" s="35">
        <f ca="1"/>
        <v>0</v>
      </c>
      <c r="O44" s="35">
        <f ca="1"/>
        <v>0</v>
      </c>
      <c r="P44" s="35">
        <f ca="1"/>
        <v>133716.77633122011</v>
      </c>
      <c r="Q44" s="35">
        <f ca="1"/>
        <v>133716.77633122011</v>
      </c>
      <c r="T44" s="35">
        <f ca="1"/>
        <v>259361.2104461999</v>
      </c>
      <c r="U44" s="35">
        <f ca="1"/>
        <v>266011.49789353838</v>
      </c>
      <c r="V44" s="36">
        <f ca="1"/>
        <v>3.0000000000000001E-3</v>
      </c>
    </row>
    <row r="45" spans="2:22">
      <c r="B45" s="45"/>
      <c r="H45" s="35">
        <v>43</v>
      </c>
      <c r="I45" s="35">
        <f ca="1"/>
        <v>0</v>
      </c>
      <c r="J45" s="35">
        <f ca="1"/>
        <v>0</v>
      </c>
      <c r="K45" s="35">
        <f ca="1"/>
        <v>0</v>
      </c>
      <c r="L45" s="35">
        <f ca="1"/>
        <v>0</v>
      </c>
      <c r="M45" s="35">
        <f ca="1"/>
        <v>0</v>
      </c>
      <c r="N45" s="35">
        <f ca="1"/>
        <v>0</v>
      </c>
      <c r="O45" s="35">
        <f ca="1"/>
        <v>0</v>
      </c>
      <c r="P45" s="35">
        <f ca="1"/>
        <v>0</v>
      </c>
      <c r="Q45" s="35">
        <f ca="1"/>
        <v>0</v>
      </c>
    </row>
    <row r="46" spans="2:22">
      <c r="B46" s="45"/>
      <c r="H46" s="35">
        <v>44</v>
      </c>
      <c r="I46" s="35">
        <f ca="1"/>
        <v>0</v>
      </c>
      <c r="J46" s="35">
        <f ca="1"/>
        <v>0</v>
      </c>
      <c r="K46" s="35">
        <f ca="1"/>
        <v>0</v>
      </c>
      <c r="L46" s="35">
        <f ca="1"/>
        <v>1</v>
      </c>
      <c r="M46" s="35">
        <f ca="1"/>
        <v>0</v>
      </c>
      <c r="N46" s="35">
        <f ca="1"/>
        <v>0</v>
      </c>
      <c r="O46" s="35">
        <f ca="1"/>
        <v>0</v>
      </c>
      <c r="P46" s="35">
        <f ca="1"/>
        <v>165593.82597999641</v>
      </c>
      <c r="Q46" s="35">
        <f ca="1"/>
        <v>165593.82597999641</v>
      </c>
    </row>
    <row r="47" spans="2:22">
      <c r="B47" s="45"/>
      <c r="H47" s="35">
        <v>45</v>
      </c>
      <c r="I47" s="35">
        <f ca="1"/>
        <v>0</v>
      </c>
      <c r="J47" s="35">
        <f ca="1"/>
        <v>0</v>
      </c>
      <c r="K47" s="35">
        <f ca="1"/>
        <v>0</v>
      </c>
      <c r="L47" s="35">
        <f ca="1"/>
        <v>1</v>
      </c>
      <c r="M47" s="35">
        <f ca="1"/>
        <v>0</v>
      </c>
      <c r="N47" s="35">
        <f ca="1"/>
        <v>0</v>
      </c>
      <c r="O47" s="35">
        <f ca="1"/>
        <v>0</v>
      </c>
      <c r="P47" s="35">
        <f ca="1"/>
        <v>112015.01110171108</v>
      </c>
      <c r="Q47" s="35">
        <f ca="1"/>
        <v>112015.01110171108</v>
      </c>
    </row>
    <row r="48" spans="2:22">
      <c r="B48" s="45"/>
      <c r="H48" s="35">
        <v>46</v>
      </c>
      <c r="I48" s="35">
        <f ca="1"/>
        <v>0</v>
      </c>
      <c r="J48" s="35">
        <f ca="1"/>
        <v>1</v>
      </c>
      <c r="K48" s="35">
        <f ca="1"/>
        <v>0</v>
      </c>
      <c r="L48" s="35">
        <f ca="1"/>
        <v>1</v>
      </c>
      <c r="M48" s="35">
        <f ca="1"/>
        <v>0</v>
      </c>
      <c r="N48" s="35">
        <f ca="1"/>
        <v>22927.063341568981</v>
      </c>
      <c r="O48" s="35">
        <f ca="1"/>
        <v>0</v>
      </c>
      <c r="P48" s="35">
        <f ca="1"/>
        <v>158637.03251082005</v>
      </c>
      <c r="Q48" s="35">
        <f ca="1"/>
        <v>181564.09585238903</v>
      </c>
    </row>
    <row r="49" spans="2:17">
      <c r="B49" s="45"/>
      <c r="H49" s="35">
        <v>47</v>
      </c>
      <c r="I49" s="35">
        <f ca="1"/>
        <v>0</v>
      </c>
      <c r="J49" s="35">
        <f ca="1"/>
        <v>0</v>
      </c>
      <c r="K49" s="35">
        <f ca="1"/>
        <v>0</v>
      </c>
      <c r="L49" s="35">
        <f ca="1"/>
        <v>1</v>
      </c>
      <c r="M49" s="35">
        <f ca="1"/>
        <v>0</v>
      </c>
      <c r="N49" s="35">
        <f ca="1"/>
        <v>0</v>
      </c>
      <c r="O49" s="35">
        <f ca="1"/>
        <v>0</v>
      </c>
      <c r="P49" s="35">
        <f ca="1"/>
        <v>203574.67542214401</v>
      </c>
      <c r="Q49" s="35">
        <f ca="1"/>
        <v>203574.67542214401</v>
      </c>
    </row>
    <row r="50" spans="2:17">
      <c r="B50" s="45"/>
      <c r="H50" s="35">
        <v>48</v>
      </c>
      <c r="I50" s="35">
        <f ca="1"/>
        <v>0</v>
      </c>
      <c r="J50" s="35">
        <f ca="1"/>
        <v>0</v>
      </c>
      <c r="K50" s="35">
        <f ca="1"/>
        <v>1</v>
      </c>
      <c r="L50" s="35">
        <f ca="1"/>
        <v>1</v>
      </c>
      <c r="M50" s="35">
        <f ca="1"/>
        <v>0</v>
      </c>
      <c r="N50" s="35">
        <f ca="1"/>
        <v>0</v>
      </c>
      <c r="O50" s="35">
        <f ca="1"/>
        <v>325.71843976919911</v>
      </c>
      <c r="P50" s="35">
        <f ca="1"/>
        <v>142479.78333417996</v>
      </c>
      <c r="Q50" s="35">
        <f ca="1"/>
        <v>142805.50177394916</v>
      </c>
    </row>
    <row r="51" spans="2:17">
      <c r="B51" s="45"/>
      <c r="H51" s="35">
        <v>49</v>
      </c>
      <c r="I51" s="35">
        <f ca="1"/>
        <v>0</v>
      </c>
      <c r="J51" s="35">
        <f ca="1"/>
        <v>1</v>
      </c>
      <c r="K51" s="35">
        <f ca="1"/>
        <v>0</v>
      </c>
      <c r="L51" s="35">
        <f ca="1"/>
        <v>1</v>
      </c>
      <c r="M51" s="35">
        <f ca="1"/>
        <v>0</v>
      </c>
      <c r="N51" s="35">
        <f ca="1"/>
        <v>10669.646185379446</v>
      </c>
      <c r="O51" s="35">
        <f ca="1"/>
        <v>0</v>
      </c>
      <c r="P51" s="35">
        <f ca="1"/>
        <v>182688.90506170507</v>
      </c>
      <c r="Q51" s="35">
        <f ca="1"/>
        <v>193358.55124708451</v>
      </c>
    </row>
    <row r="52" spans="2:17">
      <c r="B52" s="45"/>
      <c r="H52" s="35">
        <v>50</v>
      </c>
      <c r="I52" s="35">
        <f ca="1"/>
        <v>0</v>
      </c>
      <c r="J52" s="35">
        <f ca="1"/>
        <v>1</v>
      </c>
      <c r="K52" s="35">
        <f ca="1"/>
        <v>1</v>
      </c>
      <c r="L52" s="35">
        <f ca="1"/>
        <v>1</v>
      </c>
      <c r="M52" s="35">
        <f ca="1"/>
        <v>0</v>
      </c>
      <c r="N52" s="35">
        <f ca="1"/>
        <v>68996.842473212164</v>
      </c>
      <c r="O52" s="35">
        <f ca="1"/>
        <v>107.05422811880021</v>
      </c>
      <c r="P52" s="35">
        <f ca="1"/>
        <v>192057.27464458477</v>
      </c>
      <c r="Q52" s="35">
        <f ca="1"/>
        <v>261161.17134591573</v>
      </c>
    </row>
    <row r="53" spans="2:17">
      <c r="B53" s="45"/>
      <c r="H53" s="35">
        <v>51</v>
      </c>
      <c r="I53" s="35">
        <f ca="1"/>
        <v>0</v>
      </c>
      <c r="J53" s="35">
        <f ca="1"/>
        <v>1</v>
      </c>
      <c r="K53" s="35">
        <f ca="1"/>
        <v>1</v>
      </c>
      <c r="L53" s="35">
        <f ca="1"/>
        <v>1</v>
      </c>
      <c r="M53" s="35">
        <f ca="1"/>
        <v>0</v>
      </c>
      <c r="N53" s="35">
        <f ca="1"/>
        <v>33449.675530056295</v>
      </c>
      <c r="O53" s="35">
        <f ca="1"/>
        <v>300.67357015003569</v>
      </c>
      <c r="P53" s="35">
        <f ca="1"/>
        <v>75759.302869969746</v>
      </c>
      <c r="Q53" s="35">
        <f ca="1"/>
        <v>109509.65197017608</v>
      </c>
    </row>
    <row r="54" spans="2:17">
      <c r="B54" s="45"/>
      <c r="H54" s="35">
        <v>52</v>
      </c>
      <c r="I54" s="35">
        <f ca="1"/>
        <v>1</v>
      </c>
      <c r="J54" s="35">
        <f ca="1"/>
        <v>0</v>
      </c>
      <c r="K54" s="35">
        <f ca="1"/>
        <v>1</v>
      </c>
      <c r="L54" s="35">
        <f ca="1"/>
        <v>1</v>
      </c>
      <c r="M54" s="35">
        <f ca="1"/>
        <v>11107.674163389414</v>
      </c>
      <c r="N54" s="35">
        <f ca="1"/>
        <v>0</v>
      </c>
      <c r="O54" s="35">
        <f ca="1"/>
        <v>68.638839522585613</v>
      </c>
      <c r="P54" s="35">
        <f ca="1"/>
        <v>77128.476922994159</v>
      </c>
      <c r="Q54" s="35">
        <f ca="1"/>
        <v>88304.789925906167</v>
      </c>
    </row>
    <row r="55" spans="2:17">
      <c r="B55" s="45"/>
      <c r="H55" s="35">
        <v>53</v>
      </c>
      <c r="I55" s="35">
        <f ca="1"/>
        <v>0</v>
      </c>
      <c r="J55" s="35">
        <f ca="1"/>
        <v>1</v>
      </c>
      <c r="K55" s="35">
        <f ca="1"/>
        <v>0</v>
      </c>
      <c r="L55" s="35">
        <f ca="1"/>
        <v>1</v>
      </c>
      <c r="M55" s="35">
        <f ca="1"/>
        <v>0</v>
      </c>
      <c r="N55" s="35">
        <f ca="1"/>
        <v>15828.854227338126</v>
      </c>
      <c r="O55" s="35">
        <f ca="1"/>
        <v>0</v>
      </c>
      <c r="P55" s="35">
        <f ca="1"/>
        <v>127524.07813758118</v>
      </c>
      <c r="Q55" s="35">
        <f ca="1"/>
        <v>143352.93236491931</v>
      </c>
    </row>
    <row r="56" spans="2:17">
      <c r="B56" s="45"/>
      <c r="H56" s="35">
        <v>54</v>
      </c>
      <c r="I56" s="35">
        <f ca="1"/>
        <v>0</v>
      </c>
      <c r="J56" s="35">
        <f ca="1"/>
        <v>1</v>
      </c>
      <c r="K56" s="35">
        <f ca="1"/>
        <v>0</v>
      </c>
      <c r="L56" s="35">
        <f ca="1"/>
        <v>1</v>
      </c>
      <c r="M56" s="35">
        <f ca="1"/>
        <v>0</v>
      </c>
      <c r="N56" s="35">
        <f ca="1"/>
        <v>45162.732692492551</v>
      </c>
      <c r="O56" s="35">
        <f ca="1"/>
        <v>0</v>
      </c>
      <c r="P56" s="35">
        <f ca="1"/>
        <v>183956.91663467942</v>
      </c>
      <c r="Q56" s="35">
        <f ca="1"/>
        <v>229119.64932717197</v>
      </c>
    </row>
    <row r="57" spans="2:17">
      <c r="B57" s="45"/>
      <c r="H57" s="35">
        <v>55</v>
      </c>
      <c r="I57" s="35">
        <f ca="1"/>
        <v>0</v>
      </c>
      <c r="J57" s="35">
        <f ca="1"/>
        <v>0</v>
      </c>
      <c r="K57" s="35">
        <f ca="1"/>
        <v>0</v>
      </c>
      <c r="L57" s="35">
        <f ca="1"/>
        <v>1</v>
      </c>
      <c r="M57" s="35">
        <f ca="1"/>
        <v>0</v>
      </c>
      <c r="N57" s="35">
        <f ca="1"/>
        <v>0</v>
      </c>
      <c r="O57" s="35">
        <f ca="1"/>
        <v>0</v>
      </c>
      <c r="P57" s="35">
        <f ca="1"/>
        <v>100653.4419604154</v>
      </c>
      <c r="Q57" s="35">
        <f ca="1"/>
        <v>100653.4419604154</v>
      </c>
    </row>
    <row r="58" spans="2:17">
      <c r="B58" s="45"/>
      <c r="H58" s="35">
        <v>56</v>
      </c>
      <c r="I58" s="35">
        <f ca="1"/>
        <v>0</v>
      </c>
      <c r="J58" s="35">
        <f ca="1"/>
        <v>0</v>
      </c>
      <c r="K58" s="35">
        <f ca="1"/>
        <v>0</v>
      </c>
      <c r="L58" s="35">
        <f ca="1"/>
        <v>1</v>
      </c>
      <c r="M58" s="35">
        <f ca="1"/>
        <v>0</v>
      </c>
      <c r="N58" s="35">
        <f ca="1"/>
        <v>0</v>
      </c>
      <c r="O58" s="35">
        <f ca="1"/>
        <v>0</v>
      </c>
      <c r="P58" s="35">
        <f ca="1"/>
        <v>93718.415247313344</v>
      </c>
      <c r="Q58" s="35">
        <f ca="1"/>
        <v>93718.415247313344</v>
      </c>
    </row>
    <row r="59" spans="2:17">
      <c r="B59" s="45"/>
      <c r="H59" s="35">
        <v>57</v>
      </c>
      <c r="I59" s="35">
        <f ca="1"/>
        <v>0</v>
      </c>
      <c r="J59" s="35">
        <f ca="1"/>
        <v>0</v>
      </c>
      <c r="K59" s="35">
        <f ca="1"/>
        <v>0</v>
      </c>
      <c r="L59" s="35">
        <f ca="1"/>
        <v>0</v>
      </c>
      <c r="M59" s="35">
        <f ca="1"/>
        <v>0</v>
      </c>
      <c r="N59" s="35">
        <f ca="1"/>
        <v>0</v>
      </c>
      <c r="O59" s="35">
        <f ca="1"/>
        <v>0</v>
      </c>
      <c r="P59" s="35">
        <f ca="1"/>
        <v>0</v>
      </c>
      <c r="Q59" s="35">
        <f ca="1"/>
        <v>0</v>
      </c>
    </row>
    <row r="60" spans="2:17">
      <c r="B60" s="45"/>
      <c r="H60" s="35">
        <v>58</v>
      </c>
      <c r="I60" s="35">
        <f ca="1"/>
        <v>0</v>
      </c>
      <c r="J60" s="35">
        <f ca="1"/>
        <v>0</v>
      </c>
      <c r="K60" s="35">
        <f ca="1"/>
        <v>0</v>
      </c>
      <c r="L60" s="35">
        <f ca="1"/>
        <v>0</v>
      </c>
      <c r="M60" s="35">
        <f ca="1"/>
        <v>0</v>
      </c>
      <c r="N60" s="35">
        <f ca="1"/>
        <v>0</v>
      </c>
      <c r="O60" s="35">
        <f ca="1"/>
        <v>0</v>
      </c>
      <c r="P60" s="35">
        <f ca="1"/>
        <v>0</v>
      </c>
      <c r="Q60" s="35">
        <f ca="1"/>
        <v>0</v>
      </c>
    </row>
    <row r="61" spans="2:17">
      <c r="B61" s="45"/>
      <c r="H61" s="35">
        <v>59</v>
      </c>
      <c r="I61" s="35">
        <f ca="1"/>
        <v>0</v>
      </c>
      <c r="J61" s="35">
        <f ca="1"/>
        <v>0</v>
      </c>
      <c r="K61" s="35">
        <f ca="1"/>
        <v>0</v>
      </c>
      <c r="L61" s="35">
        <f ca="1"/>
        <v>1</v>
      </c>
      <c r="M61" s="35">
        <f ca="1"/>
        <v>0</v>
      </c>
      <c r="N61" s="35">
        <f ca="1"/>
        <v>0</v>
      </c>
      <c r="O61" s="35">
        <f ca="1"/>
        <v>0</v>
      </c>
      <c r="P61" s="35">
        <f ca="1"/>
        <v>143888.46450131622</v>
      </c>
      <c r="Q61" s="35">
        <f ca="1"/>
        <v>143888.46450131622</v>
      </c>
    </row>
    <row r="62" spans="2:17">
      <c r="B62" s="45"/>
      <c r="H62" s="35">
        <v>60</v>
      </c>
      <c r="I62" s="35">
        <f ca="1"/>
        <v>0</v>
      </c>
      <c r="J62" s="35">
        <f ca="1"/>
        <v>0</v>
      </c>
      <c r="K62" s="35">
        <f ca="1"/>
        <v>1</v>
      </c>
      <c r="L62" s="35">
        <f ca="1"/>
        <v>1</v>
      </c>
      <c r="M62" s="35">
        <f ca="1"/>
        <v>0</v>
      </c>
      <c r="N62" s="35">
        <f ca="1"/>
        <v>0</v>
      </c>
      <c r="O62" s="35">
        <f ca="1"/>
        <v>596.97611690080532</v>
      </c>
      <c r="P62" s="35">
        <f ca="1"/>
        <v>143922.38825892814</v>
      </c>
      <c r="Q62" s="35">
        <f ca="1"/>
        <v>144519.36437582894</v>
      </c>
    </row>
    <row r="63" spans="2:17">
      <c r="B63" s="45"/>
      <c r="H63" s="35">
        <v>61</v>
      </c>
      <c r="I63" s="35">
        <f ca="1"/>
        <v>0</v>
      </c>
      <c r="J63" s="35">
        <f ca="1"/>
        <v>0</v>
      </c>
      <c r="K63" s="35">
        <f ca="1"/>
        <v>0</v>
      </c>
      <c r="L63" s="35">
        <f ca="1"/>
        <v>1</v>
      </c>
      <c r="M63" s="35">
        <f ca="1"/>
        <v>0</v>
      </c>
      <c r="N63" s="35">
        <f ca="1"/>
        <v>0</v>
      </c>
      <c r="O63" s="35">
        <f ca="1"/>
        <v>0</v>
      </c>
      <c r="P63" s="35">
        <f ca="1"/>
        <v>174569.70575542029</v>
      </c>
      <c r="Q63" s="35">
        <f ca="1"/>
        <v>174569.70575542029</v>
      </c>
    </row>
    <row r="64" spans="2:17">
      <c r="B64" s="45"/>
      <c r="H64" s="35">
        <v>62</v>
      </c>
      <c r="I64" s="35">
        <f ca="1"/>
        <v>0</v>
      </c>
      <c r="J64" s="35">
        <f ca="1"/>
        <v>1</v>
      </c>
      <c r="K64" s="35">
        <f ca="1"/>
        <v>0</v>
      </c>
      <c r="L64" s="35">
        <f ca="1"/>
        <v>1</v>
      </c>
      <c r="M64" s="35">
        <f ca="1"/>
        <v>0</v>
      </c>
      <c r="N64" s="35">
        <f ca="1"/>
        <v>13409.776401553063</v>
      </c>
      <c r="O64" s="35">
        <f ca="1"/>
        <v>0</v>
      </c>
      <c r="P64" s="35">
        <f ca="1"/>
        <v>119260.79449734956</v>
      </c>
      <c r="Q64" s="35">
        <f ca="1"/>
        <v>132670.57089890263</v>
      </c>
    </row>
    <row r="65" spans="2:17">
      <c r="B65" s="45"/>
      <c r="H65" s="35">
        <v>63</v>
      </c>
      <c r="I65" s="35">
        <f ca="1"/>
        <v>0</v>
      </c>
      <c r="J65" s="35">
        <f ca="1"/>
        <v>1</v>
      </c>
      <c r="K65" s="35">
        <f ca="1"/>
        <v>0</v>
      </c>
      <c r="L65" s="35">
        <f ca="1"/>
        <v>1</v>
      </c>
      <c r="M65" s="35">
        <f ca="1"/>
        <v>0</v>
      </c>
      <c r="N65" s="35">
        <f ca="1"/>
        <v>7384.8148879823702</v>
      </c>
      <c r="O65" s="35">
        <f ca="1"/>
        <v>0</v>
      </c>
      <c r="P65" s="35">
        <f ca="1"/>
        <v>111766.54350948152</v>
      </c>
      <c r="Q65" s="35">
        <f ca="1"/>
        <v>119151.35839746389</v>
      </c>
    </row>
    <row r="66" spans="2:17">
      <c r="B66" s="45"/>
      <c r="H66" s="35">
        <v>64</v>
      </c>
      <c r="I66" s="35">
        <f ca="1"/>
        <v>0</v>
      </c>
      <c r="J66" s="35">
        <f ca="1"/>
        <v>1</v>
      </c>
      <c r="K66" s="35">
        <f ca="1"/>
        <v>0</v>
      </c>
      <c r="L66" s="35">
        <f ca="1"/>
        <v>1</v>
      </c>
      <c r="M66" s="35">
        <f ca="1"/>
        <v>0</v>
      </c>
      <c r="N66" s="35">
        <f ca="1"/>
        <v>46020.907981962744</v>
      </c>
      <c r="O66" s="35">
        <f ca="1"/>
        <v>0</v>
      </c>
      <c r="P66" s="35">
        <f ca="1"/>
        <v>133572.44266528275</v>
      </c>
      <c r="Q66" s="35">
        <f ca="1"/>
        <v>179593.3506472455</v>
      </c>
    </row>
    <row r="67" spans="2:17">
      <c r="B67" s="45"/>
      <c r="H67" s="35">
        <v>65</v>
      </c>
      <c r="I67" s="35">
        <f ca="1"/>
        <v>0</v>
      </c>
      <c r="J67" s="35">
        <f ca="1"/>
        <v>0</v>
      </c>
      <c r="K67" s="35">
        <f ca="1"/>
        <v>1</v>
      </c>
      <c r="L67" s="35">
        <f ca="1"/>
        <v>1</v>
      </c>
      <c r="M67" s="35">
        <f ca="1"/>
        <v>0</v>
      </c>
      <c r="N67" s="35">
        <f ca="1"/>
        <v>0</v>
      </c>
      <c r="O67" s="35">
        <f ca="1"/>
        <v>247.88155152445745</v>
      </c>
      <c r="P67" s="35">
        <f ca="1"/>
        <v>188182.5169885428</v>
      </c>
      <c r="Q67" s="35">
        <f ca="1"/>
        <v>188430.39854006725</v>
      </c>
    </row>
    <row r="68" spans="2:17">
      <c r="B68" s="45"/>
      <c r="H68" s="35">
        <v>66</v>
      </c>
      <c r="I68" s="35">
        <f ca="1"/>
        <v>0</v>
      </c>
      <c r="J68" s="35">
        <f ca="1"/>
        <v>1</v>
      </c>
      <c r="K68" s="35">
        <f ca="1"/>
        <v>1</v>
      </c>
      <c r="L68" s="35">
        <f ca="1"/>
        <v>1</v>
      </c>
      <c r="M68" s="35">
        <f ca="1"/>
        <v>0</v>
      </c>
      <c r="N68" s="35">
        <f ca="1"/>
        <v>32260.850051774894</v>
      </c>
      <c r="O68" s="35">
        <f ca="1"/>
        <v>460.41971092384659</v>
      </c>
      <c r="P68" s="35">
        <f ca="1"/>
        <v>192591.51109276895</v>
      </c>
      <c r="Q68" s="35">
        <f ca="1"/>
        <v>225312.78085546769</v>
      </c>
    </row>
    <row r="69" spans="2:17">
      <c r="B69" s="45"/>
      <c r="H69" s="35">
        <v>67</v>
      </c>
      <c r="I69" s="35">
        <f ca="1"/>
        <v>0</v>
      </c>
      <c r="J69" s="35">
        <f ca="1"/>
        <v>1</v>
      </c>
      <c r="K69" s="35">
        <f ca="1"/>
        <v>1</v>
      </c>
      <c r="L69" s="35">
        <f ca="1"/>
        <v>1</v>
      </c>
      <c r="M69" s="35">
        <f ca="1"/>
        <v>0</v>
      </c>
      <c r="N69" s="35">
        <f ca="1"/>
        <v>12684.240768073565</v>
      </c>
      <c r="O69" s="35">
        <f ca="1"/>
        <v>84.425205480896906</v>
      </c>
      <c r="P69" s="35">
        <f ca="1"/>
        <v>121176.11218248439</v>
      </c>
      <c r="Q69" s="35">
        <f ca="1"/>
        <v>133944.77815603884</v>
      </c>
    </row>
    <row r="70" spans="2:17">
      <c r="B70" s="45"/>
      <c r="H70" s="35">
        <v>68</v>
      </c>
      <c r="I70" s="35">
        <f ca="1"/>
        <v>0</v>
      </c>
      <c r="J70" s="35">
        <f ca="1"/>
        <v>1</v>
      </c>
      <c r="K70" s="35">
        <f ca="1"/>
        <v>0</v>
      </c>
      <c r="L70" s="35">
        <f ca="1"/>
        <v>1</v>
      </c>
      <c r="M70" s="35">
        <f ca="1"/>
        <v>0</v>
      </c>
      <c r="N70" s="35">
        <f ca="1"/>
        <v>14254.835083174103</v>
      </c>
      <c r="O70" s="35">
        <f ca="1"/>
        <v>0</v>
      </c>
      <c r="P70" s="35">
        <f ca="1"/>
        <v>121341.12823220094</v>
      </c>
      <c r="Q70" s="35">
        <f ca="1"/>
        <v>135595.96331537503</v>
      </c>
    </row>
    <row r="71" spans="2:17">
      <c r="B71" s="45"/>
      <c r="H71" s="35">
        <v>69</v>
      </c>
      <c r="I71" s="35">
        <f ca="1"/>
        <v>0</v>
      </c>
      <c r="J71" s="35">
        <f ca="1"/>
        <v>0</v>
      </c>
      <c r="K71" s="35">
        <f ca="1"/>
        <v>0</v>
      </c>
      <c r="L71" s="35">
        <f ca="1"/>
        <v>1</v>
      </c>
      <c r="M71" s="35">
        <f ca="1"/>
        <v>0</v>
      </c>
      <c r="N71" s="35">
        <f ca="1"/>
        <v>0</v>
      </c>
      <c r="O71" s="35">
        <f ca="1"/>
        <v>0</v>
      </c>
      <c r="P71" s="35">
        <f ca="1"/>
        <v>158307.81622295253</v>
      </c>
      <c r="Q71" s="35">
        <f ca="1"/>
        <v>158307.81622295253</v>
      </c>
    </row>
    <row r="72" spans="2:17">
      <c r="B72" s="45"/>
      <c r="H72" s="35">
        <v>70</v>
      </c>
      <c r="I72" s="35">
        <f ca="1"/>
        <v>0</v>
      </c>
      <c r="J72" s="35">
        <f ca="1"/>
        <v>0</v>
      </c>
      <c r="K72" s="35">
        <f ca="1"/>
        <v>0</v>
      </c>
      <c r="L72" s="35">
        <f ca="1"/>
        <v>1</v>
      </c>
      <c r="M72" s="35">
        <f ca="1"/>
        <v>0</v>
      </c>
      <c r="N72" s="35">
        <f ca="1"/>
        <v>0</v>
      </c>
      <c r="O72" s="35">
        <f ca="1"/>
        <v>0</v>
      </c>
      <c r="P72" s="35">
        <f ca="1"/>
        <v>170702.57712782655</v>
      </c>
      <c r="Q72" s="35">
        <f ca="1"/>
        <v>170702.57712782655</v>
      </c>
    </row>
    <row r="73" spans="2:17">
      <c r="B73" s="45"/>
      <c r="H73" s="35">
        <v>71</v>
      </c>
      <c r="I73" s="35">
        <f ca="1"/>
        <v>0</v>
      </c>
      <c r="J73" s="35">
        <f ca="1"/>
        <v>0</v>
      </c>
      <c r="K73" s="35">
        <f ca="1"/>
        <v>1</v>
      </c>
      <c r="L73" s="35">
        <f ca="1"/>
        <v>1</v>
      </c>
      <c r="M73" s="35">
        <f ca="1"/>
        <v>0</v>
      </c>
      <c r="N73" s="35">
        <f ca="1"/>
        <v>0</v>
      </c>
      <c r="O73" s="35">
        <f ca="1"/>
        <v>407.94786703129068</v>
      </c>
      <c r="P73" s="35">
        <f ca="1"/>
        <v>79447.660753825126</v>
      </c>
      <c r="Q73" s="35">
        <f ca="1"/>
        <v>79855.608620856423</v>
      </c>
    </row>
    <row r="74" spans="2:17">
      <c r="B74" s="45"/>
      <c r="H74" s="35">
        <v>72</v>
      </c>
      <c r="I74" s="35">
        <f ca="1"/>
        <v>0</v>
      </c>
      <c r="J74" s="35">
        <f ca="1"/>
        <v>1</v>
      </c>
      <c r="K74" s="35">
        <f ca="1"/>
        <v>0</v>
      </c>
      <c r="L74" s="35">
        <f ca="1"/>
        <v>1</v>
      </c>
      <c r="M74" s="35">
        <f ca="1"/>
        <v>0</v>
      </c>
      <c r="N74" s="35">
        <f ca="1"/>
        <v>81128.007939760864</v>
      </c>
      <c r="O74" s="35">
        <f ca="1"/>
        <v>0</v>
      </c>
      <c r="P74" s="35">
        <f ca="1"/>
        <v>153112.84252956297</v>
      </c>
      <c r="Q74" s="35">
        <f ca="1"/>
        <v>234240.85046932384</v>
      </c>
    </row>
    <row r="75" spans="2:17">
      <c r="B75" s="45"/>
      <c r="H75" s="35">
        <v>73</v>
      </c>
      <c r="I75" s="35">
        <f ca="1"/>
        <v>0</v>
      </c>
      <c r="J75" s="35">
        <f ca="1"/>
        <v>1</v>
      </c>
      <c r="K75" s="35">
        <f ca="1"/>
        <v>0</v>
      </c>
      <c r="L75" s="35">
        <f ca="1"/>
        <v>1</v>
      </c>
      <c r="M75" s="35">
        <f ca="1"/>
        <v>0</v>
      </c>
      <c r="N75" s="35">
        <f ca="1"/>
        <v>75812.694197859586</v>
      </c>
      <c r="O75" s="35">
        <f ca="1"/>
        <v>0</v>
      </c>
      <c r="P75" s="35">
        <f ca="1"/>
        <v>177188.57598129098</v>
      </c>
      <c r="Q75" s="35">
        <f ca="1"/>
        <v>253001.27017915057</v>
      </c>
    </row>
    <row r="76" spans="2:17">
      <c r="B76" s="45"/>
      <c r="H76" s="35">
        <v>74</v>
      </c>
      <c r="I76" s="35">
        <f ca="1"/>
        <v>1</v>
      </c>
      <c r="J76" s="35">
        <f ca="1"/>
        <v>0</v>
      </c>
      <c r="K76" s="35">
        <f ca="1"/>
        <v>0</v>
      </c>
      <c r="L76" s="35">
        <f ca="1"/>
        <v>1</v>
      </c>
      <c r="M76" s="35">
        <f ca="1"/>
        <v>11293.583584636919</v>
      </c>
      <c r="N76" s="35">
        <f ca="1"/>
        <v>0</v>
      </c>
      <c r="O76" s="35">
        <f ca="1"/>
        <v>0</v>
      </c>
      <c r="P76" s="35">
        <f ca="1"/>
        <v>134773.91239254046</v>
      </c>
      <c r="Q76" s="35">
        <f ca="1"/>
        <v>146067.49597717737</v>
      </c>
    </row>
    <row r="77" spans="2:17">
      <c r="B77" s="45"/>
      <c r="H77" s="35">
        <v>75</v>
      </c>
      <c r="I77" s="35">
        <f ca="1"/>
        <v>0</v>
      </c>
      <c r="J77" s="35">
        <f ca="1"/>
        <v>1</v>
      </c>
      <c r="K77" s="35">
        <f ca="1"/>
        <v>0</v>
      </c>
      <c r="L77" s="35">
        <f ca="1"/>
        <v>1</v>
      </c>
      <c r="M77" s="35">
        <f ca="1"/>
        <v>0</v>
      </c>
      <c r="N77" s="35">
        <f ca="1"/>
        <v>54933.616910556273</v>
      </c>
      <c r="O77" s="35">
        <f ca="1"/>
        <v>0</v>
      </c>
      <c r="P77" s="35">
        <f ca="1"/>
        <v>159398.66512513734</v>
      </c>
      <c r="Q77" s="35">
        <f ca="1"/>
        <v>214332.28203569361</v>
      </c>
    </row>
    <row r="78" spans="2:17">
      <c r="B78" s="45"/>
      <c r="H78" s="35">
        <v>76</v>
      </c>
      <c r="I78" s="35">
        <f ca="1"/>
        <v>0</v>
      </c>
      <c r="J78" s="35">
        <f ca="1"/>
        <v>0</v>
      </c>
      <c r="K78" s="35">
        <f ca="1"/>
        <v>0</v>
      </c>
      <c r="L78" s="35">
        <f ca="1"/>
        <v>1</v>
      </c>
      <c r="M78" s="35">
        <f ca="1"/>
        <v>0</v>
      </c>
      <c r="N78" s="35">
        <f ca="1"/>
        <v>0</v>
      </c>
      <c r="O78" s="35">
        <f ca="1"/>
        <v>0</v>
      </c>
      <c r="P78" s="35">
        <f ca="1"/>
        <v>143672.85588526435</v>
      </c>
      <c r="Q78" s="35">
        <f ca="1"/>
        <v>143672.85588526435</v>
      </c>
    </row>
    <row r="79" spans="2:17">
      <c r="B79" s="45"/>
      <c r="H79" s="35">
        <v>77</v>
      </c>
      <c r="I79" s="35">
        <f ca="1"/>
        <v>0</v>
      </c>
      <c r="J79" s="35">
        <f ca="1"/>
        <v>1</v>
      </c>
      <c r="K79" s="35">
        <f ca="1"/>
        <v>0</v>
      </c>
      <c r="L79" s="35">
        <f ca="1"/>
        <v>1</v>
      </c>
      <c r="M79" s="35">
        <f ca="1"/>
        <v>0</v>
      </c>
      <c r="N79" s="35">
        <f ca="1"/>
        <v>13779.046848431073</v>
      </c>
      <c r="O79" s="35">
        <f ca="1"/>
        <v>0</v>
      </c>
      <c r="P79" s="35">
        <f ca="1"/>
        <v>88878.521757234703</v>
      </c>
      <c r="Q79" s="35">
        <f ca="1"/>
        <v>102657.56860566577</v>
      </c>
    </row>
    <row r="80" spans="2:17">
      <c r="B80" s="45"/>
      <c r="H80" s="35">
        <v>78</v>
      </c>
      <c r="I80" s="35">
        <f ca="1"/>
        <v>0</v>
      </c>
      <c r="J80" s="35">
        <f ca="1"/>
        <v>1</v>
      </c>
      <c r="K80" s="35">
        <f ca="1"/>
        <v>1</v>
      </c>
      <c r="L80" s="35">
        <f ca="1"/>
        <v>1</v>
      </c>
      <c r="M80" s="35">
        <f ca="1"/>
        <v>0</v>
      </c>
      <c r="N80" s="35">
        <f ca="1"/>
        <v>68531.481778631365</v>
      </c>
      <c r="O80" s="35">
        <f ca="1"/>
        <v>238.1392436340158</v>
      </c>
      <c r="P80" s="35">
        <f ca="1"/>
        <v>99159.270124873598</v>
      </c>
      <c r="Q80" s="35">
        <f ca="1"/>
        <v>167928.89114713896</v>
      </c>
    </row>
    <row r="81" spans="2:17">
      <c r="B81" s="45"/>
      <c r="H81" s="35">
        <v>79</v>
      </c>
      <c r="I81" s="35">
        <f ca="1"/>
        <v>0</v>
      </c>
      <c r="J81" s="35">
        <f ca="1"/>
        <v>0</v>
      </c>
      <c r="K81" s="35">
        <f ca="1"/>
        <v>0</v>
      </c>
      <c r="L81" s="35">
        <f ca="1"/>
        <v>1</v>
      </c>
      <c r="M81" s="35">
        <f ca="1"/>
        <v>0</v>
      </c>
      <c r="N81" s="35">
        <f ca="1"/>
        <v>0</v>
      </c>
      <c r="O81" s="35">
        <f ca="1"/>
        <v>0</v>
      </c>
      <c r="P81" s="35">
        <f ca="1"/>
        <v>192559.30776869756</v>
      </c>
      <c r="Q81" s="35">
        <f ca="1"/>
        <v>192559.30776869756</v>
      </c>
    </row>
    <row r="82" spans="2:17">
      <c r="B82" s="45"/>
      <c r="H82" s="35">
        <v>80</v>
      </c>
      <c r="I82" s="35">
        <f ca="1"/>
        <v>0</v>
      </c>
      <c r="J82" s="35">
        <f ca="1"/>
        <v>0</v>
      </c>
      <c r="K82" s="35">
        <f ca="1"/>
        <v>1</v>
      </c>
      <c r="L82" s="35">
        <f ca="1"/>
        <v>1</v>
      </c>
      <c r="M82" s="35">
        <f ca="1"/>
        <v>0</v>
      </c>
      <c r="N82" s="35">
        <f ca="1"/>
        <v>0</v>
      </c>
      <c r="O82" s="35">
        <f ca="1"/>
        <v>232.41743585722173</v>
      </c>
      <c r="P82" s="35">
        <f ca="1"/>
        <v>93205.829542248568</v>
      </c>
      <c r="Q82" s="35">
        <f ca="1"/>
        <v>93438.246978105788</v>
      </c>
    </row>
    <row r="83" spans="2:17">
      <c r="B83" s="45"/>
      <c r="H83" s="35">
        <v>81</v>
      </c>
      <c r="I83" s="35">
        <f ca="1"/>
        <v>0</v>
      </c>
      <c r="J83" s="35">
        <f ca="1"/>
        <v>0</v>
      </c>
      <c r="K83" s="35">
        <f ca="1"/>
        <v>1</v>
      </c>
      <c r="L83" s="35">
        <f ca="1"/>
        <v>0</v>
      </c>
      <c r="M83" s="35">
        <f ca="1"/>
        <v>0</v>
      </c>
      <c r="N83" s="35">
        <f ca="1"/>
        <v>0</v>
      </c>
      <c r="O83" s="35">
        <f ca="1"/>
        <v>66.113871379404358</v>
      </c>
      <c r="P83" s="35">
        <f ca="1"/>
        <v>0</v>
      </c>
      <c r="Q83" s="35">
        <f ca="1"/>
        <v>66.113871379404358</v>
      </c>
    </row>
    <row r="84" spans="2:17">
      <c r="B84" s="45"/>
      <c r="H84" s="35">
        <v>82</v>
      </c>
      <c r="I84" s="35">
        <f ca="1"/>
        <v>0</v>
      </c>
      <c r="J84" s="35">
        <f ca="1"/>
        <v>1</v>
      </c>
      <c r="K84" s="35">
        <f ca="1"/>
        <v>0</v>
      </c>
      <c r="L84" s="35">
        <f ca="1"/>
        <v>1</v>
      </c>
      <c r="M84" s="35">
        <f ca="1"/>
        <v>0</v>
      </c>
      <c r="N84" s="35">
        <f ca="1"/>
        <v>49734.550234316092</v>
      </c>
      <c r="O84" s="35">
        <f ca="1"/>
        <v>0</v>
      </c>
      <c r="P84" s="35">
        <f ca="1"/>
        <v>131378.92554805172</v>
      </c>
      <c r="Q84" s="35">
        <f ca="1"/>
        <v>181113.47578236781</v>
      </c>
    </row>
    <row r="85" spans="2:17">
      <c r="B85" s="45"/>
      <c r="H85" s="35">
        <v>83</v>
      </c>
      <c r="I85" s="35">
        <f ca="1"/>
        <v>1</v>
      </c>
      <c r="J85" s="35">
        <f ca="1"/>
        <v>1</v>
      </c>
      <c r="K85" s="35">
        <f ca="1"/>
        <v>0</v>
      </c>
      <c r="L85" s="35">
        <f ca="1"/>
        <v>1</v>
      </c>
      <c r="M85" s="35">
        <f ca="1"/>
        <v>17737.279565037854</v>
      </c>
      <c r="N85" s="35">
        <f ca="1"/>
        <v>45175.631357077116</v>
      </c>
      <c r="O85" s="35">
        <f ca="1"/>
        <v>0</v>
      </c>
      <c r="P85" s="35">
        <f ca="1"/>
        <v>107878.18190325495</v>
      </c>
      <c r="Q85" s="35">
        <f ca="1"/>
        <v>170791.09282536991</v>
      </c>
    </row>
    <row r="86" spans="2:17">
      <c r="B86" s="45"/>
      <c r="H86" s="35">
        <v>84</v>
      </c>
      <c r="I86" s="35">
        <f ca="1"/>
        <v>0</v>
      </c>
      <c r="J86" s="35">
        <f ca="1"/>
        <v>0</v>
      </c>
      <c r="K86" s="35">
        <f ca="1"/>
        <v>0</v>
      </c>
      <c r="L86" s="35">
        <f ca="1"/>
        <v>0</v>
      </c>
      <c r="M86" s="35">
        <f ca="1"/>
        <v>0</v>
      </c>
      <c r="N86" s="35">
        <f ca="1"/>
        <v>0</v>
      </c>
      <c r="O86" s="35">
        <f ca="1"/>
        <v>0</v>
      </c>
      <c r="P86" s="35">
        <f ca="1"/>
        <v>0</v>
      </c>
      <c r="Q86" s="35">
        <f ca="1"/>
        <v>0</v>
      </c>
    </row>
    <row r="87" spans="2:17">
      <c r="B87" s="45"/>
      <c r="H87" s="35">
        <v>85</v>
      </c>
      <c r="I87" s="35">
        <f ca="1"/>
        <v>0</v>
      </c>
      <c r="J87" s="35">
        <f ca="1"/>
        <v>1</v>
      </c>
      <c r="K87" s="35">
        <f ca="1"/>
        <v>0</v>
      </c>
      <c r="L87" s="35">
        <f ca="1"/>
        <v>1</v>
      </c>
      <c r="M87" s="35">
        <f ca="1"/>
        <v>0</v>
      </c>
      <c r="N87" s="35">
        <f ca="1"/>
        <v>51287.519972974675</v>
      </c>
      <c r="O87" s="35">
        <f ca="1"/>
        <v>0</v>
      </c>
      <c r="P87" s="35">
        <f ca="1"/>
        <v>42128.093809271893</v>
      </c>
      <c r="Q87" s="35">
        <f ca="1"/>
        <v>93415.613782246568</v>
      </c>
    </row>
    <row r="88" spans="2:17">
      <c r="B88" s="45"/>
      <c r="H88" s="35">
        <v>86</v>
      </c>
      <c r="I88" s="35">
        <f ca="1"/>
        <v>0</v>
      </c>
      <c r="J88" s="35">
        <f ca="1"/>
        <v>1</v>
      </c>
      <c r="K88" s="35">
        <f ca="1"/>
        <v>1</v>
      </c>
      <c r="L88" s="35">
        <f ca="1"/>
        <v>0</v>
      </c>
      <c r="M88" s="35">
        <f ca="1"/>
        <v>0</v>
      </c>
      <c r="N88" s="35">
        <f ca="1"/>
        <v>44175.396350229385</v>
      </c>
      <c r="O88" s="35">
        <f ca="1"/>
        <v>192.84856519638035</v>
      </c>
      <c r="P88" s="35">
        <f ca="1"/>
        <v>0</v>
      </c>
      <c r="Q88" s="35">
        <f ca="1"/>
        <v>44368.244915425763</v>
      </c>
    </row>
    <row r="89" spans="2:17">
      <c r="B89" s="45"/>
      <c r="H89" s="35">
        <v>87</v>
      </c>
      <c r="I89" s="35">
        <f ca="1"/>
        <v>0</v>
      </c>
      <c r="J89" s="35">
        <f ca="1"/>
        <v>0</v>
      </c>
      <c r="K89" s="35">
        <f ca="1"/>
        <v>0</v>
      </c>
      <c r="L89" s="35">
        <f ca="1"/>
        <v>1</v>
      </c>
      <c r="M89" s="35">
        <f ca="1"/>
        <v>0</v>
      </c>
      <c r="N89" s="35">
        <f ca="1"/>
        <v>0</v>
      </c>
      <c r="O89" s="35">
        <f ca="1"/>
        <v>0</v>
      </c>
      <c r="P89" s="35">
        <f ca="1"/>
        <v>193988.63472837553</v>
      </c>
      <c r="Q89" s="35">
        <f ca="1"/>
        <v>193988.63472837553</v>
      </c>
    </row>
    <row r="90" spans="2:17">
      <c r="B90" s="45"/>
      <c r="H90" s="35">
        <v>88</v>
      </c>
      <c r="I90" s="35">
        <f ca="1"/>
        <v>0</v>
      </c>
      <c r="J90" s="35">
        <f ca="1"/>
        <v>0</v>
      </c>
      <c r="K90" s="35">
        <f ca="1"/>
        <v>0</v>
      </c>
      <c r="L90" s="35">
        <f ca="1"/>
        <v>1</v>
      </c>
      <c r="M90" s="35">
        <f ca="1"/>
        <v>0</v>
      </c>
      <c r="N90" s="35">
        <f ca="1"/>
        <v>0</v>
      </c>
      <c r="O90" s="35">
        <f ca="1"/>
        <v>0</v>
      </c>
      <c r="P90" s="35">
        <f ca="1"/>
        <v>171350.53481339003</v>
      </c>
      <c r="Q90" s="35">
        <f ca="1"/>
        <v>171350.53481339003</v>
      </c>
    </row>
    <row r="91" spans="2:17">
      <c r="B91" s="45"/>
      <c r="H91" s="35">
        <v>89</v>
      </c>
      <c r="I91" s="35">
        <f ca="1"/>
        <v>0</v>
      </c>
      <c r="J91" s="35">
        <f ca="1"/>
        <v>0</v>
      </c>
      <c r="K91" s="35">
        <f ca="1"/>
        <v>1</v>
      </c>
      <c r="L91" s="35">
        <f ca="1"/>
        <v>1</v>
      </c>
      <c r="M91" s="35">
        <f ca="1"/>
        <v>0</v>
      </c>
      <c r="N91" s="35">
        <f ca="1"/>
        <v>0</v>
      </c>
      <c r="O91" s="35">
        <f ca="1"/>
        <v>294.1819798862856</v>
      </c>
      <c r="P91" s="35">
        <f ca="1"/>
        <v>137987.5178603025</v>
      </c>
      <c r="Q91" s="35">
        <f ca="1"/>
        <v>138281.69984018878</v>
      </c>
    </row>
    <row r="92" spans="2:17">
      <c r="B92" s="45"/>
      <c r="H92" s="35">
        <v>90</v>
      </c>
      <c r="I92" s="35">
        <f ca="1"/>
        <v>1</v>
      </c>
      <c r="J92" s="35">
        <f ca="1"/>
        <v>1</v>
      </c>
      <c r="K92" s="35">
        <f ca="1"/>
        <v>0</v>
      </c>
      <c r="L92" s="35">
        <f ca="1"/>
        <v>1</v>
      </c>
      <c r="M92" s="35">
        <f ca="1"/>
        <v>2936.3366425944732</v>
      </c>
      <c r="N92" s="35">
        <f ca="1"/>
        <v>21379.860381148832</v>
      </c>
      <c r="O92" s="35">
        <f ca="1"/>
        <v>0</v>
      </c>
      <c r="P92" s="35">
        <f ca="1"/>
        <v>103868.67609803354</v>
      </c>
      <c r="Q92" s="35">
        <f ca="1"/>
        <v>128184.87312177685</v>
      </c>
    </row>
    <row r="93" spans="2:17">
      <c r="B93" s="45"/>
      <c r="H93" s="35">
        <v>91</v>
      </c>
      <c r="I93" s="35">
        <f ca="1"/>
        <v>0</v>
      </c>
      <c r="J93" s="35">
        <f ca="1"/>
        <v>0</v>
      </c>
      <c r="K93" s="35">
        <f ca="1"/>
        <v>0</v>
      </c>
      <c r="L93" s="35">
        <f ca="1"/>
        <v>1</v>
      </c>
      <c r="M93" s="35">
        <f ca="1"/>
        <v>0</v>
      </c>
      <c r="N93" s="35">
        <f ca="1"/>
        <v>0</v>
      </c>
      <c r="O93" s="35">
        <f ca="1"/>
        <v>0</v>
      </c>
      <c r="P93" s="35">
        <f ca="1"/>
        <v>192686.40484844509</v>
      </c>
      <c r="Q93" s="35">
        <f ca="1"/>
        <v>192686.40484844509</v>
      </c>
    </row>
    <row r="94" spans="2:17">
      <c r="B94" s="45"/>
      <c r="H94" s="35">
        <v>92</v>
      </c>
      <c r="I94" s="35">
        <f ca="1"/>
        <v>0</v>
      </c>
      <c r="J94" s="35">
        <f ca="1"/>
        <v>0</v>
      </c>
      <c r="K94" s="35">
        <f ca="1"/>
        <v>0</v>
      </c>
      <c r="L94" s="35">
        <f ca="1"/>
        <v>1</v>
      </c>
      <c r="M94" s="35">
        <f ca="1"/>
        <v>0</v>
      </c>
      <c r="N94" s="35">
        <f ca="1"/>
        <v>0</v>
      </c>
      <c r="O94" s="35">
        <f ca="1"/>
        <v>0</v>
      </c>
      <c r="P94" s="35">
        <f ca="1"/>
        <v>151513.4225782858</v>
      </c>
      <c r="Q94" s="35">
        <f ca="1"/>
        <v>151513.4225782858</v>
      </c>
    </row>
    <row r="95" spans="2:17">
      <c r="B95" s="45"/>
      <c r="H95" s="35">
        <v>93</v>
      </c>
      <c r="I95" s="35">
        <f ca="1"/>
        <v>0</v>
      </c>
      <c r="J95" s="35">
        <f ca="1"/>
        <v>0</v>
      </c>
      <c r="K95" s="35">
        <f ca="1"/>
        <v>0</v>
      </c>
      <c r="L95" s="35">
        <f ca="1"/>
        <v>1</v>
      </c>
      <c r="M95" s="35">
        <f ca="1"/>
        <v>0</v>
      </c>
      <c r="N95" s="35">
        <f ca="1"/>
        <v>0</v>
      </c>
      <c r="O95" s="35">
        <f ca="1"/>
        <v>0</v>
      </c>
      <c r="P95" s="35">
        <f ca="1"/>
        <v>133373.29059088771</v>
      </c>
      <c r="Q95" s="35">
        <f ca="1"/>
        <v>133373.29059088771</v>
      </c>
    </row>
    <row r="96" spans="2:17">
      <c r="B96" s="45"/>
      <c r="H96" s="35">
        <v>94</v>
      </c>
      <c r="I96" s="35">
        <f ca="1"/>
        <v>0</v>
      </c>
      <c r="J96" s="35">
        <f ca="1"/>
        <v>0</v>
      </c>
      <c r="K96" s="35">
        <f ca="1"/>
        <v>0</v>
      </c>
      <c r="L96" s="35">
        <f ca="1"/>
        <v>1</v>
      </c>
      <c r="M96" s="35">
        <f ca="1"/>
        <v>0</v>
      </c>
      <c r="N96" s="35">
        <f ca="1"/>
        <v>0</v>
      </c>
      <c r="O96" s="35">
        <f ca="1"/>
        <v>0</v>
      </c>
      <c r="P96" s="35">
        <f ca="1"/>
        <v>45034.918403174983</v>
      </c>
      <c r="Q96" s="35">
        <f ca="1"/>
        <v>45034.918403174983</v>
      </c>
    </row>
    <row r="97" spans="2:17">
      <c r="B97" s="45"/>
      <c r="H97" s="35">
        <v>95</v>
      </c>
      <c r="I97" s="35">
        <f ca="1"/>
        <v>0</v>
      </c>
      <c r="J97" s="35">
        <f ca="1"/>
        <v>0</v>
      </c>
      <c r="K97" s="35">
        <f ca="1"/>
        <v>0</v>
      </c>
      <c r="L97" s="35">
        <f ca="1"/>
        <v>1</v>
      </c>
      <c r="M97" s="35">
        <f ca="1"/>
        <v>0</v>
      </c>
      <c r="N97" s="35">
        <f ca="1"/>
        <v>0</v>
      </c>
      <c r="O97" s="35">
        <f ca="1"/>
        <v>0</v>
      </c>
      <c r="P97" s="35">
        <f ca="1"/>
        <v>198830.16878883354</v>
      </c>
      <c r="Q97" s="35">
        <f ca="1"/>
        <v>198830.16878883354</v>
      </c>
    </row>
    <row r="98" spans="2:17">
      <c r="B98" s="45"/>
      <c r="H98" s="35">
        <v>96</v>
      </c>
      <c r="I98" s="35">
        <f ca="1"/>
        <v>0</v>
      </c>
      <c r="J98" s="35">
        <f ca="1"/>
        <v>1</v>
      </c>
      <c r="K98" s="35">
        <f ca="1"/>
        <v>0</v>
      </c>
      <c r="L98" s="35">
        <f ca="1"/>
        <v>1</v>
      </c>
      <c r="M98" s="35">
        <f ca="1"/>
        <v>0</v>
      </c>
      <c r="N98" s="35">
        <f ca="1"/>
        <v>27454.031721573891</v>
      </c>
      <c r="O98" s="35">
        <f ca="1"/>
        <v>0</v>
      </c>
      <c r="P98" s="35">
        <f ca="1"/>
        <v>165516.97084963709</v>
      </c>
      <c r="Q98" s="35">
        <f ca="1"/>
        <v>192971.00257121096</v>
      </c>
    </row>
    <row r="99" spans="2:17">
      <c r="B99" s="45"/>
      <c r="H99" s="35">
        <v>97</v>
      </c>
      <c r="I99" s="35">
        <f ca="1"/>
        <v>0</v>
      </c>
      <c r="J99" s="35">
        <f ca="1"/>
        <v>0</v>
      </c>
      <c r="K99" s="35">
        <f ca="1"/>
        <v>0</v>
      </c>
      <c r="L99" s="35">
        <f ca="1"/>
        <v>1</v>
      </c>
      <c r="M99" s="35">
        <f ca="1"/>
        <v>0</v>
      </c>
      <c r="N99" s="35">
        <f ca="1"/>
        <v>0</v>
      </c>
      <c r="O99" s="35">
        <f ca="1"/>
        <v>0</v>
      </c>
      <c r="P99" s="35">
        <f ca="1"/>
        <v>103399.64092954289</v>
      </c>
      <c r="Q99" s="35">
        <f ca="1"/>
        <v>103399.64092954289</v>
      </c>
    </row>
    <row r="100" spans="2:17">
      <c r="B100" s="45"/>
      <c r="H100" s="35">
        <v>98</v>
      </c>
      <c r="I100" s="35">
        <f ca="1"/>
        <v>0</v>
      </c>
      <c r="J100" s="35">
        <f ca="1"/>
        <v>0</v>
      </c>
      <c r="K100" s="35">
        <f ca="1"/>
        <v>0</v>
      </c>
      <c r="L100" s="35">
        <f ca="1"/>
        <v>1</v>
      </c>
      <c r="M100" s="35">
        <f ca="1"/>
        <v>0</v>
      </c>
      <c r="N100" s="35">
        <f ca="1"/>
        <v>0</v>
      </c>
      <c r="O100" s="35">
        <f ca="1"/>
        <v>0</v>
      </c>
      <c r="P100" s="35">
        <f ca="1"/>
        <v>108464.51592854306</v>
      </c>
      <c r="Q100" s="35">
        <f ca="1"/>
        <v>108464.51592854306</v>
      </c>
    </row>
    <row r="101" spans="2:17">
      <c r="B101" s="45"/>
      <c r="H101" s="35">
        <v>99</v>
      </c>
      <c r="I101" s="35">
        <f ca="1"/>
        <v>0</v>
      </c>
      <c r="J101" s="35">
        <f ca="1"/>
        <v>0</v>
      </c>
      <c r="K101" s="35">
        <f ca="1"/>
        <v>0</v>
      </c>
      <c r="L101" s="35">
        <f ca="1"/>
        <v>1</v>
      </c>
      <c r="M101" s="35">
        <f ca="1"/>
        <v>0</v>
      </c>
      <c r="N101" s="35">
        <f ca="1"/>
        <v>0</v>
      </c>
      <c r="O101" s="35">
        <f ca="1"/>
        <v>0</v>
      </c>
      <c r="P101" s="35">
        <f ca="1"/>
        <v>173782.82232627081</v>
      </c>
      <c r="Q101" s="35">
        <f ca="1"/>
        <v>173782.82232627081</v>
      </c>
    </row>
    <row r="102" spans="2:17">
      <c r="B102" s="45"/>
      <c r="H102" s="35">
        <v>100</v>
      </c>
      <c r="I102" s="35">
        <f ca="1"/>
        <v>0</v>
      </c>
      <c r="J102" s="35">
        <f ca="1"/>
        <v>0</v>
      </c>
      <c r="K102" s="35">
        <f ca="1"/>
        <v>0</v>
      </c>
      <c r="L102" s="35">
        <f ca="1"/>
        <v>0</v>
      </c>
      <c r="M102" s="35">
        <f ca="1"/>
        <v>0</v>
      </c>
      <c r="N102" s="35">
        <f ca="1"/>
        <v>0</v>
      </c>
      <c r="O102" s="35">
        <f ca="1"/>
        <v>0</v>
      </c>
      <c r="P102" s="35">
        <f ca="1"/>
        <v>0</v>
      </c>
      <c r="Q102" s="35">
        <f ca="1"/>
        <v>0</v>
      </c>
    </row>
    <row r="103" spans="2:17">
      <c r="B103" s="45"/>
      <c r="H103" s="35">
        <v>101</v>
      </c>
      <c r="I103" s="35">
        <f ca="1"/>
        <v>1</v>
      </c>
      <c r="J103" s="35">
        <f ca="1"/>
        <v>1</v>
      </c>
      <c r="K103" s="35">
        <f ca="1"/>
        <v>0</v>
      </c>
      <c r="L103" s="35">
        <f ca="1"/>
        <v>1</v>
      </c>
      <c r="M103" s="35">
        <f ca="1"/>
        <v>7805.6256811851717</v>
      </c>
      <c r="N103" s="35">
        <f ca="1"/>
        <v>23785.322296746319</v>
      </c>
      <c r="O103" s="35">
        <f ca="1"/>
        <v>0</v>
      </c>
      <c r="P103" s="35">
        <f ca="1"/>
        <v>116742.61430933827</v>
      </c>
      <c r="Q103" s="35">
        <f ca="1"/>
        <v>148333.56228726977</v>
      </c>
    </row>
    <row r="104" spans="2:17">
      <c r="B104" s="45"/>
      <c r="H104" s="35">
        <v>102</v>
      </c>
      <c r="I104" s="35">
        <f ca="1"/>
        <v>0</v>
      </c>
      <c r="J104" s="35">
        <f ca="1"/>
        <v>1</v>
      </c>
      <c r="K104" s="35">
        <f ca="1"/>
        <v>0</v>
      </c>
      <c r="L104" s="35">
        <f ca="1"/>
        <v>1</v>
      </c>
      <c r="M104" s="35">
        <f ca="1"/>
        <v>0</v>
      </c>
      <c r="N104" s="35">
        <f ca="1"/>
        <v>24593.228633809278</v>
      </c>
      <c r="O104" s="35">
        <f ca="1"/>
        <v>0</v>
      </c>
      <c r="P104" s="35">
        <f ca="1"/>
        <v>173516.86434974635</v>
      </c>
      <c r="Q104" s="35">
        <f ca="1"/>
        <v>198110.09298355563</v>
      </c>
    </row>
    <row r="105" spans="2:17">
      <c r="B105" s="45"/>
      <c r="H105" s="35">
        <v>103</v>
      </c>
      <c r="I105" s="35">
        <f ca="1"/>
        <v>0</v>
      </c>
      <c r="J105" s="35">
        <f ca="1"/>
        <v>1</v>
      </c>
      <c r="K105" s="35">
        <f ca="1"/>
        <v>0</v>
      </c>
      <c r="L105" s="35">
        <f ca="1"/>
        <v>1</v>
      </c>
      <c r="M105" s="35">
        <f ca="1"/>
        <v>0</v>
      </c>
      <c r="N105" s="35">
        <f ca="1"/>
        <v>34464.234860220793</v>
      </c>
      <c r="O105" s="35">
        <f ca="1"/>
        <v>0</v>
      </c>
      <c r="P105" s="35">
        <f ca="1"/>
        <v>94568.834170210117</v>
      </c>
      <c r="Q105" s="35">
        <f ca="1"/>
        <v>129033.06903043091</v>
      </c>
    </row>
    <row r="106" spans="2:17">
      <c r="B106" s="45"/>
      <c r="H106" s="35">
        <v>104</v>
      </c>
      <c r="I106" s="35">
        <f ca="1"/>
        <v>0</v>
      </c>
      <c r="J106" s="35">
        <f ca="1"/>
        <v>0</v>
      </c>
      <c r="K106" s="35">
        <f ca="1"/>
        <v>0</v>
      </c>
      <c r="L106" s="35">
        <f ca="1"/>
        <v>1</v>
      </c>
      <c r="M106" s="35">
        <f ca="1"/>
        <v>0</v>
      </c>
      <c r="N106" s="35">
        <f ca="1"/>
        <v>0</v>
      </c>
      <c r="O106" s="35">
        <f ca="1"/>
        <v>0</v>
      </c>
      <c r="P106" s="35">
        <f ca="1"/>
        <v>178420.23531368238</v>
      </c>
      <c r="Q106" s="35">
        <f ca="1"/>
        <v>178420.23531368238</v>
      </c>
    </row>
    <row r="107" spans="2:17">
      <c r="B107" s="45"/>
      <c r="H107" s="35">
        <v>105</v>
      </c>
      <c r="I107" s="35">
        <f ca="1"/>
        <v>0</v>
      </c>
      <c r="J107" s="35">
        <f ca="1"/>
        <v>1</v>
      </c>
      <c r="K107" s="35">
        <f ca="1"/>
        <v>1</v>
      </c>
      <c r="L107" s="35">
        <f ca="1"/>
        <v>1</v>
      </c>
      <c r="M107" s="35">
        <f ca="1"/>
        <v>0</v>
      </c>
      <c r="N107" s="35">
        <f ca="1"/>
        <v>58636.73083076621</v>
      </c>
      <c r="O107" s="35">
        <f ca="1"/>
        <v>252.87859234564269</v>
      </c>
      <c r="P107" s="35">
        <f ca="1"/>
        <v>128201.22144914164</v>
      </c>
      <c r="Q107" s="35">
        <f ca="1"/>
        <v>187090.83087225349</v>
      </c>
    </row>
    <row r="108" spans="2:17">
      <c r="B108" s="45"/>
      <c r="H108" s="35">
        <v>106</v>
      </c>
      <c r="I108" s="35">
        <f ca="1"/>
        <v>0</v>
      </c>
      <c r="J108" s="35">
        <f ca="1"/>
        <v>0</v>
      </c>
      <c r="K108" s="35">
        <f ca="1"/>
        <v>0</v>
      </c>
      <c r="L108" s="35">
        <f ca="1"/>
        <v>1</v>
      </c>
      <c r="M108" s="35">
        <f ca="1"/>
        <v>0</v>
      </c>
      <c r="N108" s="35">
        <f ca="1"/>
        <v>0</v>
      </c>
      <c r="O108" s="35">
        <f ca="1"/>
        <v>0</v>
      </c>
      <c r="P108" s="35">
        <f ca="1"/>
        <v>179029.72180817899</v>
      </c>
      <c r="Q108" s="35">
        <f ca="1"/>
        <v>179029.72180817899</v>
      </c>
    </row>
    <row r="109" spans="2:17">
      <c r="B109" s="45"/>
      <c r="H109" s="35">
        <v>107</v>
      </c>
      <c r="I109" s="35">
        <f ca="1"/>
        <v>1</v>
      </c>
      <c r="J109" s="35">
        <f ca="1"/>
        <v>1</v>
      </c>
      <c r="K109" s="35">
        <f ca="1"/>
        <v>0</v>
      </c>
      <c r="L109" s="35">
        <f ca="1"/>
        <v>1</v>
      </c>
      <c r="M109" s="35">
        <f ca="1"/>
        <v>5405.5669441257605</v>
      </c>
      <c r="N109" s="35">
        <f ca="1"/>
        <v>41691.917317588857</v>
      </c>
      <c r="O109" s="35">
        <f ca="1"/>
        <v>0</v>
      </c>
      <c r="P109" s="35">
        <f ca="1"/>
        <v>148569.92829014314</v>
      </c>
      <c r="Q109" s="35">
        <f ca="1"/>
        <v>195667.41255185776</v>
      </c>
    </row>
    <row r="110" spans="2:17">
      <c r="H110" s="35">
        <v>108</v>
      </c>
      <c r="I110" s="35">
        <f ca="1"/>
        <v>0</v>
      </c>
      <c r="J110" s="35">
        <f ca="1"/>
        <v>0</v>
      </c>
      <c r="K110" s="35">
        <f ca="1"/>
        <v>0</v>
      </c>
      <c r="L110" s="35">
        <f ca="1"/>
        <v>1</v>
      </c>
      <c r="M110" s="35">
        <f ca="1"/>
        <v>0</v>
      </c>
      <c r="N110" s="35">
        <f ca="1"/>
        <v>0</v>
      </c>
      <c r="O110" s="35">
        <f ca="1"/>
        <v>0</v>
      </c>
      <c r="P110" s="35">
        <f ca="1"/>
        <v>141958.15772060194</v>
      </c>
      <c r="Q110" s="35">
        <f ca="1"/>
        <v>141958.15772060194</v>
      </c>
    </row>
    <row r="111" spans="2:17">
      <c r="H111" s="35">
        <v>109</v>
      </c>
      <c r="I111" s="35">
        <f ca="1"/>
        <v>0</v>
      </c>
      <c r="J111" s="35">
        <f ca="1"/>
        <v>0</v>
      </c>
      <c r="K111" s="35">
        <f ca="1"/>
        <v>0</v>
      </c>
      <c r="L111" s="35">
        <f ca="1"/>
        <v>1</v>
      </c>
      <c r="M111" s="35">
        <f ca="1"/>
        <v>0</v>
      </c>
      <c r="N111" s="35">
        <f ca="1"/>
        <v>0</v>
      </c>
      <c r="O111" s="35">
        <f ca="1"/>
        <v>0</v>
      </c>
      <c r="P111" s="35">
        <f ca="1"/>
        <v>125003.13214400392</v>
      </c>
      <c r="Q111" s="35">
        <f ca="1"/>
        <v>125003.13214400392</v>
      </c>
    </row>
    <row r="112" spans="2:17">
      <c r="H112" s="35">
        <v>110</v>
      </c>
      <c r="I112" s="35">
        <f ca="1"/>
        <v>0</v>
      </c>
      <c r="J112" s="35">
        <f ca="1"/>
        <v>0</v>
      </c>
      <c r="K112" s="35">
        <f ca="1"/>
        <v>0</v>
      </c>
      <c r="L112" s="35">
        <f ca="1"/>
        <v>1</v>
      </c>
      <c r="M112" s="35">
        <f ca="1"/>
        <v>0</v>
      </c>
      <c r="N112" s="35">
        <f ca="1"/>
        <v>0</v>
      </c>
      <c r="O112" s="35">
        <f ca="1"/>
        <v>0</v>
      </c>
      <c r="P112" s="35">
        <f ca="1"/>
        <v>176121.46996835119</v>
      </c>
      <c r="Q112" s="35">
        <f ca="1"/>
        <v>176121.46996835119</v>
      </c>
    </row>
    <row r="113" spans="8:17">
      <c r="H113" s="35">
        <v>111</v>
      </c>
      <c r="I113" s="35">
        <f ca="1"/>
        <v>1</v>
      </c>
      <c r="J113" s="35">
        <f ca="1"/>
        <v>0</v>
      </c>
      <c r="K113" s="35">
        <f ca="1"/>
        <v>0</v>
      </c>
      <c r="L113" s="35">
        <f ca="1"/>
        <v>0</v>
      </c>
      <c r="M113" s="35">
        <f ca="1"/>
        <v>12225.18561218355</v>
      </c>
      <c r="N113" s="35">
        <f ca="1"/>
        <v>0</v>
      </c>
      <c r="O113" s="35">
        <f ca="1"/>
        <v>0</v>
      </c>
      <c r="P113" s="35">
        <f ca="1"/>
        <v>0</v>
      </c>
      <c r="Q113" s="35">
        <f ca="1"/>
        <v>12225.18561218355</v>
      </c>
    </row>
    <row r="114" spans="8:17">
      <c r="H114" s="35">
        <v>112</v>
      </c>
      <c r="I114" s="35">
        <f ca="1"/>
        <v>0</v>
      </c>
      <c r="J114" s="35">
        <f ca="1"/>
        <v>0</v>
      </c>
      <c r="K114" s="35">
        <f ca="1"/>
        <v>1</v>
      </c>
      <c r="L114" s="35">
        <f ca="1"/>
        <v>1</v>
      </c>
      <c r="M114" s="35">
        <f ca="1"/>
        <v>0</v>
      </c>
      <c r="N114" s="35">
        <f ca="1"/>
        <v>0</v>
      </c>
      <c r="O114" s="35">
        <f ca="1"/>
        <v>80.753856936763754</v>
      </c>
      <c r="P114" s="35">
        <f ca="1"/>
        <v>144461.55794403193</v>
      </c>
      <c r="Q114" s="35">
        <f ca="1"/>
        <v>144542.31180096869</v>
      </c>
    </row>
    <row r="115" spans="8:17">
      <c r="H115" s="35">
        <v>113</v>
      </c>
      <c r="I115" s="35">
        <f ca="1"/>
        <v>0</v>
      </c>
      <c r="J115" s="35">
        <f ca="1"/>
        <v>1</v>
      </c>
      <c r="K115" s="35">
        <f ca="1"/>
        <v>0</v>
      </c>
      <c r="L115" s="35">
        <f ca="1"/>
        <v>1</v>
      </c>
      <c r="M115" s="35">
        <f ca="1"/>
        <v>0</v>
      </c>
      <c r="N115" s="35">
        <f ca="1"/>
        <v>26632.823807046927</v>
      </c>
      <c r="O115" s="35">
        <f ca="1"/>
        <v>0</v>
      </c>
      <c r="P115" s="35">
        <f ca="1"/>
        <v>181091.80225685792</v>
      </c>
      <c r="Q115" s="35">
        <f ca="1"/>
        <v>207724.62606390484</v>
      </c>
    </row>
    <row r="116" spans="8:17">
      <c r="H116" s="35">
        <v>114</v>
      </c>
      <c r="I116" s="35">
        <f ca="1"/>
        <v>0</v>
      </c>
      <c r="J116" s="35">
        <f ca="1"/>
        <v>0</v>
      </c>
      <c r="K116" s="35">
        <f ca="1"/>
        <v>0</v>
      </c>
      <c r="L116" s="35">
        <f ca="1"/>
        <v>1</v>
      </c>
      <c r="M116" s="35">
        <f ca="1"/>
        <v>0</v>
      </c>
      <c r="N116" s="35">
        <f ca="1"/>
        <v>0</v>
      </c>
      <c r="O116" s="35">
        <f ca="1"/>
        <v>0</v>
      </c>
      <c r="P116" s="35">
        <f ca="1"/>
        <v>106602.37253221012</v>
      </c>
      <c r="Q116" s="35">
        <f ca="1"/>
        <v>106602.37253221012</v>
      </c>
    </row>
    <row r="117" spans="8:17">
      <c r="H117" s="35">
        <v>115</v>
      </c>
      <c r="I117" s="35">
        <f ca="1"/>
        <v>0</v>
      </c>
      <c r="J117" s="35">
        <f ca="1"/>
        <v>0</v>
      </c>
      <c r="K117" s="35">
        <f ca="1"/>
        <v>1</v>
      </c>
      <c r="L117" s="35">
        <f ca="1"/>
        <v>1</v>
      </c>
      <c r="M117" s="35">
        <f ca="1"/>
        <v>0</v>
      </c>
      <c r="N117" s="35">
        <f ca="1"/>
        <v>0</v>
      </c>
      <c r="O117" s="35">
        <f ca="1"/>
        <v>334.29555991818006</v>
      </c>
      <c r="P117" s="35">
        <f ca="1"/>
        <v>126505.42411322179</v>
      </c>
      <c r="Q117" s="35">
        <f ca="1"/>
        <v>126839.71967313996</v>
      </c>
    </row>
    <row r="118" spans="8:17">
      <c r="H118" s="35">
        <v>116</v>
      </c>
      <c r="I118" s="35">
        <f ca="1"/>
        <v>1</v>
      </c>
      <c r="J118" s="35">
        <f ca="1"/>
        <v>0</v>
      </c>
      <c r="K118" s="35">
        <f ca="1"/>
        <v>0</v>
      </c>
      <c r="L118" s="35">
        <f ca="1"/>
        <v>1</v>
      </c>
      <c r="M118" s="35">
        <f ca="1"/>
        <v>8999.4395827547523</v>
      </c>
      <c r="N118" s="35">
        <f ca="1"/>
        <v>0</v>
      </c>
      <c r="O118" s="35">
        <f ca="1"/>
        <v>0</v>
      </c>
      <c r="P118" s="35">
        <f ca="1"/>
        <v>174726.69159322133</v>
      </c>
      <c r="Q118" s="35">
        <f ca="1"/>
        <v>183726.13117597607</v>
      </c>
    </row>
    <row r="119" spans="8:17">
      <c r="H119" s="35">
        <v>117</v>
      </c>
      <c r="I119" s="35">
        <f ca="1"/>
        <v>0</v>
      </c>
      <c r="J119" s="35">
        <f ca="1"/>
        <v>0</v>
      </c>
      <c r="K119" s="35">
        <f ca="1"/>
        <v>0</v>
      </c>
      <c r="L119" s="35">
        <f ca="1"/>
        <v>1</v>
      </c>
      <c r="M119" s="35">
        <f ca="1"/>
        <v>0</v>
      </c>
      <c r="N119" s="35">
        <f ca="1"/>
        <v>0</v>
      </c>
      <c r="O119" s="35">
        <f ca="1"/>
        <v>0</v>
      </c>
      <c r="P119" s="35">
        <f ca="1"/>
        <v>139979.59170484106</v>
      </c>
      <c r="Q119" s="35">
        <f ca="1"/>
        <v>139979.59170484106</v>
      </c>
    </row>
    <row r="120" spans="8:17">
      <c r="H120" s="35">
        <v>118</v>
      </c>
      <c r="I120" s="35">
        <f ca="1"/>
        <v>0</v>
      </c>
      <c r="J120" s="35">
        <f ca="1"/>
        <v>0</v>
      </c>
      <c r="K120" s="35">
        <f ca="1"/>
        <v>0</v>
      </c>
      <c r="L120" s="35">
        <f ca="1"/>
        <v>1</v>
      </c>
      <c r="M120" s="35">
        <f ca="1"/>
        <v>0</v>
      </c>
      <c r="N120" s="35">
        <f ca="1"/>
        <v>0</v>
      </c>
      <c r="O120" s="35">
        <f ca="1"/>
        <v>0</v>
      </c>
      <c r="P120" s="35">
        <f ca="1"/>
        <v>119987.97962027743</v>
      </c>
      <c r="Q120" s="35">
        <f ca="1"/>
        <v>119987.97962027743</v>
      </c>
    </row>
    <row r="121" spans="8:17">
      <c r="H121" s="35">
        <v>119</v>
      </c>
      <c r="I121" s="35">
        <f ca="1"/>
        <v>1</v>
      </c>
      <c r="J121" s="35">
        <f ca="1"/>
        <v>0</v>
      </c>
      <c r="K121" s="35">
        <f ca="1"/>
        <v>0</v>
      </c>
      <c r="L121" s="35">
        <f ca="1"/>
        <v>1</v>
      </c>
      <c r="M121" s="35">
        <f ca="1"/>
        <v>12933.292316906402</v>
      </c>
      <c r="N121" s="35">
        <f ca="1"/>
        <v>0</v>
      </c>
      <c r="O121" s="35">
        <f ca="1"/>
        <v>0</v>
      </c>
      <c r="P121" s="35">
        <f ca="1"/>
        <v>103742.49639926493</v>
      </c>
      <c r="Q121" s="35">
        <f ca="1"/>
        <v>116675.78871617133</v>
      </c>
    </row>
    <row r="122" spans="8:17">
      <c r="H122" s="35">
        <v>120</v>
      </c>
      <c r="I122" s="35">
        <f ca="1"/>
        <v>0</v>
      </c>
      <c r="J122" s="35">
        <f ca="1"/>
        <v>0</v>
      </c>
      <c r="K122" s="35">
        <f ca="1"/>
        <v>0</v>
      </c>
      <c r="L122" s="35">
        <f ca="1"/>
        <v>1</v>
      </c>
      <c r="M122" s="35">
        <f ca="1"/>
        <v>0</v>
      </c>
      <c r="N122" s="35">
        <f ca="1"/>
        <v>0</v>
      </c>
      <c r="O122" s="35">
        <f ca="1"/>
        <v>0</v>
      </c>
      <c r="P122" s="35">
        <f ca="1"/>
        <v>83725.020998380744</v>
      </c>
      <c r="Q122" s="35">
        <f ca="1"/>
        <v>83725.020998380744</v>
      </c>
    </row>
    <row r="123" spans="8:17">
      <c r="H123" s="35">
        <v>121</v>
      </c>
      <c r="I123" s="35">
        <f ca="1"/>
        <v>0</v>
      </c>
      <c r="J123" s="35">
        <f ca="1"/>
        <v>0</v>
      </c>
      <c r="K123" s="35">
        <f ca="1"/>
        <v>0</v>
      </c>
      <c r="L123" s="35">
        <f ca="1"/>
        <v>1</v>
      </c>
      <c r="M123" s="35">
        <f ca="1"/>
        <v>0</v>
      </c>
      <c r="N123" s="35">
        <f ca="1"/>
        <v>0</v>
      </c>
      <c r="O123" s="35">
        <f ca="1"/>
        <v>0</v>
      </c>
      <c r="P123" s="35">
        <f ca="1"/>
        <v>115281.12669351969</v>
      </c>
      <c r="Q123" s="35">
        <f ca="1"/>
        <v>115281.12669351969</v>
      </c>
    </row>
    <row r="124" spans="8:17">
      <c r="H124" s="35">
        <v>122</v>
      </c>
      <c r="I124" s="35">
        <f ca="1"/>
        <v>0</v>
      </c>
      <c r="J124" s="35">
        <f ca="1"/>
        <v>1</v>
      </c>
      <c r="K124" s="35">
        <f ca="1"/>
        <v>0</v>
      </c>
      <c r="L124" s="35">
        <f ca="1"/>
        <v>1</v>
      </c>
      <c r="M124" s="35">
        <f ca="1"/>
        <v>0</v>
      </c>
      <c r="N124" s="35">
        <f ca="1"/>
        <v>46693.162593640263</v>
      </c>
      <c r="O124" s="35">
        <f ca="1"/>
        <v>0</v>
      </c>
      <c r="P124" s="35">
        <f ca="1"/>
        <v>138763.78373192615</v>
      </c>
      <c r="Q124" s="35">
        <f ca="1"/>
        <v>185456.94632556642</v>
      </c>
    </row>
    <row r="125" spans="8:17">
      <c r="H125" s="35">
        <v>123</v>
      </c>
      <c r="I125" s="35">
        <f ca="1"/>
        <v>0</v>
      </c>
      <c r="J125" s="35">
        <f ca="1"/>
        <v>0</v>
      </c>
      <c r="K125" s="35">
        <f ca="1"/>
        <v>1</v>
      </c>
      <c r="L125" s="35">
        <f ca="1"/>
        <v>1</v>
      </c>
      <c r="M125" s="35">
        <f ca="1"/>
        <v>0</v>
      </c>
      <c r="N125" s="35">
        <f ca="1"/>
        <v>0</v>
      </c>
      <c r="O125" s="35">
        <f ca="1"/>
        <v>216.20542342462352</v>
      </c>
      <c r="P125" s="35">
        <f ca="1"/>
        <v>154208.74249984056</v>
      </c>
      <c r="Q125" s="35">
        <f ca="1"/>
        <v>154424.94792326519</v>
      </c>
    </row>
    <row r="126" spans="8:17">
      <c r="H126" s="35">
        <v>124</v>
      </c>
      <c r="I126" s="35">
        <f ca="1"/>
        <v>0</v>
      </c>
      <c r="J126" s="35">
        <f ca="1"/>
        <v>1</v>
      </c>
      <c r="K126" s="35">
        <f ca="1"/>
        <v>0</v>
      </c>
      <c r="L126" s="35">
        <f ca="1"/>
        <v>1</v>
      </c>
      <c r="M126" s="35">
        <f ca="1"/>
        <v>0</v>
      </c>
      <c r="N126" s="35">
        <f ca="1"/>
        <v>32323.502735114896</v>
      </c>
      <c r="O126" s="35">
        <f ca="1"/>
        <v>0</v>
      </c>
      <c r="P126" s="35">
        <f ca="1"/>
        <v>84056.62810486411</v>
      </c>
      <c r="Q126" s="35">
        <f ca="1"/>
        <v>116380.13083997901</v>
      </c>
    </row>
    <row r="127" spans="8:17">
      <c r="H127" s="35">
        <v>125</v>
      </c>
      <c r="I127" s="35">
        <f ca="1"/>
        <v>1</v>
      </c>
      <c r="J127" s="35">
        <f ca="1"/>
        <v>1</v>
      </c>
      <c r="K127" s="35">
        <f ca="1"/>
        <v>1</v>
      </c>
      <c r="L127" s="35">
        <f ca="1"/>
        <v>1</v>
      </c>
      <c r="M127" s="35">
        <f ca="1"/>
        <v>7818.0620748631472</v>
      </c>
      <c r="N127" s="35">
        <f ca="1"/>
        <v>25803.534339622176</v>
      </c>
      <c r="O127" s="35">
        <f ca="1"/>
        <v>338.49539464154088</v>
      </c>
      <c r="P127" s="35">
        <f ca="1"/>
        <v>188703.76872948406</v>
      </c>
      <c r="Q127" s="35">
        <f ca="1"/>
        <v>222663.86053861093</v>
      </c>
    </row>
    <row r="128" spans="8:17">
      <c r="H128" s="35">
        <v>126</v>
      </c>
      <c r="I128" s="35">
        <f ca="1"/>
        <v>0</v>
      </c>
      <c r="J128" s="35">
        <f ca="1"/>
        <v>0</v>
      </c>
      <c r="K128" s="35">
        <f ca="1"/>
        <v>0</v>
      </c>
      <c r="L128" s="35">
        <f ca="1"/>
        <v>1</v>
      </c>
      <c r="M128" s="35">
        <f ca="1"/>
        <v>0</v>
      </c>
      <c r="N128" s="35">
        <f ca="1"/>
        <v>0</v>
      </c>
      <c r="O128" s="35">
        <f ca="1"/>
        <v>0</v>
      </c>
      <c r="P128" s="35">
        <f ca="1"/>
        <v>192453.99837417659</v>
      </c>
      <c r="Q128" s="35">
        <f ca="1"/>
        <v>192453.99837417659</v>
      </c>
    </row>
    <row r="129" spans="8:17">
      <c r="H129" s="35">
        <v>127</v>
      </c>
      <c r="I129" s="35">
        <f ca="1"/>
        <v>0</v>
      </c>
      <c r="J129" s="35">
        <f ca="1"/>
        <v>0</v>
      </c>
      <c r="K129" s="35">
        <f ca="1"/>
        <v>0</v>
      </c>
      <c r="L129" s="35">
        <f ca="1"/>
        <v>1</v>
      </c>
      <c r="M129" s="35">
        <f ca="1"/>
        <v>0</v>
      </c>
      <c r="N129" s="35">
        <f ca="1"/>
        <v>0</v>
      </c>
      <c r="O129" s="35">
        <f ca="1"/>
        <v>0</v>
      </c>
      <c r="P129" s="35">
        <f ca="1"/>
        <v>151169.75906248999</v>
      </c>
      <c r="Q129" s="35">
        <f ca="1"/>
        <v>151169.75906248999</v>
      </c>
    </row>
    <row r="130" spans="8:17">
      <c r="H130" s="35">
        <v>128</v>
      </c>
      <c r="I130" s="35">
        <f ca="1"/>
        <v>0</v>
      </c>
      <c r="J130" s="35">
        <f ca="1"/>
        <v>1</v>
      </c>
      <c r="K130" s="35">
        <f ca="1"/>
        <v>0</v>
      </c>
      <c r="L130" s="35">
        <f ca="1"/>
        <v>1</v>
      </c>
      <c r="M130" s="35">
        <f ca="1"/>
        <v>0</v>
      </c>
      <c r="N130" s="35">
        <f ca="1"/>
        <v>15770.406179040587</v>
      </c>
      <c r="O130" s="35">
        <f ca="1"/>
        <v>0</v>
      </c>
      <c r="P130" s="35">
        <f ca="1"/>
        <v>125138.04922461187</v>
      </c>
      <c r="Q130" s="35">
        <f ca="1"/>
        <v>140908.45540365245</v>
      </c>
    </row>
    <row r="131" spans="8:17">
      <c r="H131" s="35">
        <v>129</v>
      </c>
      <c r="I131" s="35">
        <f ca="1"/>
        <v>0</v>
      </c>
      <c r="J131" s="35">
        <f ca="1"/>
        <v>1</v>
      </c>
      <c r="K131" s="35">
        <f ca="1"/>
        <v>0</v>
      </c>
      <c r="L131" s="35">
        <f ca="1"/>
        <v>1</v>
      </c>
      <c r="M131" s="35">
        <f ca="1"/>
        <v>0</v>
      </c>
      <c r="N131" s="35">
        <f ca="1"/>
        <v>22402.27895462529</v>
      </c>
      <c r="O131" s="35">
        <f ca="1"/>
        <v>0</v>
      </c>
      <c r="P131" s="35">
        <f ca="1"/>
        <v>186010.09469348361</v>
      </c>
      <c r="Q131" s="35">
        <f ca="1"/>
        <v>208412.37364810891</v>
      </c>
    </row>
    <row r="132" spans="8:17">
      <c r="H132" s="35">
        <v>130</v>
      </c>
      <c r="I132" s="35">
        <f ca="1"/>
        <v>0</v>
      </c>
      <c r="J132" s="35">
        <f ca="1"/>
        <v>0</v>
      </c>
      <c r="K132" s="35">
        <f ca="1"/>
        <v>0</v>
      </c>
      <c r="L132" s="35">
        <f ca="1"/>
        <v>1</v>
      </c>
      <c r="M132" s="35">
        <f ca="1"/>
        <v>0</v>
      </c>
      <c r="N132" s="35">
        <f ca="1"/>
        <v>0</v>
      </c>
      <c r="O132" s="35">
        <f ca="1"/>
        <v>0</v>
      </c>
      <c r="P132" s="35">
        <f ca="1"/>
        <v>128466.6343622562</v>
      </c>
      <c r="Q132" s="35">
        <f ca="1"/>
        <v>128466.6343622562</v>
      </c>
    </row>
    <row r="133" spans="8:17">
      <c r="H133" s="35">
        <v>131</v>
      </c>
      <c r="I133" s="35">
        <f ca="1"/>
        <v>1</v>
      </c>
      <c r="J133" s="35">
        <f ca="1"/>
        <v>0</v>
      </c>
      <c r="K133" s="35">
        <f ca="1"/>
        <v>0</v>
      </c>
      <c r="L133" s="35">
        <f ca="1"/>
        <v>1</v>
      </c>
      <c r="M133" s="35">
        <f ca="1"/>
        <v>3257.5358760265458</v>
      </c>
      <c r="N133" s="35">
        <f ca="1"/>
        <v>0</v>
      </c>
      <c r="O133" s="35">
        <f ca="1"/>
        <v>0</v>
      </c>
      <c r="P133" s="35">
        <f ca="1"/>
        <v>213387.92544133795</v>
      </c>
      <c r="Q133" s="35">
        <f ca="1"/>
        <v>216645.4613173645</v>
      </c>
    </row>
    <row r="134" spans="8:17">
      <c r="H134" s="35">
        <v>132</v>
      </c>
      <c r="I134" s="35">
        <f ca="1"/>
        <v>1</v>
      </c>
      <c r="J134" s="35">
        <f ca="1"/>
        <v>0</v>
      </c>
      <c r="K134" s="35">
        <f ca="1"/>
        <v>0</v>
      </c>
      <c r="L134" s="35">
        <f ca="1"/>
        <v>1</v>
      </c>
      <c r="M134" s="35">
        <f ca="1"/>
        <v>7116.137640423266</v>
      </c>
      <c r="N134" s="35">
        <f ca="1"/>
        <v>0</v>
      </c>
      <c r="O134" s="35">
        <f ca="1"/>
        <v>0</v>
      </c>
      <c r="P134" s="35">
        <f ca="1"/>
        <v>91650.481687984313</v>
      </c>
      <c r="Q134" s="35">
        <f ca="1"/>
        <v>98766.619328407585</v>
      </c>
    </row>
    <row r="135" spans="8:17">
      <c r="H135" s="35">
        <v>133</v>
      </c>
      <c r="I135" s="35">
        <f ca="1"/>
        <v>0</v>
      </c>
      <c r="J135" s="35">
        <f ca="1"/>
        <v>0</v>
      </c>
      <c r="K135" s="35">
        <f ca="1"/>
        <v>0</v>
      </c>
      <c r="L135" s="35">
        <f ca="1"/>
        <v>1</v>
      </c>
      <c r="M135" s="35">
        <f ca="1"/>
        <v>0</v>
      </c>
      <c r="N135" s="35">
        <f ca="1"/>
        <v>0</v>
      </c>
      <c r="O135" s="35">
        <f ca="1"/>
        <v>0</v>
      </c>
      <c r="P135" s="35">
        <f ca="1"/>
        <v>131686.1369967717</v>
      </c>
      <c r="Q135" s="35">
        <f ca="1"/>
        <v>131686.1369967717</v>
      </c>
    </row>
    <row r="136" spans="8:17">
      <c r="H136" s="35">
        <v>134</v>
      </c>
      <c r="I136" s="35">
        <f ca="1"/>
        <v>1</v>
      </c>
      <c r="J136" s="35">
        <f ca="1"/>
        <v>0</v>
      </c>
      <c r="K136" s="35">
        <f ca="1"/>
        <v>0</v>
      </c>
      <c r="L136" s="35">
        <f ca="1"/>
        <v>1</v>
      </c>
      <c r="M136" s="35">
        <f ca="1"/>
        <v>16402.401737712731</v>
      </c>
      <c r="N136" s="35">
        <f ca="1"/>
        <v>0</v>
      </c>
      <c r="O136" s="35">
        <f ca="1"/>
        <v>0</v>
      </c>
      <c r="P136" s="35">
        <f ca="1"/>
        <v>112474.29305091043</v>
      </c>
      <c r="Q136" s="35">
        <f ca="1"/>
        <v>128876.69478862316</v>
      </c>
    </row>
    <row r="137" spans="8:17">
      <c r="H137" s="35">
        <v>135</v>
      </c>
      <c r="I137" s="35">
        <f ca="1"/>
        <v>1</v>
      </c>
      <c r="J137" s="35">
        <f ca="1"/>
        <v>1</v>
      </c>
      <c r="K137" s="35">
        <f ca="1"/>
        <v>0</v>
      </c>
      <c r="L137" s="35">
        <f ca="1"/>
        <v>1</v>
      </c>
      <c r="M137" s="35">
        <f ca="1"/>
        <v>8512.6075213827316</v>
      </c>
      <c r="N137" s="35">
        <f ca="1"/>
        <v>13348.437757641865</v>
      </c>
      <c r="O137" s="35">
        <f ca="1"/>
        <v>0</v>
      </c>
      <c r="P137" s="35">
        <f ca="1"/>
        <v>186214.20542837886</v>
      </c>
      <c r="Q137" s="35">
        <f ca="1"/>
        <v>208075.25070740347</v>
      </c>
    </row>
    <row r="138" spans="8:17">
      <c r="H138" s="35">
        <v>136</v>
      </c>
      <c r="I138" s="35">
        <f ca="1"/>
        <v>1</v>
      </c>
      <c r="J138" s="35">
        <f ca="1"/>
        <v>0</v>
      </c>
      <c r="K138" s="35">
        <f ca="1"/>
        <v>0</v>
      </c>
      <c r="L138" s="35">
        <f ca="1"/>
        <v>1</v>
      </c>
      <c r="M138" s="35">
        <f ca="1"/>
        <v>6764.1885958242674</v>
      </c>
      <c r="N138" s="35">
        <f ca="1"/>
        <v>0</v>
      </c>
      <c r="O138" s="35">
        <f ca="1"/>
        <v>0</v>
      </c>
      <c r="P138" s="35">
        <f ca="1"/>
        <v>128519.87030887355</v>
      </c>
      <c r="Q138" s="35">
        <f ca="1"/>
        <v>135284.05890469783</v>
      </c>
    </row>
    <row r="139" spans="8:17">
      <c r="H139" s="35">
        <v>137</v>
      </c>
      <c r="I139" s="35">
        <f ca="1"/>
        <v>0</v>
      </c>
      <c r="J139" s="35">
        <f ca="1"/>
        <v>0</v>
      </c>
      <c r="K139" s="35">
        <f ca="1"/>
        <v>0</v>
      </c>
      <c r="L139" s="35">
        <f ca="1"/>
        <v>1</v>
      </c>
      <c r="M139" s="35">
        <f ca="1"/>
        <v>0</v>
      </c>
      <c r="N139" s="35">
        <f ca="1"/>
        <v>0</v>
      </c>
      <c r="O139" s="35">
        <f ca="1"/>
        <v>0</v>
      </c>
      <c r="P139" s="35">
        <f ca="1"/>
        <v>173080.20485265905</v>
      </c>
      <c r="Q139" s="35">
        <f ca="1"/>
        <v>173080.20485265905</v>
      </c>
    </row>
    <row r="140" spans="8:17">
      <c r="H140" s="35">
        <v>138</v>
      </c>
      <c r="I140" s="35">
        <f ca="1"/>
        <v>0</v>
      </c>
      <c r="J140" s="35">
        <f ca="1"/>
        <v>0</v>
      </c>
      <c r="K140" s="35">
        <f ca="1"/>
        <v>0</v>
      </c>
      <c r="L140" s="35">
        <f ca="1"/>
        <v>1</v>
      </c>
      <c r="M140" s="35">
        <f ca="1"/>
        <v>0</v>
      </c>
      <c r="N140" s="35">
        <f ca="1"/>
        <v>0</v>
      </c>
      <c r="O140" s="35">
        <f ca="1"/>
        <v>0</v>
      </c>
      <c r="P140" s="35">
        <f ca="1"/>
        <v>178435.66539325207</v>
      </c>
      <c r="Q140" s="35">
        <f ca="1"/>
        <v>178435.66539325207</v>
      </c>
    </row>
    <row r="141" spans="8:17">
      <c r="H141" s="35">
        <v>139</v>
      </c>
      <c r="I141" s="35">
        <f ca="1"/>
        <v>0</v>
      </c>
      <c r="J141" s="35">
        <f ca="1"/>
        <v>0</v>
      </c>
      <c r="K141" s="35">
        <f ca="1"/>
        <v>0</v>
      </c>
      <c r="L141" s="35">
        <f ca="1"/>
        <v>1</v>
      </c>
      <c r="M141" s="35">
        <f ca="1"/>
        <v>0</v>
      </c>
      <c r="N141" s="35">
        <f ca="1"/>
        <v>0</v>
      </c>
      <c r="O141" s="35">
        <f ca="1"/>
        <v>0</v>
      </c>
      <c r="P141" s="35">
        <f ca="1"/>
        <v>167285.5064292773</v>
      </c>
      <c r="Q141" s="35">
        <f ca="1"/>
        <v>167285.5064292773</v>
      </c>
    </row>
    <row r="142" spans="8:17">
      <c r="H142" s="35">
        <v>140</v>
      </c>
      <c r="I142" s="35">
        <f ca="1"/>
        <v>0</v>
      </c>
      <c r="J142" s="35">
        <f ca="1"/>
        <v>0</v>
      </c>
      <c r="K142" s="35">
        <f ca="1"/>
        <v>0</v>
      </c>
      <c r="L142" s="35">
        <f ca="1"/>
        <v>1</v>
      </c>
      <c r="M142" s="35">
        <f ca="1"/>
        <v>0</v>
      </c>
      <c r="N142" s="35">
        <f ca="1"/>
        <v>0</v>
      </c>
      <c r="O142" s="35">
        <f ca="1"/>
        <v>0</v>
      </c>
      <c r="P142" s="35">
        <f ca="1"/>
        <v>118562.43770165995</v>
      </c>
      <c r="Q142" s="35">
        <f ca="1"/>
        <v>118562.43770165995</v>
      </c>
    </row>
    <row r="143" spans="8:17">
      <c r="H143" s="35">
        <v>141</v>
      </c>
      <c r="I143" s="35">
        <f ca="1"/>
        <v>0</v>
      </c>
      <c r="J143" s="35">
        <f ca="1"/>
        <v>0</v>
      </c>
      <c r="K143" s="35">
        <f ca="1"/>
        <v>1</v>
      </c>
      <c r="L143" s="35">
        <f ca="1"/>
        <v>1</v>
      </c>
      <c r="M143" s="35">
        <f ca="1"/>
        <v>0</v>
      </c>
      <c r="N143" s="35">
        <f ca="1"/>
        <v>0</v>
      </c>
      <c r="O143" s="35">
        <f ca="1"/>
        <v>168.24756063155994</v>
      </c>
      <c r="P143" s="35">
        <f ca="1"/>
        <v>197704.97957384994</v>
      </c>
      <c r="Q143" s="35">
        <f ca="1"/>
        <v>197873.22713448151</v>
      </c>
    </row>
    <row r="144" spans="8:17">
      <c r="H144" s="35">
        <v>142</v>
      </c>
      <c r="I144" s="35">
        <f ca="1"/>
        <v>0</v>
      </c>
      <c r="J144" s="35">
        <f ca="1"/>
        <v>0</v>
      </c>
      <c r="K144" s="35">
        <f ca="1"/>
        <v>1</v>
      </c>
      <c r="L144" s="35">
        <f ca="1"/>
        <v>1</v>
      </c>
      <c r="M144" s="35">
        <f ca="1"/>
        <v>0</v>
      </c>
      <c r="N144" s="35">
        <f ca="1"/>
        <v>0</v>
      </c>
      <c r="O144" s="35">
        <f ca="1"/>
        <v>149.7661383524468</v>
      </c>
      <c r="P144" s="35">
        <f ca="1"/>
        <v>154265.16058256468</v>
      </c>
      <c r="Q144" s="35">
        <f ca="1"/>
        <v>154414.92672091714</v>
      </c>
    </row>
    <row r="145" spans="8:17">
      <c r="H145" s="35">
        <v>143</v>
      </c>
      <c r="I145" s="35">
        <f ca="1"/>
        <v>0</v>
      </c>
      <c r="J145" s="35">
        <f ca="1"/>
        <v>0</v>
      </c>
      <c r="K145" s="35">
        <f ca="1"/>
        <v>1</v>
      </c>
      <c r="L145" s="35">
        <f ca="1"/>
        <v>1</v>
      </c>
      <c r="M145" s="35">
        <f ca="1"/>
        <v>0</v>
      </c>
      <c r="N145" s="35">
        <f ca="1"/>
        <v>0</v>
      </c>
      <c r="O145" s="35">
        <f ca="1"/>
        <v>218.89565049318895</v>
      </c>
      <c r="P145" s="35">
        <f ca="1"/>
        <v>127620.45916355254</v>
      </c>
      <c r="Q145" s="35">
        <f ca="1"/>
        <v>127839.35481404573</v>
      </c>
    </row>
    <row r="146" spans="8:17">
      <c r="H146" s="35">
        <v>144</v>
      </c>
      <c r="I146" s="35">
        <f ca="1"/>
        <v>0</v>
      </c>
      <c r="J146" s="35">
        <f ca="1"/>
        <v>1</v>
      </c>
      <c r="K146" s="35">
        <f ca="1"/>
        <v>0</v>
      </c>
      <c r="L146" s="35">
        <f ca="1"/>
        <v>1</v>
      </c>
      <c r="M146" s="35">
        <f ca="1"/>
        <v>0</v>
      </c>
      <c r="N146" s="35">
        <f ca="1"/>
        <v>21761.65893698678</v>
      </c>
      <c r="O146" s="35">
        <f ca="1"/>
        <v>0</v>
      </c>
      <c r="P146" s="35">
        <f ca="1"/>
        <v>89656.3734447108</v>
      </c>
      <c r="Q146" s="35">
        <f ca="1"/>
        <v>111418.03238169759</v>
      </c>
    </row>
    <row r="147" spans="8:17">
      <c r="H147" s="35">
        <v>145</v>
      </c>
      <c r="I147" s="35">
        <f ca="1"/>
        <v>0</v>
      </c>
      <c r="J147" s="35">
        <f ca="1"/>
        <v>0</v>
      </c>
      <c r="K147" s="35">
        <f ca="1"/>
        <v>0</v>
      </c>
      <c r="L147" s="35">
        <f ca="1"/>
        <v>1</v>
      </c>
      <c r="M147" s="35">
        <f ca="1"/>
        <v>0</v>
      </c>
      <c r="N147" s="35">
        <f ca="1"/>
        <v>0</v>
      </c>
      <c r="O147" s="35">
        <f ca="1"/>
        <v>0</v>
      </c>
      <c r="P147" s="35">
        <f ca="1"/>
        <v>133703.77080674746</v>
      </c>
      <c r="Q147" s="35">
        <f ca="1"/>
        <v>133703.77080674746</v>
      </c>
    </row>
    <row r="148" spans="8:17">
      <c r="H148" s="35">
        <v>146</v>
      </c>
      <c r="I148" s="35">
        <f ca="1"/>
        <v>0</v>
      </c>
      <c r="J148" s="35">
        <f ca="1"/>
        <v>0</v>
      </c>
      <c r="K148" s="35">
        <f ca="1"/>
        <v>1</v>
      </c>
      <c r="L148" s="35">
        <f ca="1"/>
        <v>1</v>
      </c>
      <c r="M148" s="35">
        <f ca="1"/>
        <v>0</v>
      </c>
      <c r="N148" s="35">
        <f ca="1"/>
        <v>0</v>
      </c>
      <c r="O148" s="35">
        <f ca="1"/>
        <v>474.16686737195511</v>
      </c>
      <c r="P148" s="35">
        <f ca="1"/>
        <v>177614.26302208405</v>
      </c>
      <c r="Q148" s="35">
        <f ca="1"/>
        <v>178088.42988945602</v>
      </c>
    </row>
    <row r="149" spans="8:17">
      <c r="H149" s="35">
        <v>147</v>
      </c>
      <c r="I149" s="35">
        <f ca="1"/>
        <v>1</v>
      </c>
      <c r="J149" s="35">
        <f ca="1"/>
        <v>0</v>
      </c>
      <c r="K149" s="35">
        <f ca="1"/>
        <v>1</v>
      </c>
      <c r="L149" s="35">
        <f ca="1"/>
        <v>1</v>
      </c>
      <c r="M149" s="35">
        <f ca="1"/>
        <v>15960.20176327996</v>
      </c>
      <c r="N149" s="35">
        <f ca="1"/>
        <v>0</v>
      </c>
      <c r="O149" s="35">
        <f ca="1"/>
        <v>213.7453809256528</v>
      </c>
      <c r="P149" s="35">
        <f ca="1"/>
        <v>105299.25856469982</v>
      </c>
      <c r="Q149" s="35">
        <f ca="1"/>
        <v>121473.20570890543</v>
      </c>
    </row>
    <row r="150" spans="8:17">
      <c r="H150" s="35">
        <v>148</v>
      </c>
      <c r="I150" s="35">
        <f ca="1"/>
        <v>0</v>
      </c>
      <c r="J150" s="35">
        <f ca="1"/>
        <v>1</v>
      </c>
      <c r="K150" s="35">
        <f ca="1"/>
        <v>0</v>
      </c>
      <c r="L150" s="35">
        <f ca="1"/>
        <v>1</v>
      </c>
      <c r="M150" s="35">
        <f ca="1"/>
        <v>0</v>
      </c>
      <c r="N150" s="35">
        <f ca="1"/>
        <v>21528.788019929554</v>
      </c>
      <c r="O150" s="35">
        <f ca="1"/>
        <v>0</v>
      </c>
      <c r="P150" s="35">
        <f ca="1"/>
        <v>140705.57230008362</v>
      </c>
      <c r="Q150" s="35">
        <f ca="1"/>
        <v>162234.36032001316</v>
      </c>
    </row>
    <row r="151" spans="8:17">
      <c r="H151" s="35">
        <v>149</v>
      </c>
      <c r="I151" s="35">
        <f ca="1"/>
        <v>1</v>
      </c>
      <c r="J151" s="35">
        <f ca="1"/>
        <v>0</v>
      </c>
      <c r="K151" s="35">
        <f ca="1"/>
        <v>0</v>
      </c>
      <c r="L151" s="35">
        <f ca="1"/>
        <v>1</v>
      </c>
      <c r="M151" s="35">
        <f ca="1"/>
        <v>9797.2249192445797</v>
      </c>
      <c r="N151" s="35">
        <f ca="1"/>
        <v>0</v>
      </c>
      <c r="O151" s="35">
        <f ca="1"/>
        <v>0</v>
      </c>
      <c r="P151" s="35">
        <f ca="1"/>
        <v>193064.53622020586</v>
      </c>
      <c r="Q151" s="35">
        <f ca="1"/>
        <v>202861.76113945045</v>
      </c>
    </row>
    <row r="152" spans="8:17">
      <c r="H152" s="35">
        <v>150</v>
      </c>
      <c r="I152" s="35">
        <f ca="1"/>
        <v>0</v>
      </c>
      <c r="J152" s="35">
        <f ca="1"/>
        <v>0</v>
      </c>
      <c r="K152" s="35">
        <f ca="1"/>
        <v>0</v>
      </c>
      <c r="L152" s="35">
        <f ca="1"/>
        <v>1</v>
      </c>
      <c r="M152" s="35">
        <f ca="1"/>
        <v>0</v>
      </c>
      <c r="N152" s="35">
        <f ca="1"/>
        <v>0</v>
      </c>
      <c r="O152" s="35">
        <f ca="1"/>
        <v>0</v>
      </c>
      <c r="P152" s="35">
        <f ca="1"/>
        <v>200554.31435318504</v>
      </c>
      <c r="Q152" s="35">
        <f ca="1"/>
        <v>200554.31435318504</v>
      </c>
    </row>
    <row r="153" spans="8:17">
      <c r="H153" s="35">
        <v>151</v>
      </c>
      <c r="I153" s="35">
        <f ca="1"/>
        <v>0</v>
      </c>
      <c r="J153" s="35">
        <f ca="1"/>
        <v>1</v>
      </c>
      <c r="K153" s="35">
        <f ca="1"/>
        <v>0</v>
      </c>
      <c r="L153" s="35">
        <f ca="1"/>
        <v>0</v>
      </c>
      <c r="M153" s="35">
        <f ca="1"/>
        <v>0</v>
      </c>
      <c r="N153" s="35">
        <f ca="1"/>
        <v>9699.7964969088316</v>
      </c>
      <c r="O153" s="35">
        <f ca="1"/>
        <v>0</v>
      </c>
      <c r="P153" s="35">
        <f ca="1"/>
        <v>0</v>
      </c>
      <c r="Q153" s="35">
        <f ca="1"/>
        <v>9699.7964969088316</v>
      </c>
    </row>
    <row r="154" spans="8:17">
      <c r="H154" s="35">
        <v>152</v>
      </c>
      <c r="I154" s="35">
        <f ca="1"/>
        <v>0</v>
      </c>
      <c r="J154" s="35">
        <f ca="1"/>
        <v>0</v>
      </c>
      <c r="K154" s="35">
        <f ca="1"/>
        <v>0</v>
      </c>
      <c r="L154" s="35">
        <f ca="1"/>
        <v>1</v>
      </c>
      <c r="M154" s="35">
        <f ca="1"/>
        <v>0</v>
      </c>
      <c r="N154" s="35">
        <f ca="1"/>
        <v>0</v>
      </c>
      <c r="O154" s="35">
        <f ca="1"/>
        <v>0</v>
      </c>
      <c r="P154" s="35">
        <f ca="1"/>
        <v>151068.0111799023</v>
      </c>
      <c r="Q154" s="35">
        <f ca="1"/>
        <v>151068.0111799023</v>
      </c>
    </row>
    <row r="155" spans="8:17">
      <c r="H155" s="35">
        <v>153</v>
      </c>
      <c r="I155" s="35">
        <f ca="1"/>
        <v>0</v>
      </c>
      <c r="J155" s="35">
        <f ca="1"/>
        <v>0</v>
      </c>
      <c r="K155" s="35">
        <f ca="1"/>
        <v>0</v>
      </c>
      <c r="L155" s="35">
        <f ca="1"/>
        <v>1</v>
      </c>
      <c r="M155" s="35">
        <f ca="1"/>
        <v>0</v>
      </c>
      <c r="N155" s="35">
        <f ca="1"/>
        <v>0</v>
      </c>
      <c r="O155" s="35">
        <f ca="1"/>
        <v>0</v>
      </c>
      <c r="P155" s="35">
        <f ca="1"/>
        <v>123932.68570827828</v>
      </c>
      <c r="Q155" s="35">
        <f ca="1"/>
        <v>123932.68570827828</v>
      </c>
    </row>
    <row r="156" spans="8:17">
      <c r="H156" s="35">
        <v>154</v>
      </c>
      <c r="I156" s="35">
        <f ca="1"/>
        <v>0</v>
      </c>
      <c r="J156" s="35">
        <f ca="1"/>
        <v>1</v>
      </c>
      <c r="K156" s="35">
        <f ca="1"/>
        <v>0</v>
      </c>
      <c r="L156" s="35">
        <f ca="1"/>
        <v>1</v>
      </c>
      <c r="M156" s="35">
        <f ca="1"/>
        <v>0</v>
      </c>
      <c r="N156" s="35">
        <f ca="1"/>
        <v>44500.429535837771</v>
      </c>
      <c r="O156" s="35">
        <f ca="1"/>
        <v>0</v>
      </c>
      <c r="P156" s="35">
        <f ca="1"/>
        <v>139498.21543163244</v>
      </c>
      <c r="Q156" s="35">
        <f ca="1"/>
        <v>183998.6449674702</v>
      </c>
    </row>
    <row r="157" spans="8:17">
      <c r="H157" s="35">
        <v>155</v>
      </c>
      <c r="I157" s="35">
        <f ca="1"/>
        <v>0</v>
      </c>
      <c r="J157" s="35">
        <f ca="1"/>
        <v>0</v>
      </c>
      <c r="K157" s="35">
        <f ca="1"/>
        <v>0</v>
      </c>
      <c r="L157" s="35">
        <f ca="1"/>
        <v>0</v>
      </c>
      <c r="M157" s="35">
        <f ca="1"/>
        <v>0</v>
      </c>
      <c r="N157" s="35">
        <f ca="1"/>
        <v>0</v>
      </c>
      <c r="O157" s="35">
        <f ca="1"/>
        <v>0</v>
      </c>
      <c r="P157" s="35">
        <f ca="1"/>
        <v>0</v>
      </c>
      <c r="Q157" s="35">
        <f ca="1"/>
        <v>0</v>
      </c>
    </row>
    <row r="158" spans="8:17">
      <c r="H158" s="35">
        <v>156</v>
      </c>
      <c r="I158" s="35">
        <f ca="1"/>
        <v>0</v>
      </c>
      <c r="J158" s="35">
        <f ca="1"/>
        <v>0</v>
      </c>
      <c r="K158" s="35">
        <f ca="1"/>
        <v>0</v>
      </c>
      <c r="L158" s="35">
        <f ca="1"/>
        <v>0</v>
      </c>
      <c r="M158" s="35">
        <f ca="1"/>
        <v>0</v>
      </c>
      <c r="N158" s="35">
        <f ca="1"/>
        <v>0</v>
      </c>
      <c r="O158" s="35">
        <f ca="1"/>
        <v>0</v>
      </c>
      <c r="P158" s="35">
        <f ca="1"/>
        <v>0</v>
      </c>
      <c r="Q158" s="35">
        <f ca="1"/>
        <v>0</v>
      </c>
    </row>
    <row r="159" spans="8:17">
      <c r="H159" s="35">
        <v>157</v>
      </c>
      <c r="I159" s="35">
        <f ca="1"/>
        <v>0</v>
      </c>
      <c r="J159" s="35">
        <f ca="1"/>
        <v>1</v>
      </c>
      <c r="K159" s="35">
        <f ca="1"/>
        <v>0</v>
      </c>
      <c r="L159" s="35">
        <f ca="1"/>
        <v>1</v>
      </c>
      <c r="M159" s="35">
        <f ca="1"/>
        <v>0</v>
      </c>
      <c r="N159" s="35">
        <f ca="1"/>
        <v>59078.008230265492</v>
      </c>
      <c r="O159" s="35">
        <f ca="1"/>
        <v>0</v>
      </c>
      <c r="P159" s="35">
        <f ca="1"/>
        <v>186679.32379945356</v>
      </c>
      <c r="Q159" s="35">
        <f ca="1"/>
        <v>245757.33202971905</v>
      </c>
    </row>
    <row r="160" spans="8:17">
      <c r="H160" s="35">
        <v>158</v>
      </c>
      <c r="I160" s="35">
        <f ca="1"/>
        <v>0</v>
      </c>
      <c r="J160" s="35">
        <f ca="1"/>
        <v>0</v>
      </c>
      <c r="K160" s="35">
        <f ca="1"/>
        <v>0</v>
      </c>
      <c r="L160" s="35">
        <f ca="1"/>
        <v>1</v>
      </c>
      <c r="M160" s="35">
        <f ca="1"/>
        <v>0</v>
      </c>
      <c r="N160" s="35">
        <f ca="1"/>
        <v>0</v>
      </c>
      <c r="O160" s="35">
        <f ca="1"/>
        <v>0</v>
      </c>
      <c r="P160" s="35">
        <f ca="1"/>
        <v>103605.90846759269</v>
      </c>
      <c r="Q160" s="35">
        <f ca="1"/>
        <v>103605.90846759269</v>
      </c>
    </row>
    <row r="161" spans="8:17">
      <c r="H161" s="35">
        <v>159</v>
      </c>
      <c r="I161" s="35">
        <f ca="1"/>
        <v>0</v>
      </c>
      <c r="J161" s="35">
        <f ca="1"/>
        <v>0</v>
      </c>
      <c r="K161" s="35">
        <f ca="1"/>
        <v>0</v>
      </c>
      <c r="L161" s="35">
        <f ca="1"/>
        <v>0</v>
      </c>
      <c r="M161" s="35">
        <f ca="1"/>
        <v>0</v>
      </c>
      <c r="N161" s="35">
        <f ca="1"/>
        <v>0</v>
      </c>
      <c r="O161" s="35">
        <f ca="1"/>
        <v>0</v>
      </c>
      <c r="P161" s="35">
        <f ca="1"/>
        <v>0</v>
      </c>
      <c r="Q161" s="35">
        <f ca="1"/>
        <v>0</v>
      </c>
    </row>
    <row r="162" spans="8:17">
      <c r="H162" s="35">
        <v>160</v>
      </c>
      <c r="I162" s="35">
        <f ca="1"/>
        <v>0</v>
      </c>
      <c r="J162" s="35">
        <f ca="1"/>
        <v>0</v>
      </c>
      <c r="K162" s="35">
        <f ca="1"/>
        <v>0</v>
      </c>
      <c r="L162" s="35">
        <f ca="1"/>
        <v>0</v>
      </c>
      <c r="M162" s="35">
        <f ca="1"/>
        <v>0</v>
      </c>
      <c r="N162" s="35">
        <f ca="1"/>
        <v>0</v>
      </c>
      <c r="O162" s="35">
        <f ca="1"/>
        <v>0</v>
      </c>
      <c r="P162" s="35">
        <f ca="1"/>
        <v>0</v>
      </c>
      <c r="Q162" s="35">
        <f ca="1"/>
        <v>0</v>
      </c>
    </row>
    <row r="163" spans="8:17">
      <c r="H163" s="35">
        <v>161</v>
      </c>
      <c r="I163" s="35">
        <f ca="1"/>
        <v>1</v>
      </c>
      <c r="J163" s="35">
        <f ca="1"/>
        <v>1</v>
      </c>
      <c r="K163" s="35">
        <f ca="1"/>
        <v>0</v>
      </c>
      <c r="L163" s="35">
        <f ca="1"/>
        <v>1</v>
      </c>
      <c r="M163" s="35">
        <f ca="1"/>
        <v>13248.775464919738</v>
      </c>
      <c r="N163" s="35">
        <f ca="1"/>
        <v>30646.166204984915</v>
      </c>
      <c r="O163" s="35">
        <f ca="1"/>
        <v>0</v>
      </c>
      <c r="P163" s="35">
        <f ca="1"/>
        <v>189140.70763513105</v>
      </c>
      <c r="Q163" s="35">
        <f ca="1"/>
        <v>233035.64930503571</v>
      </c>
    </row>
    <row r="164" spans="8:17">
      <c r="H164" s="35">
        <v>162</v>
      </c>
      <c r="I164" s="35">
        <f ca="1"/>
        <v>0</v>
      </c>
      <c r="J164" s="35">
        <f ca="1"/>
        <v>0</v>
      </c>
      <c r="K164" s="35">
        <f ca="1"/>
        <v>0</v>
      </c>
      <c r="L164" s="35">
        <f ca="1"/>
        <v>1</v>
      </c>
      <c r="M164" s="35">
        <f ca="1"/>
        <v>0</v>
      </c>
      <c r="N164" s="35">
        <f ca="1"/>
        <v>0</v>
      </c>
      <c r="O164" s="35">
        <f ca="1"/>
        <v>0</v>
      </c>
      <c r="P164" s="35">
        <f ca="1"/>
        <v>174358.62040591618</v>
      </c>
      <c r="Q164" s="35">
        <f ca="1"/>
        <v>174358.62040591618</v>
      </c>
    </row>
    <row r="165" spans="8:17">
      <c r="H165" s="35">
        <v>163</v>
      </c>
      <c r="I165" s="35">
        <f ca="1"/>
        <v>0</v>
      </c>
      <c r="J165" s="35">
        <f ca="1"/>
        <v>0</v>
      </c>
      <c r="K165" s="35">
        <f ca="1"/>
        <v>0</v>
      </c>
      <c r="L165" s="35">
        <f ca="1"/>
        <v>1</v>
      </c>
      <c r="M165" s="35">
        <f ca="1"/>
        <v>0</v>
      </c>
      <c r="N165" s="35">
        <f ca="1"/>
        <v>0</v>
      </c>
      <c r="O165" s="35">
        <f ca="1"/>
        <v>0</v>
      </c>
      <c r="P165" s="35">
        <f ca="1"/>
        <v>100787.28576226196</v>
      </c>
      <c r="Q165" s="35">
        <f ca="1"/>
        <v>100787.28576226196</v>
      </c>
    </row>
    <row r="166" spans="8:17">
      <c r="H166" s="35">
        <v>164</v>
      </c>
      <c r="I166" s="35">
        <f ca="1"/>
        <v>0</v>
      </c>
      <c r="J166" s="35">
        <f ca="1"/>
        <v>0</v>
      </c>
      <c r="K166" s="35">
        <f ca="1"/>
        <v>0</v>
      </c>
      <c r="L166" s="35">
        <f ca="1"/>
        <v>1</v>
      </c>
      <c r="M166" s="35">
        <f ca="1"/>
        <v>0</v>
      </c>
      <c r="N166" s="35">
        <f ca="1"/>
        <v>0</v>
      </c>
      <c r="O166" s="35">
        <f ca="1"/>
        <v>0</v>
      </c>
      <c r="P166" s="35">
        <f ca="1"/>
        <v>60324.872241878467</v>
      </c>
      <c r="Q166" s="35">
        <f ca="1"/>
        <v>60324.872241878467</v>
      </c>
    </row>
    <row r="167" spans="8:17">
      <c r="H167" s="35">
        <v>165</v>
      </c>
      <c r="I167" s="35">
        <f ca="1"/>
        <v>1</v>
      </c>
      <c r="J167" s="35">
        <f ca="1"/>
        <v>0</v>
      </c>
      <c r="K167" s="35">
        <f ca="1"/>
        <v>0</v>
      </c>
      <c r="L167" s="35">
        <f ca="1"/>
        <v>1</v>
      </c>
      <c r="M167" s="35">
        <f ca="1"/>
        <v>9629.4098501261869</v>
      </c>
      <c r="N167" s="35">
        <f ca="1"/>
        <v>0</v>
      </c>
      <c r="O167" s="35">
        <f ca="1"/>
        <v>0</v>
      </c>
      <c r="P167" s="35">
        <f ca="1"/>
        <v>180606.38445567823</v>
      </c>
      <c r="Q167" s="35">
        <f ca="1"/>
        <v>190235.79430580442</v>
      </c>
    </row>
    <row r="168" spans="8:17">
      <c r="H168" s="35">
        <v>166</v>
      </c>
      <c r="I168" s="35">
        <f ca="1"/>
        <v>0</v>
      </c>
      <c r="J168" s="35">
        <f ca="1"/>
        <v>0</v>
      </c>
      <c r="K168" s="35">
        <f ca="1"/>
        <v>0</v>
      </c>
      <c r="L168" s="35">
        <f ca="1"/>
        <v>1</v>
      </c>
      <c r="M168" s="35">
        <f ca="1"/>
        <v>0</v>
      </c>
      <c r="N168" s="35">
        <f ca="1"/>
        <v>0</v>
      </c>
      <c r="O168" s="35">
        <f ca="1"/>
        <v>0</v>
      </c>
      <c r="P168" s="35">
        <f ca="1"/>
        <v>81221.611397715023</v>
      </c>
      <c r="Q168" s="35">
        <f ca="1"/>
        <v>81221.611397715023</v>
      </c>
    </row>
    <row r="169" spans="8:17">
      <c r="H169" s="35">
        <v>167</v>
      </c>
      <c r="I169" s="35">
        <f ca="1"/>
        <v>0</v>
      </c>
      <c r="J169" s="35">
        <f ca="1"/>
        <v>0</v>
      </c>
      <c r="K169" s="35">
        <f ca="1"/>
        <v>0</v>
      </c>
      <c r="L169" s="35">
        <f ca="1"/>
        <v>1</v>
      </c>
      <c r="M169" s="35">
        <f ca="1"/>
        <v>0</v>
      </c>
      <c r="N169" s="35">
        <f ca="1"/>
        <v>0</v>
      </c>
      <c r="O169" s="35">
        <f ca="1"/>
        <v>0</v>
      </c>
      <c r="P169" s="35">
        <f ca="1"/>
        <v>169115.88301606785</v>
      </c>
      <c r="Q169" s="35">
        <f ca="1"/>
        <v>169115.88301606785</v>
      </c>
    </row>
    <row r="170" spans="8:17">
      <c r="H170" s="35">
        <v>168</v>
      </c>
      <c r="I170" s="35">
        <f ca="1"/>
        <v>1</v>
      </c>
      <c r="J170" s="35">
        <f ca="1"/>
        <v>1</v>
      </c>
      <c r="K170" s="35">
        <f ca="1"/>
        <v>0</v>
      </c>
      <c r="L170" s="35">
        <f ca="1"/>
        <v>1</v>
      </c>
      <c r="M170" s="35">
        <f ca="1"/>
        <v>2830.4768720410584</v>
      </c>
      <c r="N170" s="35">
        <f ca="1"/>
        <v>40071.372270410895</v>
      </c>
      <c r="O170" s="35">
        <f ca="1"/>
        <v>0</v>
      </c>
      <c r="P170" s="35">
        <f ca="1"/>
        <v>129327.44014201114</v>
      </c>
      <c r="Q170" s="35">
        <f ca="1"/>
        <v>172229.2892844631</v>
      </c>
    </row>
    <row r="171" spans="8:17">
      <c r="H171" s="35">
        <v>169</v>
      </c>
      <c r="I171" s="35">
        <f ca="1"/>
        <v>0</v>
      </c>
      <c r="J171" s="35">
        <f ca="1"/>
        <v>0</v>
      </c>
      <c r="K171" s="35">
        <f ca="1"/>
        <v>0</v>
      </c>
      <c r="L171" s="35">
        <f ca="1"/>
        <v>1</v>
      </c>
      <c r="M171" s="35">
        <f ca="1"/>
        <v>0</v>
      </c>
      <c r="N171" s="35">
        <f ca="1"/>
        <v>0</v>
      </c>
      <c r="O171" s="35">
        <f ca="1"/>
        <v>0</v>
      </c>
      <c r="P171" s="35">
        <f ca="1"/>
        <v>162554.88990862895</v>
      </c>
      <c r="Q171" s="35">
        <f ca="1"/>
        <v>162554.88990862895</v>
      </c>
    </row>
    <row r="172" spans="8:17">
      <c r="H172" s="35">
        <v>170</v>
      </c>
      <c r="I172" s="35">
        <f ca="1"/>
        <v>0</v>
      </c>
      <c r="J172" s="35">
        <f ca="1"/>
        <v>0</v>
      </c>
      <c r="K172" s="35">
        <f ca="1"/>
        <v>0</v>
      </c>
      <c r="L172" s="35">
        <f ca="1"/>
        <v>1</v>
      </c>
      <c r="M172" s="35">
        <f ca="1"/>
        <v>0</v>
      </c>
      <c r="N172" s="35">
        <f ca="1"/>
        <v>0</v>
      </c>
      <c r="O172" s="35">
        <f ca="1"/>
        <v>0</v>
      </c>
      <c r="P172" s="35">
        <f ca="1"/>
        <v>140956.1064690084</v>
      </c>
      <c r="Q172" s="35">
        <f ca="1"/>
        <v>140956.1064690084</v>
      </c>
    </row>
    <row r="173" spans="8:17">
      <c r="H173" s="35">
        <v>171</v>
      </c>
      <c r="I173" s="35">
        <f ca="1"/>
        <v>1</v>
      </c>
      <c r="J173" s="35">
        <f ca="1"/>
        <v>0</v>
      </c>
      <c r="K173" s="35">
        <f ca="1"/>
        <v>1</v>
      </c>
      <c r="L173" s="35">
        <f ca="1"/>
        <v>1</v>
      </c>
      <c r="M173" s="35">
        <f ca="1"/>
        <v>3132.4407425409277</v>
      </c>
      <c r="N173" s="35">
        <f ca="1"/>
        <v>0</v>
      </c>
      <c r="O173" s="35">
        <f ca="1"/>
        <v>401.70618270375337</v>
      </c>
      <c r="P173" s="35">
        <f ca="1"/>
        <v>197629.47009795584</v>
      </c>
      <c r="Q173" s="35">
        <f ca="1"/>
        <v>201163.61702320052</v>
      </c>
    </row>
    <row r="174" spans="8:17">
      <c r="H174" s="35">
        <v>172</v>
      </c>
      <c r="I174" s="35">
        <f ca="1"/>
        <v>0</v>
      </c>
      <c r="J174" s="35">
        <f ca="1"/>
        <v>1</v>
      </c>
      <c r="K174" s="35">
        <f ca="1"/>
        <v>0</v>
      </c>
      <c r="L174" s="35">
        <f ca="1"/>
        <v>0</v>
      </c>
      <c r="M174" s="35">
        <f ca="1"/>
        <v>0</v>
      </c>
      <c r="N174" s="35">
        <f ca="1"/>
        <v>30205.681636074449</v>
      </c>
      <c r="O174" s="35">
        <f ca="1"/>
        <v>0</v>
      </c>
      <c r="P174" s="35">
        <f ca="1"/>
        <v>0</v>
      </c>
      <c r="Q174" s="35">
        <f ca="1"/>
        <v>30205.681636074449</v>
      </c>
    </row>
    <row r="175" spans="8:17">
      <c r="H175" s="35">
        <v>173</v>
      </c>
      <c r="I175" s="35">
        <f ca="1"/>
        <v>0</v>
      </c>
      <c r="J175" s="35">
        <f ca="1"/>
        <v>0</v>
      </c>
      <c r="K175" s="35">
        <f ca="1"/>
        <v>0</v>
      </c>
      <c r="L175" s="35">
        <f ca="1"/>
        <v>1</v>
      </c>
      <c r="M175" s="35">
        <f ca="1"/>
        <v>0</v>
      </c>
      <c r="N175" s="35">
        <f ca="1"/>
        <v>0</v>
      </c>
      <c r="O175" s="35">
        <f ca="1"/>
        <v>0</v>
      </c>
      <c r="P175" s="35">
        <f ca="1"/>
        <v>165124.80853685338</v>
      </c>
      <c r="Q175" s="35">
        <f ca="1"/>
        <v>165124.80853685338</v>
      </c>
    </row>
    <row r="176" spans="8:17">
      <c r="H176" s="35">
        <v>174</v>
      </c>
      <c r="I176" s="35">
        <f ca="1"/>
        <v>0</v>
      </c>
      <c r="J176" s="35">
        <f ca="1"/>
        <v>0</v>
      </c>
      <c r="K176" s="35">
        <f ca="1"/>
        <v>0</v>
      </c>
      <c r="L176" s="35">
        <f ca="1"/>
        <v>0</v>
      </c>
      <c r="M176" s="35">
        <f ca="1"/>
        <v>0</v>
      </c>
      <c r="N176" s="35">
        <f ca="1"/>
        <v>0</v>
      </c>
      <c r="O176" s="35">
        <f ca="1"/>
        <v>0</v>
      </c>
      <c r="P176" s="35">
        <f ca="1"/>
        <v>0</v>
      </c>
      <c r="Q176" s="35">
        <f ca="1"/>
        <v>0</v>
      </c>
    </row>
    <row r="177" spans="8:17">
      <c r="H177" s="35">
        <v>175</v>
      </c>
      <c r="I177" s="35">
        <f ca="1"/>
        <v>0</v>
      </c>
      <c r="J177" s="35">
        <f ca="1"/>
        <v>0</v>
      </c>
      <c r="K177" s="35">
        <f ca="1"/>
        <v>0</v>
      </c>
      <c r="L177" s="35">
        <f ca="1"/>
        <v>1</v>
      </c>
      <c r="M177" s="35">
        <f ca="1"/>
        <v>0</v>
      </c>
      <c r="N177" s="35">
        <f ca="1"/>
        <v>0</v>
      </c>
      <c r="O177" s="35">
        <f ca="1"/>
        <v>0</v>
      </c>
      <c r="P177" s="35">
        <f ca="1"/>
        <v>152260.62749441509</v>
      </c>
      <c r="Q177" s="35">
        <f ca="1"/>
        <v>152260.62749441509</v>
      </c>
    </row>
    <row r="178" spans="8:17">
      <c r="H178" s="35">
        <v>176</v>
      </c>
      <c r="I178" s="35">
        <f ca="1"/>
        <v>0</v>
      </c>
      <c r="J178" s="35">
        <f ca="1"/>
        <v>0</v>
      </c>
      <c r="K178" s="35">
        <f ca="1"/>
        <v>0</v>
      </c>
      <c r="L178" s="35">
        <f ca="1"/>
        <v>1</v>
      </c>
      <c r="M178" s="35">
        <f ca="1"/>
        <v>0</v>
      </c>
      <c r="N178" s="35">
        <f ca="1"/>
        <v>0</v>
      </c>
      <c r="O178" s="35">
        <f ca="1"/>
        <v>0</v>
      </c>
      <c r="P178" s="35">
        <f ca="1"/>
        <v>158436.57329675637</v>
      </c>
      <c r="Q178" s="35">
        <f ca="1"/>
        <v>158436.57329675637</v>
      </c>
    </row>
    <row r="179" spans="8:17">
      <c r="H179" s="35">
        <v>177</v>
      </c>
      <c r="I179" s="35">
        <f ca="1"/>
        <v>0</v>
      </c>
      <c r="J179" s="35">
        <f ca="1"/>
        <v>0</v>
      </c>
      <c r="K179" s="35">
        <f ca="1"/>
        <v>1</v>
      </c>
      <c r="L179" s="35">
        <f ca="1"/>
        <v>1</v>
      </c>
      <c r="M179" s="35">
        <f ca="1"/>
        <v>0</v>
      </c>
      <c r="N179" s="35">
        <f ca="1"/>
        <v>0</v>
      </c>
      <c r="O179" s="35">
        <f ca="1"/>
        <v>118.9632821114963</v>
      </c>
      <c r="P179" s="35">
        <f ca="1"/>
        <v>183520.09593859917</v>
      </c>
      <c r="Q179" s="35">
        <f ca="1"/>
        <v>183639.05922071068</v>
      </c>
    </row>
    <row r="180" spans="8:17">
      <c r="H180" s="35">
        <v>178</v>
      </c>
      <c r="I180" s="35">
        <f ca="1"/>
        <v>0</v>
      </c>
      <c r="J180" s="35">
        <f ca="1"/>
        <v>1</v>
      </c>
      <c r="K180" s="35">
        <f ca="1"/>
        <v>0</v>
      </c>
      <c r="L180" s="35">
        <f ca="1"/>
        <v>1</v>
      </c>
      <c r="M180" s="35">
        <f ca="1"/>
        <v>0</v>
      </c>
      <c r="N180" s="35">
        <f ca="1"/>
        <v>24855.109981417376</v>
      </c>
      <c r="O180" s="35">
        <f ca="1"/>
        <v>0</v>
      </c>
      <c r="P180" s="35">
        <f ca="1"/>
        <v>111102.71829999174</v>
      </c>
      <c r="Q180" s="35">
        <f ca="1"/>
        <v>135957.82828140911</v>
      </c>
    </row>
    <row r="181" spans="8:17">
      <c r="H181" s="35">
        <v>179</v>
      </c>
      <c r="I181" s="35">
        <f ca="1"/>
        <v>0</v>
      </c>
      <c r="J181" s="35">
        <f ca="1"/>
        <v>0</v>
      </c>
      <c r="K181" s="35">
        <f ca="1"/>
        <v>0</v>
      </c>
      <c r="L181" s="35">
        <f ca="1"/>
        <v>1</v>
      </c>
      <c r="M181" s="35">
        <f ca="1"/>
        <v>0</v>
      </c>
      <c r="N181" s="35">
        <f ca="1"/>
        <v>0</v>
      </c>
      <c r="O181" s="35">
        <f ca="1"/>
        <v>0</v>
      </c>
      <c r="P181" s="35">
        <f ca="1"/>
        <v>204956.72556876039</v>
      </c>
      <c r="Q181" s="35">
        <f ca="1"/>
        <v>204956.72556876039</v>
      </c>
    </row>
    <row r="182" spans="8:17">
      <c r="H182" s="35">
        <v>180</v>
      </c>
      <c r="I182" s="35">
        <f ca="1"/>
        <v>1</v>
      </c>
      <c r="J182" s="35">
        <f ca="1"/>
        <v>0</v>
      </c>
      <c r="K182" s="35">
        <f ca="1"/>
        <v>0</v>
      </c>
      <c r="L182" s="35">
        <f ca="1"/>
        <v>1</v>
      </c>
      <c r="M182" s="35">
        <f ca="1"/>
        <v>15926.105794816664</v>
      </c>
      <c r="N182" s="35">
        <f ca="1"/>
        <v>0</v>
      </c>
      <c r="O182" s="35">
        <f ca="1"/>
        <v>0</v>
      </c>
      <c r="P182" s="35">
        <f ca="1"/>
        <v>108075.33362553612</v>
      </c>
      <c r="Q182" s="35">
        <f ca="1"/>
        <v>124001.43942035278</v>
      </c>
    </row>
    <row r="183" spans="8:17">
      <c r="H183" s="35">
        <v>181</v>
      </c>
      <c r="I183" s="35">
        <f ca="1"/>
        <v>1</v>
      </c>
      <c r="J183" s="35">
        <f ca="1"/>
        <v>1</v>
      </c>
      <c r="K183" s="35">
        <f ca="1"/>
        <v>0</v>
      </c>
      <c r="L183" s="35">
        <f ca="1"/>
        <v>1</v>
      </c>
      <c r="M183" s="35">
        <f ca="1"/>
        <v>7743.5520442318748</v>
      </c>
      <c r="N183" s="35">
        <f ca="1"/>
        <v>11973.316593373211</v>
      </c>
      <c r="O183" s="35">
        <f ca="1"/>
        <v>0</v>
      </c>
      <c r="P183" s="35">
        <f ca="1"/>
        <v>105137.97357259663</v>
      </c>
      <c r="Q183" s="35">
        <f ca="1"/>
        <v>124854.84221020172</v>
      </c>
    </row>
    <row r="184" spans="8:17">
      <c r="H184" s="35">
        <v>182</v>
      </c>
      <c r="I184" s="35">
        <f ca="1"/>
        <v>0</v>
      </c>
      <c r="J184" s="35">
        <f ca="1"/>
        <v>0</v>
      </c>
      <c r="K184" s="35">
        <f ca="1"/>
        <v>0</v>
      </c>
      <c r="L184" s="35">
        <f ca="1"/>
        <v>0</v>
      </c>
      <c r="M184" s="35">
        <f ca="1"/>
        <v>0</v>
      </c>
      <c r="N184" s="35">
        <f ca="1"/>
        <v>0</v>
      </c>
      <c r="O184" s="35">
        <f ca="1"/>
        <v>0</v>
      </c>
      <c r="P184" s="35">
        <f ca="1"/>
        <v>0</v>
      </c>
      <c r="Q184" s="35">
        <f ca="1"/>
        <v>0</v>
      </c>
    </row>
    <row r="185" spans="8:17">
      <c r="H185" s="35">
        <v>183</v>
      </c>
      <c r="I185" s="35">
        <f ca="1"/>
        <v>0</v>
      </c>
      <c r="J185" s="35">
        <f ca="1"/>
        <v>0</v>
      </c>
      <c r="K185" s="35">
        <f ca="1"/>
        <v>0</v>
      </c>
      <c r="L185" s="35">
        <f ca="1"/>
        <v>1</v>
      </c>
      <c r="M185" s="35">
        <f ca="1"/>
        <v>0</v>
      </c>
      <c r="N185" s="35">
        <f ca="1"/>
        <v>0</v>
      </c>
      <c r="O185" s="35">
        <f ca="1"/>
        <v>0</v>
      </c>
      <c r="P185" s="35">
        <f ca="1"/>
        <v>153307.50570019067</v>
      </c>
      <c r="Q185" s="35">
        <f ca="1"/>
        <v>153307.50570019067</v>
      </c>
    </row>
    <row r="186" spans="8:17">
      <c r="H186" s="35">
        <v>184</v>
      </c>
      <c r="I186" s="35">
        <f ca="1"/>
        <v>0</v>
      </c>
      <c r="J186" s="35">
        <f ca="1"/>
        <v>1</v>
      </c>
      <c r="K186" s="35">
        <f ca="1"/>
        <v>0</v>
      </c>
      <c r="L186" s="35">
        <f ca="1"/>
        <v>0</v>
      </c>
      <c r="M186" s="35">
        <f ca="1"/>
        <v>0</v>
      </c>
      <c r="N186" s="35">
        <f ca="1"/>
        <v>44806.219436927728</v>
      </c>
      <c r="O186" s="35">
        <f ca="1"/>
        <v>0</v>
      </c>
      <c r="P186" s="35">
        <f ca="1"/>
        <v>0</v>
      </c>
      <c r="Q186" s="35">
        <f ca="1"/>
        <v>44806.219436927728</v>
      </c>
    </row>
    <row r="187" spans="8:17">
      <c r="H187" s="35">
        <v>185</v>
      </c>
      <c r="I187" s="35">
        <f ca="1"/>
        <v>0</v>
      </c>
      <c r="J187" s="35">
        <f ca="1"/>
        <v>0</v>
      </c>
      <c r="K187" s="35">
        <f ca="1"/>
        <v>1</v>
      </c>
      <c r="L187" s="35">
        <f ca="1"/>
        <v>1</v>
      </c>
      <c r="M187" s="35">
        <f ca="1"/>
        <v>0</v>
      </c>
      <c r="N187" s="35">
        <f ca="1"/>
        <v>0</v>
      </c>
      <c r="O187" s="35">
        <f ca="1"/>
        <v>591.39247314160468</v>
      </c>
      <c r="P187" s="35">
        <f ca="1"/>
        <v>172928.86217125872</v>
      </c>
      <c r="Q187" s="35">
        <f ca="1"/>
        <v>173520.25464440032</v>
      </c>
    </row>
    <row r="188" spans="8:17">
      <c r="H188" s="35">
        <v>186</v>
      </c>
      <c r="I188" s="35">
        <f ca="1"/>
        <v>0</v>
      </c>
      <c r="J188" s="35">
        <f ca="1"/>
        <v>1</v>
      </c>
      <c r="K188" s="35">
        <f ca="1"/>
        <v>0</v>
      </c>
      <c r="L188" s="35">
        <f ca="1"/>
        <v>1</v>
      </c>
      <c r="M188" s="35">
        <f ca="1"/>
        <v>0</v>
      </c>
      <c r="N188" s="35">
        <f ca="1"/>
        <v>51067.402806366954</v>
      </c>
      <c r="O188" s="35">
        <f ca="1"/>
        <v>0</v>
      </c>
      <c r="P188" s="35">
        <f ca="1"/>
        <v>187215.52204320233</v>
      </c>
      <c r="Q188" s="35">
        <f ca="1"/>
        <v>238282.92484956927</v>
      </c>
    </row>
    <row r="189" spans="8:17">
      <c r="H189" s="35">
        <v>187</v>
      </c>
      <c r="I189" s="35">
        <f ca="1"/>
        <v>1</v>
      </c>
      <c r="J189" s="35">
        <f ca="1"/>
        <v>1</v>
      </c>
      <c r="K189" s="35">
        <f ca="1"/>
        <v>1</v>
      </c>
      <c r="L189" s="35">
        <f ca="1"/>
        <v>1</v>
      </c>
      <c r="M189" s="35">
        <f ca="1"/>
        <v>17651.976881737195</v>
      </c>
      <c r="N189" s="35">
        <f ca="1"/>
        <v>68888.907483285366</v>
      </c>
      <c r="O189" s="35">
        <f ca="1"/>
        <v>369.9648514228661</v>
      </c>
      <c r="P189" s="35">
        <f ca="1"/>
        <v>166032.41932560506</v>
      </c>
      <c r="Q189" s="35">
        <f ca="1"/>
        <v>252943.2685420505</v>
      </c>
    </row>
    <row r="190" spans="8:17">
      <c r="H190" s="35">
        <v>188</v>
      </c>
      <c r="I190" s="35">
        <f ca="1"/>
        <v>0</v>
      </c>
      <c r="J190" s="35">
        <f ca="1"/>
        <v>0</v>
      </c>
      <c r="K190" s="35">
        <f ca="1"/>
        <v>0</v>
      </c>
      <c r="L190" s="35">
        <f ca="1"/>
        <v>1</v>
      </c>
      <c r="M190" s="35">
        <f ca="1"/>
        <v>0</v>
      </c>
      <c r="N190" s="35">
        <f ca="1"/>
        <v>0</v>
      </c>
      <c r="O190" s="35">
        <f ca="1"/>
        <v>0</v>
      </c>
      <c r="P190" s="35">
        <f ca="1"/>
        <v>173372.45529997876</v>
      </c>
      <c r="Q190" s="35">
        <f ca="1"/>
        <v>173372.45529997876</v>
      </c>
    </row>
    <row r="191" spans="8:17">
      <c r="H191" s="35">
        <v>189</v>
      </c>
      <c r="I191" s="35">
        <f ca="1"/>
        <v>1</v>
      </c>
      <c r="J191" s="35">
        <f ca="1"/>
        <v>0</v>
      </c>
      <c r="K191" s="35">
        <f ca="1"/>
        <v>0</v>
      </c>
      <c r="L191" s="35">
        <f ca="1"/>
        <v>1</v>
      </c>
      <c r="M191" s="35">
        <f ca="1"/>
        <v>14930.159949633649</v>
      </c>
      <c r="N191" s="35">
        <f ca="1"/>
        <v>0</v>
      </c>
      <c r="O191" s="35">
        <f ca="1"/>
        <v>0</v>
      </c>
      <c r="P191" s="35">
        <f ca="1"/>
        <v>139112.04473843653</v>
      </c>
      <c r="Q191" s="35">
        <f ca="1"/>
        <v>154042.20468807017</v>
      </c>
    </row>
    <row r="192" spans="8:17">
      <c r="H192" s="35">
        <v>190</v>
      </c>
      <c r="I192" s="35">
        <f ca="1"/>
        <v>0</v>
      </c>
      <c r="J192" s="35">
        <f ca="1"/>
        <v>0</v>
      </c>
      <c r="K192" s="35">
        <f ca="1"/>
        <v>0</v>
      </c>
      <c r="L192" s="35">
        <f ca="1"/>
        <v>1</v>
      </c>
      <c r="M192" s="35">
        <f ca="1"/>
        <v>0</v>
      </c>
      <c r="N192" s="35">
        <f ca="1"/>
        <v>0</v>
      </c>
      <c r="O192" s="35">
        <f ca="1"/>
        <v>0</v>
      </c>
      <c r="P192" s="35">
        <f ca="1"/>
        <v>128224.08333299076</v>
      </c>
      <c r="Q192" s="35">
        <f ca="1"/>
        <v>128224.08333299076</v>
      </c>
    </row>
    <row r="193" spans="8:17">
      <c r="H193" s="35">
        <v>191</v>
      </c>
      <c r="I193" s="35">
        <f ca="1"/>
        <v>0</v>
      </c>
      <c r="J193" s="35">
        <f ca="1"/>
        <v>0</v>
      </c>
      <c r="K193" s="35">
        <f ca="1"/>
        <v>0</v>
      </c>
      <c r="L193" s="35">
        <f ca="1"/>
        <v>1</v>
      </c>
      <c r="M193" s="35">
        <f ca="1"/>
        <v>0</v>
      </c>
      <c r="N193" s="35">
        <f ca="1"/>
        <v>0</v>
      </c>
      <c r="O193" s="35">
        <f ca="1"/>
        <v>0</v>
      </c>
      <c r="P193" s="35">
        <f ca="1"/>
        <v>127863.41761153184</v>
      </c>
      <c r="Q193" s="35">
        <f ca="1"/>
        <v>127863.41761153184</v>
      </c>
    </row>
    <row r="194" spans="8:17">
      <c r="H194" s="35">
        <v>192</v>
      </c>
      <c r="I194" s="35">
        <f ca="1"/>
        <v>0</v>
      </c>
      <c r="J194" s="35">
        <f ca="1"/>
        <v>0</v>
      </c>
      <c r="K194" s="35">
        <f ca="1"/>
        <v>1</v>
      </c>
      <c r="L194" s="35">
        <f ca="1"/>
        <v>1</v>
      </c>
      <c r="M194" s="35">
        <f ca="1"/>
        <v>0</v>
      </c>
      <c r="N194" s="35">
        <f ca="1"/>
        <v>0</v>
      </c>
      <c r="O194" s="35">
        <f ca="1"/>
        <v>46.297745776157107</v>
      </c>
      <c r="P194" s="35">
        <f ca="1"/>
        <v>159284.4688348214</v>
      </c>
      <c r="Q194" s="35">
        <f ca="1"/>
        <v>159330.76658059756</v>
      </c>
    </row>
    <row r="195" spans="8:17">
      <c r="H195" s="35">
        <v>193</v>
      </c>
      <c r="I195" s="35">
        <f ca="1"/>
        <v>0</v>
      </c>
      <c r="J195" s="35">
        <f ca="1"/>
        <v>0</v>
      </c>
      <c r="K195" s="35">
        <f ca="1"/>
        <v>0</v>
      </c>
      <c r="L195" s="35">
        <f ca="1"/>
        <v>1</v>
      </c>
      <c r="M195" s="35">
        <f ca="1"/>
        <v>0</v>
      </c>
      <c r="N195" s="35">
        <f ca="1"/>
        <v>0</v>
      </c>
      <c r="O195" s="35">
        <f ca="1"/>
        <v>0</v>
      </c>
      <c r="P195" s="35">
        <f ca="1"/>
        <v>140128.61488762934</v>
      </c>
      <c r="Q195" s="35">
        <f ca="1"/>
        <v>140128.61488762934</v>
      </c>
    </row>
    <row r="196" spans="8:17">
      <c r="H196" s="35">
        <v>194</v>
      </c>
      <c r="I196" s="35">
        <f ca="1"/>
        <v>0</v>
      </c>
      <c r="J196" s="35">
        <f ca="1"/>
        <v>0</v>
      </c>
      <c r="K196" s="35">
        <f ca="1"/>
        <v>0</v>
      </c>
      <c r="L196" s="35">
        <f ca="1"/>
        <v>1</v>
      </c>
      <c r="M196" s="35">
        <f ca="1"/>
        <v>0</v>
      </c>
      <c r="N196" s="35">
        <f ca="1"/>
        <v>0</v>
      </c>
      <c r="O196" s="35">
        <f ca="1"/>
        <v>0</v>
      </c>
      <c r="P196" s="35">
        <f ca="1"/>
        <v>171997.82667247945</v>
      </c>
      <c r="Q196" s="35">
        <f ca="1"/>
        <v>171997.82667247945</v>
      </c>
    </row>
    <row r="197" spans="8:17">
      <c r="H197" s="35">
        <v>195</v>
      </c>
      <c r="I197" s="35">
        <f ca="1"/>
        <v>0</v>
      </c>
      <c r="J197" s="35">
        <f ca="1"/>
        <v>1</v>
      </c>
      <c r="K197" s="35">
        <f ca="1"/>
        <v>0</v>
      </c>
      <c r="L197" s="35">
        <f ca="1"/>
        <v>1</v>
      </c>
      <c r="M197" s="35">
        <f ca="1"/>
        <v>0</v>
      </c>
      <c r="N197" s="35">
        <f ca="1"/>
        <v>66210.01029867238</v>
      </c>
      <c r="O197" s="35">
        <f ca="1"/>
        <v>0</v>
      </c>
      <c r="P197" s="35">
        <f ca="1"/>
        <v>131054.97752060497</v>
      </c>
      <c r="Q197" s="35">
        <f ca="1"/>
        <v>197264.98781927733</v>
      </c>
    </row>
    <row r="198" spans="8:17">
      <c r="H198" s="35">
        <v>196</v>
      </c>
      <c r="I198" s="35">
        <f ca="1"/>
        <v>0</v>
      </c>
      <c r="J198" s="35">
        <f ca="1"/>
        <v>0</v>
      </c>
      <c r="K198" s="35">
        <f ca="1"/>
        <v>1</v>
      </c>
      <c r="L198" s="35">
        <f ca="1"/>
        <v>1</v>
      </c>
      <c r="M198" s="35">
        <f ca="1"/>
        <v>0</v>
      </c>
      <c r="N198" s="35">
        <f ca="1"/>
        <v>0</v>
      </c>
      <c r="O198" s="35">
        <f ca="1"/>
        <v>55.526836942409851</v>
      </c>
      <c r="P198" s="35">
        <f ca="1"/>
        <v>124682.67240038051</v>
      </c>
      <c r="Q198" s="35">
        <f ca="1"/>
        <v>124738.19923732293</v>
      </c>
    </row>
    <row r="199" spans="8:17">
      <c r="H199" s="35">
        <v>197</v>
      </c>
      <c r="I199" s="35">
        <f ca="1"/>
        <v>0</v>
      </c>
      <c r="J199" s="35">
        <f ca="1"/>
        <v>0</v>
      </c>
      <c r="K199" s="35">
        <f ca="1"/>
        <v>0</v>
      </c>
      <c r="L199" s="35">
        <f ca="1"/>
        <v>1</v>
      </c>
      <c r="M199" s="35">
        <f ca="1"/>
        <v>0</v>
      </c>
      <c r="N199" s="35">
        <f ca="1"/>
        <v>0</v>
      </c>
      <c r="O199" s="35">
        <f ca="1"/>
        <v>0</v>
      </c>
      <c r="P199" s="35">
        <f ca="1"/>
        <v>126167.96540153711</v>
      </c>
      <c r="Q199" s="35">
        <f ca="1"/>
        <v>126167.96540153711</v>
      </c>
    </row>
    <row r="200" spans="8:17">
      <c r="H200" s="35">
        <v>198</v>
      </c>
      <c r="I200" s="35">
        <f ca="1"/>
        <v>0</v>
      </c>
      <c r="J200" s="35">
        <f ca="1"/>
        <v>0</v>
      </c>
      <c r="K200" s="35">
        <f ca="1"/>
        <v>0</v>
      </c>
      <c r="L200" s="35">
        <f ca="1"/>
        <v>1</v>
      </c>
      <c r="M200" s="35">
        <f ca="1"/>
        <v>0</v>
      </c>
      <c r="N200" s="35">
        <f ca="1"/>
        <v>0</v>
      </c>
      <c r="O200" s="35">
        <f ca="1"/>
        <v>0</v>
      </c>
      <c r="P200" s="35">
        <f ca="1"/>
        <v>166529.34645093832</v>
      </c>
      <c r="Q200" s="35">
        <f ca="1"/>
        <v>166529.34645093832</v>
      </c>
    </row>
    <row r="201" spans="8:17">
      <c r="H201" s="35">
        <v>199</v>
      </c>
      <c r="I201" s="35">
        <f ca="1"/>
        <v>0</v>
      </c>
      <c r="J201" s="35">
        <f ca="1"/>
        <v>0</v>
      </c>
      <c r="K201" s="35">
        <f ca="1"/>
        <v>0</v>
      </c>
      <c r="L201" s="35">
        <f ca="1"/>
        <v>1</v>
      </c>
      <c r="M201" s="35">
        <f ca="1"/>
        <v>0</v>
      </c>
      <c r="N201" s="35">
        <f ca="1"/>
        <v>0</v>
      </c>
      <c r="O201" s="35">
        <f ca="1"/>
        <v>0</v>
      </c>
      <c r="P201" s="35">
        <f ca="1"/>
        <v>65999.069455436751</v>
      </c>
      <c r="Q201" s="35">
        <f ca="1"/>
        <v>65999.069455436751</v>
      </c>
    </row>
    <row r="202" spans="8:17">
      <c r="H202" s="35">
        <v>200</v>
      </c>
      <c r="I202" s="35">
        <f ca="1"/>
        <v>0</v>
      </c>
      <c r="J202" s="35">
        <f ca="1"/>
        <v>1</v>
      </c>
      <c r="K202" s="35">
        <f ca="1"/>
        <v>0</v>
      </c>
      <c r="L202" s="35">
        <f ca="1"/>
        <v>1</v>
      </c>
      <c r="M202" s="35">
        <f ca="1"/>
        <v>0</v>
      </c>
      <c r="N202" s="35">
        <f ca="1"/>
        <v>33424.145467648974</v>
      </c>
      <c r="O202" s="35">
        <f ca="1"/>
        <v>0</v>
      </c>
      <c r="P202" s="35">
        <f ca="1"/>
        <v>192056.07653415125</v>
      </c>
      <c r="Q202" s="35">
        <f ca="1"/>
        <v>225480.22200180023</v>
      </c>
    </row>
    <row r="203" spans="8:17">
      <c r="H203" s="35">
        <v>201</v>
      </c>
      <c r="I203" s="35">
        <f ca="1"/>
        <v>0</v>
      </c>
      <c r="J203" s="35">
        <f ca="1"/>
        <v>0</v>
      </c>
      <c r="K203" s="35">
        <f ca="1"/>
        <v>0</v>
      </c>
      <c r="L203" s="35">
        <f ca="1"/>
        <v>1</v>
      </c>
      <c r="M203" s="35">
        <f ca="1"/>
        <v>0</v>
      </c>
      <c r="N203" s="35">
        <f ca="1"/>
        <v>0</v>
      </c>
      <c r="O203" s="35">
        <f ca="1"/>
        <v>0</v>
      </c>
      <c r="P203" s="35">
        <f ca="1"/>
        <v>141315.35307224691</v>
      </c>
      <c r="Q203" s="35">
        <f ca="1"/>
        <v>141315.35307224691</v>
      </c>
    </row>
    <row r="204" spans="8:17">
      <c r="H204" s="35">
        <v>202</v>
      </c>
      <c r="I204" s="35">
        <f ca="1"/>
        <v>1</v>
      </c>
      <c r="J204" s="35">
        <f ca="1"/>
        <v>0</v>
      </c>
      <c r="K204" s="35">
        <f ca="1"/>
        <v>0</v>
      </c>
      <c r="L204" s="35">
        <f ca="1"/>
        <v>0</v>
      </c>
      <c r="M204" s="35">
        <f ca="1"/>
        <v>21539.54594065711</v>
      </c>
      <c r="N204" s="35">
        <f ca="1"/>
        <v>0</v>
      </c>
      <c r="O204" s="35">
        <f ca="1"/>
        <v>0</v>
      </c>
      <c r="P204" s="35">
        <f ca="1"/>
        <v>0</v>
      </c>
      <c r="Q204" s="35">
        <f ca="1"/>
        <v>21539.54594065711</v>
      </c>
    </row>
    <row r="205" spans="8:17">
      <c r="H205" s="35">
        <v>203</v>
      </c>
      <c r="I205" s="35">
        <f ca="1"/>
        <v>0</v>
      </c>
      <c r="J205" s="35">
        <f ca="1"/>
        <v>1</v>
      </c>
      <c r="K205" s="35">
        <f ca="1"/>
        <v>0</v>
      </c>
      <c r="L205" s="35">
        <f ca="1"/>
        <v>1</v>
      </c>
      <c r="M205" s="35">
        <f ca="1"/>
        <v>0</v>
      </c>
      <c r="N205" s="35">
        <f ca="1"/>
        <v>52149.226924263727</v>
      </c>
      <c r="O205" s="35">
        <f ca="1"/>
        <v>0</v>
      </c>
      <c r="P205" s="35">
        <f ca="1"/>
        <v>102855.09471353026</v>
      </c>
      <c r="Q205" s="35">
        <f ca="1"/>
        <v>155004.32163779397</v>
      </c>
    </row>
    <row r="206" spans="8:17">
      <c r="H206" s="35">
        <v>204</v>
      </c>
      <c r="I206" s="35">
        <f ca="1"/>
        <v>0</v>
      </c>
      <c r="J206" s="35">
        <f ca="1"/>
        <v>1</v>
      </c>
      <c r="K206" s="35">
        <f ca="1"/>
        <v>0</v>
      </c>
      <c r="L206" s="35">
        <f ca="1"/>
        <v>1</v>
      </c>
      <c r="M206" s="35">
        <f ca="1"/>
        <v>0</v>
      </c>
      <c r="N206" s="35">
        <f ca="1"/>
        <v>34445.7166027239</v>
      </c>
      <c r="O206" s="35">
        <f ca="1"/>
        <v>0</v>
      </c>
      <c r="P206" s="35">
        <f ca="1"/>
        <v>212256.77312983829</v>
      </c>
      <c r="Q206" s="35">
        <f ca="1"/>
        <v>246702.48973256219</v>
      </c>
    </row>
    <row r="207" spans="8:17">
      <c r="H207" s="35">
        <v>205</v>
      </c>
      <c r="I207" s="35">
        <f ca="1"/>
        <v>0</v>
      </c>
      <c r="J207" s="35">
        <f ca="1"/>
        <v>1</v>
      </c>
      <c r="K207" s="35">
        <f ca="1"/>
        <v>1</v>
      </c>
      <c r="L207" s="35">
        <f ca="1"/>
        <v>0</v>
      </c>
      <c r="M207" s="35">
        <f ca="1"/>
        <v>0</v>
      </c>
      <c r="N207" s="35">
        <f ca="1"/>
        <v>10893.862828450578</v>
      </c>
      <c r="O207" s="35">
        <f ca="1"/>
        <v>207.65109163213884</v>
      </c>
      <c r="P207" s="35">
        <f ca="1"/>
        <v>0</v>
      </c>
      <c r="Q207" s="35">
        <f ca="1"/>
        <v>11101.513920082716</v>
      </c>
    </row>
    <row r="208" spans="8:17">
      <c r="H208" s="35">
        <v>206</v>
      </c>
      <c r="I208" s="35">
        <f ca="1"/>
        <v>0</v>
      </c>
      <c r="J208" s="35">
        <f ca="1"/>
        <v>1</v>
      </c>
      <c r="K208" s="35">
        <f ca="1"/>
        <v>0</v>
      </c>
      <c r="L208" s="35">
        <f ca="1"/>
        <v>1</v>
      </c>
      <c r="M208" s="35">
        <f ca="1"/>
        <v>0</v>
      </c>
      <c r="N208" s="35">
        <f ca="1"/>
        <v>29127.325912006545</v>
      </c>
      <c r="O208" s="35">
        <f ca="1"/>
        <v>0</v>
      </c>
      <c r="P208" s="35">
        <f ca="1"/>
        <v>132502.59472865617</v>
      </c>
      <c r="Q208" s="35">
        <f ca="1"/>
        <v>161629.92064066272</v>
      </c>
    </row>
    <row r="209" spans="8:17">
      <c r="H209" s="35">
        <v>207</v>
      </c>
      <c r="I209" s="35">
        <f ca="1"/>
        <v>1</v>
      </c>
      <c r="J209" s="35">
        <f ca="1"/>
        <v>0</v>
      </c>
      <c r="K209" s="35">
        <f ca="1"/>
        <v>0</v>
      </c>
      <c r="L209" s="35">
        <f ca="1"/>
        <v>1</v>
      </c>
      <c r="M209" s="35">
        <f ca="1"/>
        <v>10298.229605028353</v>
      </c>
      <c r="N209" s="35">
        <f ca="1"/>
        <v>0</v>
      </c>
      <c r="O209" s="35">
        <f ca="1"/>
        <v>0</v>
      </c>
      <c r="P209" s="35">
        <f ca="1"/>
        <v>60911.421570871593</v>
      </c>
      <c r="Q209" s="35">
        <f ca="1"/>
        <v>71209.65117589994</v>
      </c>
    </row>
    <row r="210" spans="8:17">
      <c r="H210" s="35">
        <v>208</v>
      </c>
      <c r="I210" s="35">
        <f ca="1"/>
        <v>0</v>
      </c>
      <c r="J210" s="35">
        <f ca="1"/>
        <v>0</v>
      </c>
      <c r="K210" s="35">
        <f ca="1"/>
        <v>1</v>
      </c>
      <c r="L210" s="35">
        <f ca="1"/>
        <v>1</v>
      </c>
      <c r="M210" s="35">
        <f ca="1"/>
        <v>0</v>
      </c>
      <c r="N210" s="35">
        <f ca="1"/>
        <v>0</v>
      </c>
      <c r="O210" s="35">
        <f ca="1"/>
        <v>76.270956351134444</v>
      </c>
      <c r="P210" s="35">
        <f ca="1"/>
        <v>125631.10238539826</v>
      </c>
      <c r="Q210" s="35">
        <f ca="1"/>
        <v>125707.37334174939</v>
      </c>
    </row>
    <row r="211" spans="8:17">
      <c r="H211" s="35">
        <v>209</v>
      </c>
      <c r="I211" s="35">
        <f ca="1"/>
        <v>1</v>
      </c>
      <c r="J211" s="35">
        <f ca="1"/>
        <v>0</v>
      </c>
      <c r="K211" s="35">
        <f ca="1"/>
        <v>0</v>
      </c>
      <c r="L211" s="35">
        <f ca="1"/>
        <v>1</v>
      </c>
      <c r="M211" s="35">
        <f ca="1"/>
        <v>11906.021265165406</v>
      </c>
      <c r="N211" s="35">
        <f ca="1"/>
        <v>0</v>
      </c>
      <c r="O211" s="35">
        <f ca="1"/>
        <v>0</v>
      </c>
      <c r="P211" s="35">
        <f ca="1"/>
        <v>207505.1284451941</v>
      </c>
      <c r="Q211" s="35">
        <f ca="1"/>
        <v>219411.14971035952</v>
      </c>
    </row>
    <row r="212" spans="8:17">
      <c r="H212" s="35">
        <v>210</v>
      </c>
      <c r="I212" s="35">
        <f ca="1"/>
        <v>0</v>
      </c>
      <c r="J212" s="35">
        <f ca="1"/>
        <v>0</v>
      </c>
      <c r="K212" s="35">
        <f ca="1"/>
        <v>0</v>
      </c>
      <c r="L212" s="35">
        <f ca="1"/>
        <v>1</v>
      </c>
      <c r="M212" s="35">
        <f ca="1"/>
        <v>0</v>
      </c>
      <c r="N212" s="35">
        <f ca="1"/>
        <v>0</v>
      </c>
      <c r="O212" s="35">
        <f ca="1"/>
        <v>0</v>
      </c>
      <c r="P212" s="35">
        <f ca="1"/>
        <v>190271.77413787649</v>
      </c>
      <c r="Q212" s="35">
        <f ca="1"/>
        <v>190271.77413787649</v>
      </c>
    </row>
    <row r="213" spans="8:17">
      <c r="H213" s="35">
        <v>211</v>
      </c>
      <c r="I213" s="35">
        <f ca="1"/>
        <v>0</v>
      </c>
      <c r="J213" s="35">
        <f ca="1"/>
        <v>0</v>
      </c>
      <c r="K213" s="35">
        <f ca="1"/>
        <v>0</v>
      </c>
      <c r="L213" s="35">
        <f ca="1"/>
        <v>1</v>
      </c>
      <c r="M213" s="35">
        <f ca="1"/>
        <v>0</v>
      </c>
      <c r="N213" s="35">
        <f ca="1"/>
        <v>0</v>
      </c>
      <c r="O213" s="35">
        <f ca="1"/>
        <v>0</v>
      </c>
      <c r="P213" s="35">
        <f ca="1"/>
        <v>144052.40167015156</v>
      </c>
      <c r="Q213" s="35">
        <f ca="1"/>
        <v>144052.40167015156</v>
      </c>
    </row>
    <row r="214" spans="8:17">
      <c r="H214" s="35">
        <v>212</v>
      </c>
      <c r="I214" s="35">
        <f ca="1"/>
        <v>0</v>
      </c>
      <c r="J214" s="35">
        <f ca="1"/>
        <v>0</v>
      </c>
      <c r="K214" s="35">
        <f ca="1"/>
        <v>1</v>
      </c>
      <c r="L214" s="35">
        <f ca="1"/>
        <v>1</v>
      </c>
      <c r="M214" s="35">
        <f ca="1"/>
        <v>0</v>
      </c>
      <c r="N214" s="35">
        <f ca="1"/>
        <v>0</v>
      </c>
      <c r="O214" s="35">
        <f ca="1"/>
        <v>367.16625616588021</v>
      </c>
      <c r="P214" s="35">
        <f ca="1"/>
        <v>109487.95400614616</v>
      </c>
      <c r="Q214" s="35">
        <f ca="1"/>
        <v>109855.12026231203</v>
      </c>
    </row>
    <row r="215" spans="8:17">
      <c r="H215" s="35">
        <v>213</v>
      </c>
      <c r="I215" s="35">
        <f ca="1"/>
        <v>0</v>
      </c>
      <c r="J215" s="35">
        <f ca="1"/>
        <v>0</v>
      </c>
      <c r="K215" s="35">
        <f ca="1"/>
        <v>0</v>
      </c>
      <c r="L215" s="35">
        <f ca="1"/>
        <v>0</v>
      </c>
      <c r="M215" s="35">
        <f ca="1"/>
        <v>0</v>
      </c>
      <c r="N215" s="35">
        <f ca="1"/>
        <v>0</v>
      </c>
      <c r="O215" s="35">
        <f ca="1"/>
        <v>0</v>
      </c>
      <c r="P215" s="35">
        <f ca="1"/>
        <v>0</v>
      </c>
      <c r="Q215" s="35">
        <f ca="1"/>
        <v>0</v>
      </c>
    </row>
    <row r="216" spans="8:17">
      <c r="H216" s="35">
        <v>214</v>
      </c>
      <c r="I216" s="35">
        <f ca="1"/>
        <v>0</v>
      </c>
      <c r="J216" s="35">
        <f ca="1"/>
        <v>1</v>
      </c>
      <c r="K216" s="35">
        <f ca="1"/>
        <v>0</v>
      </c>
      <c r="L216" s="35">
        <f ca="1"/>
        <v>1</v>
      </c>
      <c r="M216" s="35">
        <f ca="1"/>
        <v>0</v>
      </c>
      <c r="N216" s="35">
        <f ca="1"/>
        <v>22439.982024927995</v>
      </c>
      <c r="O216" s="35">
        <f ca="1"/>
        <v>0</v>
      </c>
      <c r="P216" s="35">
        <f ca="1"/>
        <v>111172.26904381077</v>
      </c>
      <c r="Q216" s="35">
        <f ca="1"/>
        <v>133612.25106873875</v>
      </c>
    </row>
    <row r="217" spans="8:17">
      <c r="H217" s="35">
        <v>215</v>
      </c>
      <c r="I217" s="35">
        <f ca="1"/>
        <v>0</v>
      </c>
      <c r="J217" s="35">
        <f ca="1"/>
        <v>1</v>
      </c>
      <c r="K217" s="35">
        <f ca="1"/>
        <v>1</v>
      </c>
      <c r="L217" s="35">
        <f ca="1"/>
        <v>1</v>
      </c>
      <c r="M217" s="35">
        <f ca="1"/>
        <v>0</v>
      </c>
      <c r="N217" s="35">
        <f ca="1"/>
        <v>26918.810685903907</v>
      </c>
      <c r="O217" s="35">
        <f ca="1"/>
        <v>234.52920677556654</v>
      </c>
      <c r="P217" s="35">
        <f ca="1"/>
        <v>141287.12567235771</v>
      </c>
      <c r="Q217" s="35">
        <f ca="1"/>
        <v>168440.46556503719</v>
      </c>
    </row>
    <row r="218" spans="8:17">
      <c r="H218" s="35">
        <v>216</v>
      </c>
      <c r="I218" s="35">
        <f ca="1"/>
        <v>0</v>
      </c>
      <c r="J218" s="35">
        <f ca="1"/>
        <v>0</v>
      </c>
      <c r="K218" s="35">
        <f ca="1"/>
        <v>0</v>
      </c>
      <c r="L218" s="35">
        <f ca="1"/>
        <v>1</v>
      </c>
      <c r="M218" s="35">
        <f ca="1"/>
        <v>0</v>
      </c>
      <c r="N218" s="35">
        <f ca="1"/>
        <v>0</v>
      </c>
      <c r="O218" s="35">
        <f ca="1"/>
        <v>0</v>
      </c>
      <c r="P218" s="35">
        <f ca="1"/>
        <v>195816.58519582846</v>
      </c>
      <c r="Q218" s="35">
        <f ca="1"/>
        <v>195816.58519582846</v>
      </c>
    </row>
    <row r="219" spans="8:17">
      <c r="H219" s="35">
        <v>217</v>
      </c>
      <c r="I219" s="35">
        <f ca="1"/>
        <v>0</v>
      </c>
      <c r="J219" s="35">
        <f ca="1"/>
        <v>0</v>
      </c>
      <c r="K219" s="35">
        <f ca="1"/>
        <v>0</v>
      </c>
      <c r="L219" s="35">
        <f ca="1"/>
        <v>0</v>
      </c>
      <c r="M219" s="35">
        <f ca="1"/>
        <v>0</v>
      </c>
      <c r="N219" s="35">
        <f ca="1"/>
        <v>0</v>
      </c>
      <c r="O219" s="35">
        <f ca="1"/>
        <v>0</v>
      </c>
      <c r="P219" s="35">
        <f ca="1"/>
        <v>0</v>
      </c>
      <c r="Q219" s="35">
        <f ca="1"/>
        <v>0</v>
      </c>
    </row>
    <row r="220" spans="8:17">
      <c r="H220" s="35">
        <v>218</v>
      </c>
      <c r="I220" s="35">
        <f ca="1"/>
        <v>0</v>
      </c>
      <c r="J220" s="35">
        <f ca="1"/>
        <v>0</v>
      </c>
      <c r="K220" s="35">
        <f ca="1"/>
        <v>0</v>
      </c>
      <c r="L220" s="35">
        <f ca="1"/>
        <v>1</v>
      </c>
      <c r="M220" s="35">
        <f ca="1"/>
        <v>0</v>
      </c>
      <c r="N220" s="35">
        <f ca="1"/>
        <v>0</v>
      </c>
      <c r="O220" s="35">
        <f ca="1"/>
        <v>0</v>
      </c>
      <c r="P220" s="35">
        <f ca="1"/>
        <v>162438.52813586156</v>
      </c>
      <c r="Q220" s="35">
        <f ca="1"/>
        <v>162438.52813586156</v>
      </c>
    </row>
    <row r="221" spans="8:17">
      <c r="H221" s="35">
        <v>219</v>
      </c>
      <c r="I221" s="35">
        <f ca="1"/>
        <v>0</v>
      </c>
      <c r="J221" s="35">
        <f ca="1"/>
        <v>0</v>
      </c>
      <c r="K221" s="35">
        <f ca="1"/>
        <v>0</v>
      </c>
      <c r="L221" s="35">
        <f ca="1"/>
        <v>0</v>
      </c>
      <c r="M221" s="35">
        <f ca="1"/>
        <v>0</v>
      </c>
      <c r="N221" s="35">
        <f ca="1"/>
        <v>0</v>
      </c>
      <c r="O221" s="35">
        <f ca="1"/>
        <v>0</v>
      </c>
      <c r="P221" s="35">
        <f ca="1"/>
        <v>0</v>
      </c>
      <c r="Q221" s="35">
        <f ca="1"/>
        <v>0</v>
      </c>
    </row>
    <row r="222" spans="8:17">
      <c r="H222" s="35">
        <v>220</v>
      </c>
      <c r="I222" s="35">
        <f ca="1"/>
        <v>0</v>
      </c>
      <c r="J222" s="35">
        <f ca="1"/>
        <v>0</v>
      </c>
      <c r="K222" s="35">
        <f ca="1"/>
        <v>1</v>
      </c>
      <c r="L222" s="35">
        <f ca="1"/>
        <v>1</v>
      </c>
      <c r="M222" s="35">
        <f ca="1"/>
        <v>0</v>
      </c>
      <c r="N222" s="35">
        <f ca="1"/>
        <v>0</v>
      </c>
      <c r="O222" s="35">
        <f ca="1"/>
        <v>135.2054167582103</v>
      </c>
      <c r="P222" s="35">
        <f ca="1"/>
        <v>139544.24744542426</v>
      </c>
      <c r="Q222" s="35">
        <f ca="1"/>
        <v>139679.45286218249</v>
      </c>
    </row>
    <row r="223" spans="8:17">
      <c r="H223" s="35">
        <v>221</v>
      </c>
      <c r="I223" s="35">
        <f ca="1"/>
        <v>0</v>
      </c>
      <c r="J223" s="35">
        <f ca="1"/>
        <v>1</v>
      </c>
      <c r="K223" s="35">
        <f ca="1"/>
        <v>0</v>
      </c>
      <c r="L223" s="35">
        <f ca="1"/>
        <v>1</v>
      </c>
      <c r="M223" s="35">
        <f ca="1"/>
        <v>0</v>
      </c>
      <c r="N223" s="35">
        <f ca="1"/>
        <v>35580.50113956639</v>
      </c>
      <c r="O223" s="35">
        <f ca="1"/>
        <v>0</v>
      </c>
      <c r="P223" s="35">
        <f ca="1"/>
        <v>111725.31279328046</v>
      </c>
      <c r="Q223" s="35">
        <f ca="1"/>
        <v>147305.81393284685</v>
      </c>
    </row>
    <row r="224" spans="8:17">
      <c r="H224" s="35">
        <v>222</v>
      </c>
      <c r="I224" s="35">
        <f ca="1"/>
        <v>1</v>
      </c>
      <c r="J224" s="35">
        <f ca="1"/>
        <v>0</v>
      </c>
      <c r="K224" s="35">
        <f ca="1"/>
        <v>0</v>
      </c>
      <c r="L224" s="35">
        <f ca="1"/>
        <v>1</v>
      </c>
      <c r="M224" s="35">
        <f ca="1"/>
        <v>13353.236374385016</v>
      </c>
      <c r="N224" s="35">
        <f ca="1"/>
        <v>0</v>
      </c>
      <c r="O224" s="35">
        <f ca="1"/>
        <v>0</v>
      </c>
      <c r="P224" s="35">
        <f ca="1"/>
        <v>166798.59128124945</v>
      </c>
      <c r="Q224" s="35">
        <f ca="1"/>
        <v>180151.82765563446</v>
      </c>
    </row>
    <row r="225" spans="8:17">
      <c r="H225" s="35">
        <v>223</v>
      </c>
      <c r="I225" s="35">
        <f ca="1"/>
        <v>0</v>
      </c>
      <c r="J225" s="35">
        <f ca="1"/>
        <v>0</v>
      </c>
      <c r="K225" s="35">
        <f ca="1"/>
        <v>0</v>
      </c>
      <c r="L225" s="35">
        <f ca="1"/>
        <v>1</v>
      </c>
      <c r="M225" s="35">
        <f ca="1"/>
        <v>0</v>
      </c>
      <c r="N225" s="35">
        <f ca="1"/>
        <v>0</v>
      </c>
      <c r="O225" s="35">
        <f ca="1"/>
        <v>0</v>
      </c>
      <c r="P225" s="35">
        <f ca="1"/>
        <v>142422.70043092818</v>
      </c>
      <c r="Q225" s="35">
        <f ca="1"/>
        <v>142422.70043092818</v>
      </c>
    </row>
    <row r="226" spans="8:17">
      <c r="H226" s="35">
        <v>224</v>
      </c>
      <c r="I226" s="35">
        <f ca="1"/>
        <v>0</v>
      </c>
      <c r="J226" s="35">
        <f ca="1"/>
        <v>0</v>
      </c>
      <c r="K226" s="35">
        <f ca="1"/>
        <v>0</v>
      </c>
      <c r="L226" s="35">
        <f ca="1"/>
        <v>1</v>
      </c>
      <c r="M226" s="35">
        <f ca="1"/>
        <v>0</v>
      </c>
      <c r="N226" s="35">
        <f ca="1"/>
        <v>0</v>
      </c>
      <c r="O226" s="35">
        <f ca="1"/>
        <v>0</v>
      </c>
      <c r="P226" s="35">
        <f ca="1"/>
        <v>121535.46292492079</v>
      </c>
      <c r="Q226" s="35">
        <f ca="1"/>
        <v>121535.46292492079</v>
      </c>
    </row>
    <row r="227" spans="8:17">
      <c r="H227" s="35">
        <v>225</v>
      </c>
      <c r="I227" s="35">
        <f ca="1"/>
        <v>0</v>
      </c>
      <c r="J227" s="35">
        <f ca="1"/>
        <v>0</v>
      </c>
      <c r="K227" s="35">
        <f ca="1"/>
        <v>0</v>
      </c>
      <c r="L227" s="35">
        <f ca="1"/>
        <v>1</v>
      </c>
      <c r="M227" s="35">
        <f ca="1"/>
        <v>0</v>
      </c>
      <c r="N227" s="35">
        <f ca="1"/>
        <v>0</v>
      </c>
      <c r="O227" s="35">
        <f ca="1"/>
        <v>0</v>
      </c>
      <c r="P227" s="35">
        <f ca="1"/>
        <v>129230.62900715547</v>
      </c>
      <c r="Q227" s="35">
        <f ca="1"/>
        <v>129230.62900715547</v>
      </c>
    </row>
    <row r="228" spans="8:17">
      <c r="H228" s="35">
        <v>226</v>
      </c>
      <c r="I228" s="35">
        <f ca="1"/>
        <v>1</v>
      </c>
      <c r="J228" s="35">
        <f ca="1"/>
        <v>0</v>
      </c>
      <c r="K228" s="35">
        <f ca="1"/>
        <v>0</v>
      </c>
      <c r="L228" s="35">
        <f ca="1"/>
        <v>1</v>
      </c>
      <c r="M228" s="35">
        <f ca="1"/>
        <v>7008.6904840811549</v>
      </c>
      <c r="N228" s="35">
        <f ca="1"/>
        <v>0</v>
      </c>
      <c r="O228" s="35">
        <f ca="1"/>
        <v>0</v>
      </c>
      <c r="P228" s="35">
        <f ca="1"/>
        <v>137348.42910324177</v>
      </c>
      <c r="Q228" s="35">
        <f ca="1"/>
        <v>144357.11958732293</v>
      </c>
    </row>
    <row r="229" spans="8:17">
      <c r="H229" s="35">
        <v>227</v>
      </c>
      <c r="I229" s="35">
        <f ca="1"/>
        <v>1</v>
      </c>
      <c r="J229" s="35">
        <f ca="1"/>
        <v>0</v>
      </c>
      <c r="K229" s="35">
        <f ca="1"/>
        <v>0</v>
      </c>
      <c r="L229" s="35">
        <f ca="1"/>
        <v>1</v>
      </c>
      <c r="M229" s="35">
        <f ca="1"/>
        <v>6077.3053645806858</v>
      </c>
      <c r="N229" s="35">
        <f ca="1"/>
        <v>0</v>
      </c>
      <c r="O229" s="35">
        <f ca="1"/>
        <v>0</v>
      </c>
      <c r="P229" s="35">
        <f ca="1"/>
        <v>137771.15165796399</v>
      </c>
      <c r="Q229" s="35">
        <f ca="1"/>
        <v>143848.45702254467</v>
      </c>
    </row>
    <row r="230" spans="8:17">
      <c r="H230" s="35">
        <v>228</v>
      </c>
      <c r="I230" s="35">
        <f ca="1"/>
        <v>0</v>
      </c>
      <c r="J230" s="35">
        <f ca="1"/>
        <v>0</v>
      </c>
      <c r="K230" s="35">
        <f ca="1"/>
        <v>1</v>
      </c>
      <c r="L230" s="35">
        <f ca="1"/>
        <v>1</v>
      </c>
      <c r="M230" s="35">
        <f ca="1"/>
        <v>0</v>
      </c>
      <c r="N230" s="35">
        <f ca="1"/>
        <v>0</v>
      </c>
      <c r="O230" s="35">
        <f ca="1"/>
        <v>338.61406020906247</v>
      </c>
      <c r="P230" s="35">
        <f ca="1"/>
        <v>94461.158329908008</v>
      </c>
      <c r="Q230" s="35">
        <f ca="1"/>
        <v>94799.772390117068</v>
      </c>
    </row>
    <row r="231" spans="8:17">
      <c r="H231" s="35">
        <v>229</v>
      </c>
      <c r="I231" s="35">
        <f ca="1"/>
        <v>0</v>
      </c>
      <c r="J231" s="35">
        <f ca="1"/>
        <v>0</v>
      </c>
      <c r="K231" s="35">
        <f ca="1"/>
        <v>1</v>
      </c>
      <c r="L231" s="35">
        <f ca="1"/>
        <v>1</v>
      </c>
      <c r="M231" s="35">
        <f ca="1"/>
        <v>0</v>
      </c>
      <c r="N231" s="35">
        <f ca="1"/>
        <v>0</v>
      </c>
      <c r="O231" s="35">
        <f ca="1"/>
        <v>490.75432092809461</v>
      </c>
      <c r="P231" s="35">
        <f ca="1"/>
        <v>126019.605020781</v>
      </c>
      <c r="Q231" s="35">
        <f ca="1"/>
        <v>126510.3593417091</v>
      </c>
    </row>
    <row r="232" spans="8:17">
      <c r="H232" s="35">
        <v>230</v>
      </c>
      <c r="I232" s="35">
        <f ca="1"/>
        <v>0</v>
      </c>
      <c r="J232" s="35">
        <f ca="1"/>
        <v>0</v>
      </c>
      <c r="K232" s="35">
        <f ca="1"/>
        <v>0</v>
      </c>
      <c r="L232" s="35">
        <f ca="1"/>
        <v>1</v>
      </c>
      <c r="M232" s="35">
        <f ca="1"/>
        <v>0</v>
      </c>
      <c r="N232" s="35">
        <f ca="1"/>
        <v>0</v>
      </c>
      <c r="O232" s="35">
        <f ca="1"/>
        <v>0</v>
      </c>
      <c r="P232" s="35">
        <f ca="1"/>
        <v>153071.42259827381</v>
      </c>
      <c r="Q232" s="35">
        <f ca="1"/>
        <v>153071.42259827381</v>
      </c>
    </row>
    <row r="233" spans="8:17">
      <c r="H233" s="35">
        <v>231</v>
      </c>
      <c r="I233" s="35">
        <f ca="1"/>
        <v>0</v>
      </c>
      <c r="J233" s="35">
        <f ca="1"/>
        <v>0</v>
      </c>
      <c r="K233" s="35">
        <f ca="1"/>
        <v>0</v>
      </c>
      <c r="L233" s="35">
        <f ca="1"/>
        <v>1</v>
      </c>
      <c r="M233" s="35">
        <f ca="1"/>
        <v>0</v>
      </c>
      <c r="N233" s="35">
        <f ca="1"/>
        <v>0</v>
      </c>
      <c r="O233" s="35">
        <f ca="1"/>
        <v>0</v>
      </c>
      <c r="P233" s="35">
        <f ca="1"/>
        <v>164338.03669268734</v>
      </c>
      <c r="Q233" s="35">
        <f ca="1"/>
        <v>164338.03669268734</v>
      </c>
    </row>
    <row r="234" spans="8:17">
      <c r="H234" s="35">
        <v>232</v>
      </c>
      <c r="I234" s="35">
        <f ca="1"/>
        <v>0</v>
      </c>
      <c r="J234" s="35">
        <f ca="1"/>
        <v>0</v>
      </c>
      <c r="K234" s="35">
        <f ca="1"/>
        <v>0</v>
      </c>
      <c r="L234" s="35">
        <f ca="1"/>
        <v>1</v>
      </c>
      <c r="M234" s="35">
        <f ca="1"/>
        <v>0</v>
      </c>
      <c r="N234" s="35">
        <f ca="1"/>
        <v>0</v>
      </c>
      <c r="O234" s="35">
        <f ca="1"/>
        <v>0</v>
      </c>
      <c r="P234" s="35">
        <f ca="1"/>
        <v>146653.46270232805</v>
      </c>
      <c r="Q234" s="35">
        <f ca="1"/>
        <v>146653.46270232805</v>
      </c>
    </row>
    <row r="235" spans="8:17">
      <c r="H235" s="35">
        <v>233</v>
      </c>
      <c r="I235" s="35">
        <f ca="1"/>
        <v>0</v>
      </c>
      <c r="J235" s="35">
        <f ca="1"/>
        <v>1</v>
      </c>
      <c r="K235" s="35">
        <f ca="1"/>
        <v>0</v>
      </c>
      <c r="L235" s="35">
        <f ca="1"/>
        <v>1</v>
      </c>
      <c r="M235" s="35">
        <f ca="1"/>
        <v>0</v>
      </c>
      <c r="N235" s="35">
        <f ca="1"/>
        <v>17532.221439776684</v>
      </c>
      <c r="O235" s="35">
        <f ca="1"/>
        <v>0</v>
      </c>
      <c r="P235" s="35">
        <f ca="1"/>
        <v>127456.07076571049</v>
      </c>
      <c r="Q235" s="35">
        <f ca="1"/>
        <v>144988.29220548717</v>
      </c>
    </row>
    <row r="236" spans="8:17">
      <c r="H236" s="35">
        <v>234</v>
      </c>
      <c r="I236" s="35">
        <f ca="1"/>
        <v>0</v>
      </c>
      <c r="J236" s="35">
        <f ca="1"/>
        <v>0</v>
      </c>
      <c r="K236" s="35">
        <f ca="1"/>
        <v>0</v>
      </c>
      <c r="L236" s="35">
        <f ca="1"/>
        <v>1</v>
      </c>
      <c r="M236" s="35">
        <f ca="1"/>
        <v>0</v>
      </c>
      <c r="N236" s="35">
        <f ca="1"/>
        <v>0</v>
      </c>
      <c r="O236" s="35">
        <f ca="1"/>
        <v>0</v>
      </c>
      <c r="P236" s="35">
        <f ca="1"/>
        <v>163954.60885298465</v>
      </c>
      <c r="Q236" s="35">
        <f ca="1"/>
        <v>163954.60885298465</v>
      </c>
    </row>
    <row r="237" spans="8:17">
      <c r="H237" s="35">
        <v>235</v>
      </c>
      <c r="I237" s="35">
        <f ca="1"/>
        <v>0</v>
      </c>
      <c r="J237" s="35">
        <f ca="1"/>
        <v>0</v>
      </c>
      <c r="K237" s="35">
        <f ca="1"/>
        <v>0</v>
      </c>
      <c r="L237" s="35">
        <f ca="1"/>
        <v>1</v>
      </c>
      <c r="M237" s="35">
        <f ca="1"/>
        <v>0</v>
      </c>
      <c r="N237" s="35">
        <f ca="1"/>
        <v>0</v>
      </c>
      <c r="O237" s="35">
        <f ca="1"/>
        <v>0</v>
      </c>
      <c r="P237" s="35">
        <f ca="1"/>
        <v>103192.04352225013</v>
      </c>
      <c r="Q237" s="35">
        <f ca="1"/>
        <v>103192.04352225013</v>
      </c>
    </row>
    <row r="238" spans="8:17">
      <c r="H238" s="35">
        <v>236</v>
      </c>
      <c r="I238" s="35">
        <f ca="1"/>
        <v>1</v>
      </c>
      <c r="J238" s="35">
        <f ca="1"/>
        <v>1</v>
      </c>
      <c r="K238" s="35">
        <f ca="1"/>
        <v>1</v>
      </c>
      <c r="L238" s="35">
        <f ca="1"/>
        <v>1</v>
      </c>
      <c r="M238" s="35">
        <f ca="1"/>
        <v>1500.3651845065781</v>
      </c>
      <c r="N238" s="35">
        <f ca="1"/>
        <v>24969.965949807611</v>
      </c>
      <c r="O238" s="35">
        <f ca="1"/>
        <v>135.87953072512551</v>
      </c>
      <c r="P238" s="35">
        <f ca="1"/>
        <v>137708.02582278018</v>
      </c>
      <c r="Q238" s="35">
        <f ca="1"/>
        <v>164314.23648781949</v>
      </c>
    </row>
    <row r="239" spans="8:17">
      <c r="H239" s="35">
        <v>237</v>
      </c>
      <c r="I239" s="35">
        <f ca="1"/>
        <v>0</v>
      </c>
      <c r="J239" s="35">
        <f ca="1"/>
        <v>0</v>
      </c>
      <c r="K239" s="35">
        <f ca="1"/>
        <v>1</v>
      </c>
      <c r="L239" s="35">
        <f ca="1"/>
        <v>1</v>
      </c>
      <c r="M239" s="35">
        <f ca="1"/>
        <v>0</v>
      </c>
      <c r="N239" s="35">
        <f ca="1"/>
        <v>0</v>
      </c>
      <c r="O239" s="35">
        <f ca="1"/>
        <v>602.28424014148698</v>
      </c>
      <c r="P239" s="35">
        <f ca="1"/>
        <v>113006.65360543517</v>
      </c>
      <c r="Q239" s="35">
        <f ca="1"/>
        <v>113608.93784557666</v>
      </c>
    </row>
    <row r="240" spans="8:17">
      <c r="H240" s="35">
        <v>238</v>
      </c>
      <c r="I240" s="35">
        <f ca="1"/>
        <v>0</v>
      </c>
      <c r="J240" s="35">
        <f ca="1"/>
        <v>0</v>
      </c>
      <c r="K240" s="35">
        <f ca="1"/>
        <v>0</v>
      </c>
      <c r="L240" s="35">
        <f ca="1"/>
        <v>1</v>
      </c>
      <c r="M240" s="35">
        <f ca="1"/>
        <v>0</v>
      </c>
      <c r="N240" s="35">
        <f ca="1"/>
        <v>0</v>
      </c>
      <c r="O240" s="35">
        <f ca="1"/>
        <v>0</v>
      </c>
      <c r="P240" s="35">
        <f ca="1"/>
        <v>155760.47077195544</v>
      </c>
      <c r="Q240" s="35">
        <f ca="1"/>
        <v>155760.47077195544</v>
      </c>
    </row>
    <row r="241" spans="8:17">
      <c r="H241" s="35">
        <v>239</v>
      </c>
      <c r="I241" s="35">
        <f ca="1"/>
        <v>0</v>
      </c>
      <c r="J241" s="35">
        <f ca="1"/>
        <v>0</v>
      </c>
      <c r="K241" s="35">
        <f ca="1"/>
        <v>1</v>
      </c>
      <c r="L241" s="35">
        <f ca="1"/>
        <v>1</v>
      </c>
      <c r="M241" s="35">
        <f ca="1"/>
        <v>0</v>
      </c>
      <c r="N241" s="35">
        <f ca="1"/>
        <v>0</v>
      </c>
      <c r="O241" s="35">
        <f ca="1"/>
        <v>236.38658040420239</v>
      </c>
      <c r="P241" s="35">
        <f ca="1"/>
        <v>87867.909312594231</v>
      </c>
      <c r="Q241" s="35">
        <f ca="1"/>
        <v>88104.295892998431</v>
      </c>
    </row>
    <row r="242" spans="8:17">
      <c r="H242" s="35">
        <v>240</v>
      </c>
      <c r="I242" s="35">
        <f ca="1"/>
        <v>1</v>
      </c>
      <c r="J242" s="35">
        <f ca="1"/>
        <v>0</v>
      </c>
      <c r="K242" s="35">
        <f ca="1"/>
        <v>0</v>
      </c>
      <c r="L242" s="35">
        <f ca="1"/>
        <v>0</v>
      </c>
      <c r="M242" s="35">
        <f ca="1"/>
        <v>5062.7838913863716</v>
      </c>
      <c r="N242" s="35">
        <f ca="1"/>
        <v>0</v>
      </c>
      <c r="O242" s="35">
        <f ca="1"/>
        <v>0</v>
      </c>
      <c r="P242" s="35">
        <f ca="1"/>
        <v>0</v>
      </c>
      <c r="Q242" s="35">
        <f ca="1"/>
        <v>5062.7838913863716</v>
      </c>
    </row>
    <row r="243" spans="8:17">
      <c r="H243" s="35">
        <v>241</v>
      </c>
      <c r="I243" s="35">
        <f ca="1"/>
        <v>1</v>
      </c>
      <c r="J243" s="35">
        <f ca="1"/>
        <v>1</v>
      </c>
      <c r="K243" s="35">
        <f ca="1"/>
        <v>0</v>
      </c>
      <c r="L243" s="35">
        <f ca="1"/>
        <v>0</v>
      </c>
      <c r="M243" s="35">
        <f ca="1"/>
        <v>8478.874936696162</v>
      </c>
      <c r="N243" s="35">
        <f ca="1"/>
        <v>56403.740311076603</v>
      </c>
      <c r="O243" s="35">
        <f ca="1"/>
        <v>0</v>
      </c>
      <c r="P243" s="35">
        <f ca="1"/>
        <v>0</v>
      </c>
      <c r="Q243" s="35">
        <f ca="1"/>
        <v>64882.615247772766</v>
      </c>
    </row>
    <row r="244" spans="8:17">
      <c r="H244" s="35">
        <v>242</v>
      </c>
      <c r="I244" s="35">
        <f ca="1"/>
        <v>1</v>
      </c>
      <c r="J244" s="35">
        <f ca="1"/>
        <v>0</v>
      </c>
      <c r="K244" s="35">
        <f ca="1"/>
        <v>1</v>
      </c>
      <c r="L244" s="35">
        <f ca="1"/>
        <v>0</v>
      </c>
      <c r="M244" s="35">
        <f ca="1"/>
        <v>4094.7881531889748</v>
      </c>
      <c r="N244" s="35">
        <f ca="1"/>
        <v>0</v>
      </c>
      <c r="O244" s="35">
        <f ca="1"/>
        <v>104.34867025347505</v>
      </c>
      <c r="P244" s="35">
        <f ca="1"/>
        <v>0</v>
      </c>
      <c r="Q244" s="35">
        <f ca="1"/>
        <v>4199.1368234424499</v>
      </c>
    </row>
    <row r="245" spans="8:17">
      <c r="H245" s="35">
        <v>243</v>
      </c>
      <c r="I245" s="35">
        <f ca="1"/>
        <v>0</v>
      </c>
      <c r="J245" s="35">
        <f ca="1"/>
        <v>1</v>
      </c>
      <c r="K245" s="35">
        <f ca="1"/>
        <v>0</v>
      </c>
      <c r="L245" s="35">
        <f ca="1"/>
        <v>1</v>
      </c>
      <c r="M245" s="35">
        <f ca="1"/>
        <v>0</v>
      </c>
      <c r="N245" s="35">
        <f ca="1"/>
        <v>31488.252374162726</v>
      </c>
      <c r="O245" s="35">
        <f ca="1"/>
        <v>0</v>
      </c>
      <c r="P245" s="35">
        <f ca="1"/>
        <v>149761.16215952297</v>
      </c>
      <c r="Q245" s="35">
        <f ca="1"/>
        <v>181249.41453368569</v>
      </c>
    </row>
    <row r="246" spans="8:17">
      <c r="H246" s="35">
        <v>244</v>
      </c>
      <c r="I246" s="35">
        <f ca="1"/>
        <v>0</v>
      </c>
      <c r="J246" s="35">
        <f ca="1"/>
        <v>1</v>
      </c>
      <c r="K246" s="35">
        <f ca="1"/>
        <v>1</v>
      </c>
      <c r="L246" s="35">
        <f ca="1"/>
        <v>1</v>
      </c>
      <c r="M246" s="35">
        <f ca="1"/>
        <v>0</v>
      </c>
      <c r="N246" s="35">
        <f ca="1"/>
        <v>49622.883895775078</v>
      </c>
      <c r="O246" s="35">
        <f ca="1"/>
        <v>104.43383677564604</v>
      </c>
      <c r="P246" s="35">
        <f ca="1"/>
        <v>123835.91961607448</v>
      </c>
      <c r="Q246" s="35">
        <f ca="1"/>
        <v>173563.2373486252</v>
      </c>
    </row>
    <row r="247" spans="8:17">
      <c r="H247" s="35">
        <v>245</v>
      </c>
      <c r="I247" s="35">
        <f ca="1"/>
        <v>0</v>
      </c>
      <c r="J247" s="35">
        <f ca="1"/>
        <v>0</v>
      </c>
      <c r="K247" s="35">
        <f ca="1"/>
        <v>0</v>
      </c>
      <c r="L247" s="35">
        <f ca="1"/>
        <v>1</v>
      </c>
      <c r="M247" s="35">
        <f ca="1"/>
        <v>0</v>
      </c>
      <c r="N247" s="35">
        <f ca="1"/>
        <v>0</v>
      </c>
      <c r="O247" s="35">
        <f ca="1"/>
        <v>0</v>
      </c>
      <c r="P247" s="35">
        <f ca="1"/>
        <v>134742.20939625357</v>
      </c>
      <c r="Q247" s="35">
        <f ca="1"/>
        <v>134742.20939625357</v>
      </c>
    </row>
    <row r="248" spans="8:17">
      <c r="H248" s="35">
        <v>246</v>
      </c>
      <c r="I248" s="35">
        <f ca="1"/>
        <v>0</v>
      </c>
      <c r="J248" s="35">
        <f ca="1"/>
        <v>1</v>
      </c>
      <c r="K248" s="35">
        <f ca="1"/>
        <v>0</v>
      </c>
      <c r="L248" s="35">
        <f ca="1"/>
        <v>1</v>
      </c>
      <c r="M248" s="35">
        <f ca="1"/>
        <v>0</v>
      </c>
      <c r="N248" s="35">
        <f ca="1"/>
        <v>40890.150334331673</v>
      </c>
      <c r="O248" s="35">
        <f ca="1"/>
        <v>0</v>
      </c>
      <c r="P248" s="35">
        <f ca="1"/>
        <v>57532.078527540936</v>
      </c>
      <c r="Q248" s="35">
        <f ca="1"/>
        <v>98422.228861872602</v>
      </c>
    </row>
    <row r="249" spans="8:17">
      <c r="H249" s="35">
        <v>247</v>
      </c>
      <c r="I249" s="35">
        <f ca="1"/>
        <v>1</v>
      </c>
      <c r="J249" s="35">
        <f ca="1"/>
        <v>1</v>
      </c>
      <c r="K249" s="35">
        <f ca="1"/>
        <v>1</v>
      </c>
      <c r="L249" s="35">
        <f ca="1"/>
        <v>1</v>
      </c>
      <c r="M249" s="35">
        <f ca="1"/>
        <v>13547.400170273286</v>
      </c>
      <c r="N249" s="35">
        <f ca="1"/>
        <v>40042.572996600713</v>
      </c>
      <c r="O249" s="35">
        <f ca="1"/>
        <v>211.4195593910444</v>
      </c>
      <c r="P249" s="35">
        <f ca="1"/>
        <v>105791.98021356668</v>
      </c>
      <c r="Q249" s="35">
        <f ca="1"/>
        <v>159593.37293983172</v>
      </c>
    </row>
    <row r="250" spans="8:17">
      <c r="H250" s="35">
        <v>248</v>
      </c>
      <c r="I250" s="35">
        <f ca="1"/>
        <v>1</v>
      </c>
      <c r="J250" s="35">
        <f ca="1"/>
        <v>0</v>
      </c>
      <c r="K250" s="35">
        <f ca="1"/>
        <v>0</v>
      </c>
      <c r="L250" s="35">
        <f ca="1"/>
        <v>1</v>
      </c>
      <c r="M250" s="35">
        <f ca="1"/>
        <v>7716.7671612934173</v>
      </c>
      <c r="N250" s="35">
        <f ca="1"/>
        <v>0</v>
      </c>
      <c r="O250" s="35">
        <f ca="1"/>
        <v>0</v>
      </c>
      <c r="P250" s="35">
        <f ca="1"/>
        <v>149925.22007865165</v>
      </c>
      <c r="Q250" s="35">
        <f ca="1"/>
        <v>157641.98723994507</v>
      </c>
    </row>
    <row r="251" spans="8:17">
      <c r="H251" s="35">
        <v>249</v>
      </c>
      <c r="I251" s="35">
        <f ca="1"/>
        <v>0</v>
      </c>
      <c r="J251" s="35">
        <f ca="1"/>
        <v>0</v>
      </c>
      <c r="K251" s="35">
        <f ca="1"/>
        <v>0</v>
      </c>
      <c r="L251" s="35">
        <f ca="1"/>
        <v>1</v>
      </c>
      <c r="M251" s="35">
        <f ca="1"/>
        <v>0</v>
      </c>
      <c r="N251" s="35">
        <f ca="1"/>
        <v>0</v>
      </c>
      <c r="O251" s="35">
        <f ca="1"/>
        <v>0</v>
      </c>
      <c r="P251" s="35">
        <f ca="1"/>
        <v>160920.60209590642</v>
      </c>
      <c r="Q251" s="35">
        <f ca="1"/>
        <v>160920.60209590642</v>
      </c>
    </row>
    <row r="252" spans="8:17">
      <c r="H252" s="35">
        <v>250</v>
      </c>
      <c r="I252" s="35">
        <f ca="1"/>
        <v>0</v>
      </c>
      <c r="J252" s="35">
        <f ca="1"/>
        <v>0</v>
      </c>
      <c r="K252" s="35">
        <f ca="1"/>
        <v>0</v>
      </c>
      <c r="L252" s="35">
        <f ca="1"/>
        <v>1</v>
      </c>
      <c r="M252" s="35">
        <f ca="1"/>
        <v>0</v>
      </c>
      <c r="N252" s="35">
        <f ca="1"/>
        <v>0</v>
      </c>
      <c r="O252" s="35">
        <f ca="1"/>
        <v>0</v>
      </c>
      <c r="P252" s="35">
        <f ca="1"/>
        <v>166891.77695271166</v>
      </c>
      <c r="Q252" s="35">
        <f ca="1"/>
        <v>166891.77695271166</v>
      </c>
    </row>
    <row r="253" spans="8:17">
      <c r="H253" s="35">
        <v>251</v>
      </c>
      <c r="I253" s="35">
        <f ca="1"/>
        <v>0</v>
      </c>
      <c r="J253" s="35">
        <f ca="1"/>
        <v>0</v>
      </c>
      <c r="K253" s="35">
        <f ca="1"/>
        <v>1</v>
      </c>
      <c r="L253" s="35">
        <f ca="1"/>
        <v>0</v>
      </c>
      <c r="M253" s="35">
        <f ca="1"/>
        <v>0</v>
      </c>
      <c r="N253" s="35">
        <f ca="1"/>
        <v>0</v>
      </c>
      <c r="O253" s="35">
        <f ca="1"/>
        <v>395.26858648320632</v>
      </c>
      <c r="P253" s="35">
        <f ca="1"/>
        <v>0</v>
      </c>
      <c r="Q253" s="35">
        <f ca="1"/>
        <v>395.26858648320632</v>
      </c>
    </row>
    <row r="254" spans="8:17">
      <c r="H254" s="35">
        <v>252</v>
      </c>
      <c r="I254" s="35">
        <f ca="1"/>
        <v>0</v>
      </c>
      <c r="J254" s="35">
        <f ca="1"/>
        <v>0</v>
      </c>
      <c r="K254" s="35">
        <f ca="1"/>
        <v>0</v>
      </c>
      <c r="L254" s="35">
        <f ca="1"/>
        <v>1</v>
      </c>
      <c r="M254" s="35">
        <f ca="1"/>
        <v>0</v>
      </c>
      <c r="N254" s="35">
        <f ca="1"/>
        <v>0</v>
      </c>
      <c r="O254" s="35">
        <f ca="1"/>
        <v>0</v>
      </c>
      <c r="P254" s="35">
        <f ca="1"/>
        <v>71393.29212588082</v>
      </c>
      <c r="Q254" s="35">
        <f ca="1"/>
        <v>71393.29212588082</v>
      </c>
    </row>
    <row r="255" spans="8:17">
      <c r="H255" s="35">
        <v>253</v>
      </c>
      <c r="I255" s="35">
        <f ca="1"/>
        <v>0</v>
      </c>
      <c r="J255" s="35">
        <f ca="1"/>
        <v>0</v>
      </c>
      <c r="K255" s="35">
        <f ca="1"/>
        <v>0</v>
      </c>
      <c r="L255" s="35">
        <f ca="1"/>
        <v>1</v>
      </c>
      <c r="M255" s="35">
        <f ca="1"/>
        <v>0</v>
      </c>
      <c r="N255" s="35">
        <f ca="1"/>
        <v>0</v>
      </c>
      <c r="O255" s="35">
        <f ca="1"/>
        <v>0</v>
      </c>
      <c r="P255" s="35">
        <f ca="1"/>
        <v>134769.78052948072</v>
      </c>
      <c r="Q255" s="35">
        <f ca="1"/>
        <v>134769.78052948072</v>
      </c>
    </row>
    <row r="256" spans="8:17">
      <c r="H256" s="35">
        <v>254</v>
      </c>
      <c r="I256" s="35">
        <f ca="1"/>
        <v>0</v>
      </c>
      <c r="J256" s="35">
        <f ca="1"/>
        <v>0</v>
      </c>
      <c r="K256" s="35">
        <f ca="1"/>
        <v>0</v>
      </c>
      <c r="L256" s="35">
        <f ca="1"/>
        <v>1</v>
      </c>
      <c r="M256" s="35">
        <f ca="1"/>
        <v>0</v>
      </c>
      <c r="N256" s="35">
        <f ca="1"/>
        <v>0</v>
      </c>
      <c r="O256" s="35">
        <f ca="1"/>
        <v>0</v>
      </c>
      <c r="P256" s="35">
        <f ca="1"/>
        <v>91488.059474699447</v>
      </c>
      <c r="Q256" s="35">
        <f ca="1"/>
        <v>91488.059474699447</v>
      </c>
    </row>
    <row r="257" spans="8:17">
      <c r="H257" s="35">
        <v>255</v>
      </c>
      <c r="I257" s="35">
        <f ca="1"/>
        <v>0</v>
      </c>
      <c r="J257" s="35">
        <f ca="1"/>
        <v>1</v>
      </c>
      <c r="K257" s="35">
        <f ca="1"/>
        <v>0</v>
      </c>
      <c r="L257" s="35">
        <f ca="1"/>
        <v>1</v>
      </c>
      <c r="M257" s="35">
        <f ca="1"/>
        <v>0</v>
      </c>
      <c r="N257" s="35">
        <f ca="1"/>
        <v>6071.836975769038</v>
      </c>
      <c r="O257" s="35">
        <f ca="1"/>
        <v>0</v>
      </c>
      <c r="P257" s="35">
        <f ca="1"/>
        <v>114285.65053888381</v>
      </c>
      <c r="Q257" s="35">
        <f ca="1"/>
        <v>120357.48751465285</v>
      </c>
    </row>
    <row r="258" spans="8:17">
      <c r="H258" s="35">
        <v>256</v>
      </c>
      <c r="I258" s="35">
        <f ca="1"/>
        <v>0</v>
      </c>
      <c r="J258" s="35">
        <f ca="1"/>
        <v>0</v>
      </c>
      <c r="K258" s="35">
        <f ca="1"/>
        <v>0</v>
      </c>
      <c r="L258" s="35">
        <f ca="1"/>
        <v>1</v>
      </c>
      <c r="M258" s="35">
        <f ca="1"/>
        <v>0</v>
      </c>
      <c r="N258" s="35">
        <f ca="1"/>
        <v>0</v>
      </c>
      <c r="O258" s="35">
        <f ca="1"/>
        <v>0</v>
      </c>
      <c r="P258" s="35">
        <f ca="1"/>
        <v>138063.41205088224</v>
      </c>
      <c r="Q258" s="35">
        <f ca="1"/>
        <v>138063.41205088224</v>
      </c>
    </row>
    <row r="259" spans="8:17">
      <c r="H259" s="35">
        <v>257</v>
      </c>
      <c r="I259" s="35">
        <f ca="1"/>
        <v>0</v>
      </c>
      <c r="J259" s="35">
        <f ca="1"/>
        <v>0</v>
      </c>
      <c r="K259" s="35">
        <f ca="1"/>
        <v>1</v>
      </c>
      <c r="L259" s="35">
        <f ca="1"/>
        <v>1</v>
      </c>
      <c r="M259" s="35">
        <f ca="1"/>
        <v>0</v>
      </c>
      <c r="N259" s="35">
        <f ca="1"/>
        <v>0</v>
      </c>
      <c r="O259" s="35">
        <f ca="1"/>
        <v>246.50398897415033</v>
      </c>
      <c r="P259" s="35">
        <f ca="1"/>
        <v>110788.66347795984</v>
      </c>
      <c r="Q259" s="35">
        <f ca="1"/>
        <v>111035.16746693398</v>
      </c>
    </row>
    <row r="260" spans="8:17">
      <c r="H260" s="35">
        <v>258</v>
      </c>
      <c r="I260" s="35">
        <f ca="1"/>
        <v>0</v>
      </c>
      <c r="J260" s="35">
        <f ca="1"/>
        <v>0</v>
      </c>
      <c r="K260" s="35">
        <f ca="1"/>
        <v>0</v>
      </c>
      <c r="L260" s="35">
        <f ca="1"/>
        <v>1</v>
      </c>
      <c r="M260" s="35">
        <f ca="1"/>
        <v>0</v>
      </c>
      <c r="N260" s="35">
        <f ca="1"/>
        <v>0</v>
      </c>
      <c r="O260" s="35">
        <f ca="1"/>
        <v>0</v>
      </c>
      <c r="P260" s="35">
        <f ca="1"/>
        <v>106641.05757016662</v>
      </c>
      <c r="Q260" s="35">
        <f ca="1"/>
        <v>106641.05757016662</v>
      </c>
    </row>
    <row r="261" spans="8:17">
      <c r="H261" s="35">
        <v>259</v>
      </c>
      <c r="I261" s="35">
        <f ca="1"/>
        <v>1</v>
      </c>
      <c r="J261" s="35">
        <f ca="1"/>
        <v>0</v>
      </c>
      <c r="K261" s="35">
        <f ca="1"/>
        <v>0</v>
      </c>
      <c r="L261" s="35">
        <f ca="1"/>
        <v>0</v>
      </c>
      <c r="M261" s="35">
        <f ca="1"/>
        <v>3664.4251032712355</v>
      </c>
      <c r="N261" s="35">
        <f ca="1"/>
        <v>0</v>
      </c>
      <c r="O261" s="35">
        <f ca="1"/>
        <v>0</v>
      </c>
      <c r="P261" s="35">
        <f ca="1"/>
        <v>0</v>
      </c>
      <c r="Q261" s="35">
        <f ca="1"/>
        <v>3664.4251032712355</v>
      </c>
    </row>
    <row r="262" spans="8:17">
      <c r="H262" s="35">
        <v>260</v>
      </c>
      <c r="I262" s="35">
        <f ca="1"/>
        <v>0</v>
      </c>
      <c r="J262" s="35">
        <f ca="1"/>
        <v>1</v>
      </c>
      <c r="K262" s="35">
        <f ca="1"/>
        <v>0</v>
      </c>
      <c r="L262" s="35">
        <f ca="1"/>
        <v>0</v>
      </c>
      <c r="M262" s="35">
        <f ca="1"/>
        <v>0</v>
      </c>
      <c r="N262" s="35">
        <f ca="1"/>
        <v>62925.875530149089</v>
      </c>
      <c r="O262" s="35">
        <f ca="1"/>
        <v>0</v>
      </c>
      <c r="P262" s="35">
        <f ca="1"/>
        <v>0</v>
      </c>
      <c r="Q262" s="35">
        <f ca="1"/>
        <v>62925.875530149089</v>
      </c>
    </row>
    <row r="263" spans="8:17">
      <c r="H263" s="35">
        <v>261</v>
      </c>
      <c r="I263" s="35">
        <f ca="1"/>
        <v>0</v>
      </c>
      <c r="J263" s="35">
        <f ca="1"/>
        <v>0</v>
      </c>
      <c r="K263" s="35">
        <f ca="1"/>
        <v>0</v>
      </c>
      <c r="L263" s="35">
        <f ca="1"/>
        <v>1</v>
      </c>
      <c r="M263" s="35">
        <f ca="1"/>
        <v>0</v>
      </c>
      <c r="N263" s="35">
        <f ca="1"/>
        <v>0</v>
      </c>
      <c r="O263" s="35">
        <f ca="1"/>
        <v>0</v>
      </c>
      <c r="P263" s="35">
        <f ca="1"/>
        <v>140418.74474015145</v>
      </c>
      <c r="Q263" s="35">
        <f ca="1"/>
        <v>140418.74474015145</v>
      </c>
    </row>
    <row r="264" spans="8:17">
      <c r="H264" s="35">
        <v>262</v>
      </c>
      <c r="I264" s="35">
        <f ca="1"/>
        <v>0</v>
      </c>
      <c r="J264" s="35">
        <f ca="1"/>
        <v>1</v>
      </c>
      <c r="K264" s="35">
        <f ca="1"/>
        <v>1</v>
      </c>
      <c r="L264" s="35">
        <f ca="1"/>
        <v>1</v>
      </c>
      <c r="M264" s="35">
        <f ca="1"/>
        <v>0</v>
      </c>
      <c r="N264" s="35">
        <f ca="1"/>
        <v>38197.179939488677</v>
      </c>
      <c r="O264" s="35">
        <f ca="1"/>
        <v>403.22840120781552</v>
      </c>
      <c r="P264" s="35">
        <f ca="1"/>
        <v>179574.96265316984</v>
      </c>
      <c r="Q264" s="35">
        <f ca="1"/>
        <v>218175.37099386635</v>
      </c>
    </row>
    <row r="265" spans="8:17">
      <c r="H265" s="35">
        <v>263</v>
      </c>
      <c r="I265" s="35">
        <f ca="1"/>
        <v>0</v>
      </c>
      <c r="J265" s="35">
        <f ca="1"/>
        <v>0</v>
      </c>
      <c r="K265" s="35">
        <f ca="1"/>
        <v>1</v>
      </c>
      <c r="L265" s="35">
        <f ca="1"/>
        <v>1</v>
      </c>
      <c r="M265" s="35">
        <f ca="1"/>
        <v>0</v>
      </c>
      <c r="N265" s="35">
        <f ca="1"/>
        <v>0</v>
      </c>
      <c r="O265" s="35">
        <f ca="1"/>
        <v>153.97838916170465</v>
      </c>
      <c r="P265" s="35">
        <f ca="1"/>
        <v>103730.7810006263</v>
      </c>
      <c r="Q265" s="35">
        <f ca="1"/>
        <v>103884.75938978801</v>
      </c>
    </row>
    <row r="266" spans="8:17">
      <c r="H266" s="35">
        <v>264</v>
      </c>
      <c r="I266" s="35">
        <f ca="1"/>
        <v>0</v>
      </c>
      <c r="J266" s="35">
        <f ca="1"/>
        <v>0</v>
      </c>
      <c r="K266" s="35">
        <f ca="1"/>
        <v>1</v>
      </c>
      <c r="L266" s="35">
        <f ca="1"/>
        <v>1</v>
      </c>
      <c r="M266" s="35">
        <f ca="1"/>
        <v>0</v>
      </c>
      <c r="N266" s="35">
        <f ca="1"/>
        <v>0</v>
      </c>
      <c r="O266" s="35">
        <f ca="1"/>
        <v>165.35460335834571</v>
      </c>
      <c r="P266" s="35">
        <f ca="1"/>
        <v>152422.3793939382</v>
      </c>
      <c r="Q266" s="35">
        <f ca="1"/>
        <v>152587.73399729654</v>
      </c>
    </row>
    <row r="267" spans="8:17">
      <c r="H267" s="35">
        <v>265</v>
      </c>
      <c r="I267" s="35">
        <f ca="1"/>
        <v>0</v>
      </c>
      <c r="J267" s="35">
        <f ca="1"/>
        <v>1</v>
      </c>
      <c r="K267" s="35">
        <f ca="1"/>
        <v>0</v>
      </c>
      <c r="L267" s="35">
        <f ca="1"/>
        <v>1</v>
      </c>
      <c r="M267" s="35">
        <f ca="1"/>
        <v>0</v>
      </c>
      <c r="N267" s="35">
        <f ca="1"/>
        <v>17591.38587532657</v>
      </c>
      <c r="O267" s="35">
        <f ca="1"/>
        <v>0</v>
      </c>
      <c r="P267" s="35">
        <f ca="1"/>
        <v>196668.33721868478</v>
      </c>
      <c r="Q267" s="35">
        <f ca="1"/>
        <v>214259.72309401137</v>
      </c>
    </row>
    <row r="268" spans="8:17">
      <c r="H268" s="35">
        <v>266</v>
      </c>
      <c r="I268" s="35">
        <f ca="1"/>
        <v>0</v>
      </c>
      <c r="J268" s="35">
        <f ca="1"/>
        <v>1</v>
      </c>
      <c r="K268" s="35">
        <f ca="1"/>
        <v>0</v>
      </c>
      <c r="L268" s="35">
        <f ca="1"/>
        <v>1</v>
      </c>
      <c r="M268" s="35">
        <f ca="1"/>
        <v>0</v>
      </c>
      <c r="N268" s="35">
        <f ca="1"/>
        <v>16204.593316398097</v>
      </c>
      <c r="O268" s="35">
        <f ca="1"/>
        <v>0</v>
      </c>
      <c r="P268" s="35">
        <f ca="1"/>
        <v>108174.44648816755</v>
      </c>
      <c r="Q268" s="35">
        <f ca="1"/>
        <v>124379.03980456565</v>
      </c>
    </row>
    <row r="269" spans="8:17">
      <c r="H269" s="35">
        <v>267</v>
      </c>
      <c r="I269" s="35">
        <f ca="1"/>
        <v>0</v>
      </c>
      <c r="J269" s="35">
        <f ca="1"/>
        <v>0</v>
      </c>
      <c r="K269" s="35">
        <f ca="1"/>
        <v>0</v>
      </c>
      <c r="L269" s="35">
        <f ca="1"/>
        <v>1</v>
      </c>
      <c r="M269" s="35">
        <f ca="1"/>
        <v>0</v>
      </c>
      <c r="N269" s="35">
        <f ca="1"/>
        <v>0</v>
      </c>
      <c r="O269" s="35">
        <f ca="1"/>
        <v>0</v>
      </c>
      <c r="P269" s="35">
        <f ca="1"/>
        <v>121697.06509830779</v>
      </c>
      <c r="Q269" s="35">
        <f ca="1"/>
        <v>121697.06509830779</v>
      </c>
    </row>
    <row r="270" spans="8:17">
      <c r="H270" s="35">
        <v>268</v>
      </c>
      <c r="I270" s="35">
        <f ca="1"/>
        <v>0</v>
      </c>
      <c r="J270" s="35">
        <f ca="1"/>
        <v>0</v>
      </c>
      <c r="K270" s="35">
        <f ca="1"/>
        <v>0</v>
      </c>
      <c r="L270" s="35">
        <f ca="1"/>
        <v>0</v>
      </c>
      <c r="M270" s="35">
        <f ca="1"/>
        <v>0</v>
      </c>
      <c r="N270" s="35">
        <f ca="1"/>
        <v>0</v>
      </c>
      <c r="O270" s="35">
        <f ca="1"/>
        <v>0</v>
      </c>
      <c r="P270" s="35">
        <f ca="1"/>
        <v>0</v>
      </c>
      <c r="Q270" s="35">
        <f ca="1"/>
        <v>0</v>
      </c>
    </row>
    <row r="271" spans="8:17">
      <c r="H271" s="35">
        <v>269</v>
      </c>
      <c r="I271" s="35">
        <f ca="1"/>
        <v>0</v>
      </c>
      <c r="J271" s="35">
        <f ca="1"/>
        <v>1</v>
      </c>
      <c r="K271" s="35">
        <f ca="1"/>
        <v>0</v>
      </c>
      <c r="L271" s="35">
        <f ca="1"/>
        <v>0</v>
      </c>
      <c r="M271" s="35">
        <f ca="1"/>
        <v>0</v>
      </c>
      <c r="N271" s="35">
        <f ca="1"/>
        <v>32953.640408941043</v>
      </c>
      <c r="O271" s="35">
        <f ca="1"/>
        <v>0</v>
      </c>
      <c r="P271" s="35">
        <f ca="1"/>
        <v>0</v>
      </c>
      <c r="Q271" s="35">
        <f ca="1"/>
        <v>32953.640408941043</v>
      </c>
    </row>
    <row r="272" spans="8:17">
      <c r="H272" s="35">
        <v>270</v>
      </c>
      <c r="I272" s="35">
        <f ca="1"/>
        <v>0</v>
      </c>
      <c r="J272" s="35">
        <f ca="1"/>
        <v>0</v>
      </c>
      <c r="K272" s="35">
        <f ca="1"/>
        <v>0</v>
      </c>
      <c r="L272" s="35">
        <f ca="1"/>
        <v>1</v>
      </c>
      <c r="M272" s="35">
        <f ca="1"/>
        <v>0</v>
      </c>
      <c r="N272" s="35">
        <f ca="1"/>
        <v>0</v>
      </c>
      <c r="O272" s="35">
        <f ca="1"/>
        <v>0</v>
      </c>
      <c r="P272" s="35">
        <f ca="1"/>
        <v>100793.54636507691</v>
      </c>
      <c r="Q272" s="35">
        <f ca="1"/>
        <v>100793.54636507691</v>
      </c>
    </row>
    <row r="273" spans="8:17">
      <c r="H273" s="35">
        <v>271</v>
      </c>
      <c r="I273" s="35">
        <f ca="1"/>
        <v>0</v>
      </c>
      <c r="J273" s="35">
        <f ca="1"/>
        <v>0</v>
      </c>
      <c r="K273" s="35">
        <f ca="1"/>
        <v>0</v>
      </c>
      <c r="L273" s="35">
        <f ca="1"/>
        <v>1</v>
      </c>
      <c r="M273" s="35">
        <f ca="1"/>
        <v>0</v>
      </c>
      <c r="N273" s="35">
        <f ca="1"/>
        <v>0</v>
      </c>
      <c r="O273" s="35">
        <f ca="1"/>
        <v>0</v>
      </c>
      <c r="P273" s="35">
        <f ca="1"/>
        <v>189066.1751792618</v>
      </c>
      <c r="Q273" s="35">
        <f ca="1"/>
        <v>189066.1751792618</v>
      </c>
    </row>
    <row r="274" spans="8:17">
      <c r="H274" s="35">
        <v>272</v>
      </c>
      <c r="I274" s="35">
        <f ca="1"/>
        <v>0</v>
      </c>
      <c r="J274" s="35">
        <f ca="1"/>
        <v>0</v>
      </c>
      <c r="K274" s="35">
        <f ca="1"/>
        <v>0</v>
      </c>
      <c r="L274" s="35">
        <f ca="1"/>
        <v>0</v>
      </c>
      <c r="M274" s="35">
        <f ca="1"/>
        <v>0</v>
      </c>
      <c r="N274" s="35">
        <f ca="1"/>
        <v>0</v>
      </c>
      <c r="O274" s="35">
        <f ca="1"/>
        <v>0</v>
      </c>
      <c r="P274" s="35">
        <f ca="1"/>
        <v>0</v>
      </c>
      <c r="Q274" s="35">
        <f ca="1"/>
        <v>0</v>
      </c>
    </row>
    <row r="275" spans="8:17">
      <c r="H275" s="35">
        <v>273</v>
      </c>
      <c r="I275" s="35">
        <f ca="1"/>
        <v>0</v>
      </c>
      <c r="J275" s="35">
        <f ca="1"/>
        <v>0</v>
      </c>
      <c r="K275" s="35">
        <f ca="1"/>
        <v>0</v>
      </c>
      <c r="L275" s="35">
        <f ca="1"/>
        <v>0</v>
      </c>
      <c r="M275" s="35">
        <f ca="1"/>
        <v>0</v>
      </c>
      <c r="N275" s="35">
        <f ca="1"/>
        <v>0</v>
      </c>
      <c r="O275" s="35">
        <f ca="1"/>
        <v>0</v>
      </c>
      <c r="P275" s="35">
        <f ca="1"/>
        <v>0</v>
      </c>
      <c r="Q275" s="35">
        <f ca="1"/>
        <v>0</v>
      </c>
    </row>
    <row r="276" spans="8:17">
      <c r="H276" s="35">
        <v>274</v>
      </c>
      <c r="I276" s="35">
        <f ca="1"/>
        <v>0</v>
      </c>
      <c r="J276" s="35">
        <f ca="1"/>
        <v>0</v>
      </c>
      <c r="K276" s="35">
        <f ca="1"/>
        <v>0</v>
      </c>
      <c r="L276" s="35">
        <f ca="1"/>
        <v>1</v>
      </c>
      <c r="M276" s="35">
        <f ca="1"/>
        <v>0</v>
      </c>
      <c r="N276" s="35">
        <f ca="1"/>
        <v>0</v>
      </c>
      <c r="O276" s="35">
        <f ca="1"/>
        <v>0</v>
      </c>
      <c r="P276" s="35">
        <f ca="1"/>
        <v>81564.085400520402</v>
      </c>
      <c r="Q276" s="35">
        <f ca="1"/>
        <v>81564.085400520402</v>
      </c>
    </row>
    <row r="277" spans="8:17">
      <c r="H277" s="35">
        <v>275</v>
      </c>
      <c r="I277" s="35">
        <f ca="1"/>
        <v>0</v>
      </c>
      <c r="J277" s="35">
        <f ca="1"/>
        <v>0</v>
      </c>
      <c r="K277" s="35">
        <f ca="1"/>
        <v>0</v>
      </c>
      <c r="L277" s="35">
        <f ca="1"/>
        <v>1</v>
      </c>
      <c r="M277" s="35">
        <f ca="1"/>
        <v>0</v>
      </c>
      <c r="N277" s="35">
        <f ca="1"/>
        <v>0</v>
      </c>
      <c r="O277" s="35">
        <f ca="1"/>
        <v>0</v>
      </c>
      <c r="P277" s="35">
        <f ca="1"/>
        <v>165724.94871585618</v>
      </c>
      <c r="Q277" s="35">
        <f ca="1"/>
        <v>165724.94871585618</v>
      </c>
    </row>
    <row r="278" spans="8:17">
      <c r="H278" s="35">
        <v>276</v>
      </c>
      <c r="I278" s="35">
        <f ca="1"/>
        <v>0</v>
      </c>
      <c r="J278" s="35">
        <f ca="1"/>
        <v>1</v>
      </c>
      <c r="K278" s="35">
        <f ca="1"/>
        <v>1</v>
      </c>
      <c r="L278" s="35">
        <f ca="1"/>
        <v>1</v>
      </c>
      <c r="M278" s="35">
        <f ca="1"/>
        <v>0</v>
      </c>
      <c r="N278" s="35">
        <f ca="1"/>
        <v>40184.963764740765</v>
      </c>
      <c r="O278" s="35">
        <f ca="1"/>
        <v>208.20229722169589</v>
      </c>
      <c r="P278" s="35">
        <f ca="1"/>
        <v>168581.9022369209</v>
      </c>
      <c r="Q278" s="35">
        <f ca="1"/>
        <v>208975.06829888336</v>
      </c>
    </row>
    <row r="279" spans="8:17">
      <c r="H279" s="35">
        <v>277</v>
      </c>
      <c r="I279" s="35">
        <f ca="1"/>
        <v>0</v>
      </c>
      <c r="J279" s="35">
        <f ca="1"/>
        <v>0</v>
      </c>
      <c r="K279" s="35">
        <f ca="1"/>
        <v>0</v>
      </c>
      <c r="L279" s="35">
        <f ca="1"/>
        <v>0</v>
      </c>
      <c r="M279" s="35">
        <f ca="1"/>
        <v>0</v>
      </c>
      <c r="N279" s="35">
        <f ca="1"/>
        <v>0</v>
      </c>
      <c r="O279" s="35">
        <f ca="1"/>
        <v>0</v>
      </c>
      <c r="P279" s="35">
        <f ca="1"/>
        <v>0</v>
      </c>
      <c r="Q279" s="35">
        <f ca="1"/>
        <v>0</v>
      </c>
    </row>
    <row r="280" spans="8:17">
      <c r="H280" s="35">
        <v>278</v>
      </c>
      <c r="I280" s="35">
        <f ca="1"/>
        <v>0</v>
      </c>
      <c r="J280" s="35">
        <f ca="1"/>
        <v>0</v>
      </c>
      <c r="K280" s="35">
        <f ca="1"/>
        <v>0</v>
      </c>
      <c r="L280" s="35">
        <f ca="1"/>
        <v>1</v>
      </c>
      <c r="M280" s="35">
        <f ca="1"/>
        <v>0</v>
      </c>
      <c r="N280" s="35">
        <f ca="1"/>
        <v>0</v>
      </c>
      <c r="O280" s="35">
        <f ca="1"/>
        <v>0</v>
      </c>
      <c r="P280" s="35">
        <f ca="1"/>
        <v>158020.89943545032</v>
      </c>
      <c r="Q280" s="35">
        <f ca="1"/>
        <v>158020.89943545032</v>
      </c>
    </row>
    <row r="281" spans="8:17">
      <c r="H281" s="35">
        <v>279</v>
      </c>
      <c r="I281" s="35">
        <f ca="1"/>
        <v>0</v>
      </c>
      <c r="J281" s="35">
        <f ca="1"/>
        <v>1</v>
      </c>
      <c r="K281" s="35">
        <f ca="1"/>
        <v>0</v>
      </c>
      <c r="L281" s="35">
        <f ca="1"/>
        <v>0</v>
      </c>
      <c r="M281" s="35">
        <f ca="1"/>
        <v>0</v>
      </c>
      <c r="N281" s="35">
        <f ca="1"/>
        <v>31851.806038917715</v>
      </c>
      <c r="O281" s="35">
        <f ca="1"/>
        <v>0</v>
      </c>
      <c r="P281" s="35">
        <f ca="1"/>
        <v>0</v>
      </c>
      <c r="Q281" s="35">
        <f ca="1"/>
        <v>31851.806038917715</v>
      </c>
    </row>
    <row r="282" spans="8:17">
      <c r="H282" s="35">
        <v>280</v>
      </c>
      <c r="I282" s="35">
        <f ca="1"/>
        <v>0</v>
      </c>
      <c r="J282" s="35">
        <f ca="1"/>
        <v>0</v>
      </c>
      <c r="K282" s="35">
        <f ca="1"/>
        <v>1</v>
      </c>
      <c r="L282" s="35">
        <f ca="1"/>
        <v>1</v>
      </c>
      <c r="M282" s="35">
        <f ca="1"/>
        <v>0</v>
      </c>
      <c r="N282" s="35">
        <f ca="1"/>
        <v>0</v>
      </c>
      <c r="O282" s="35">
        <f ca="1"/>
        <v>148.5372914413997</v>
      </c>
      <c r="P282" s="35">
        <f ca="1"/>
        <v>158606.97565605646</v>
      </c>
      <c r="Q282" s="35">
        <f ca="1"/>
        <v>158755.51294749786</v>
      </c>
    </row>
    <row r="283" spans="8:17">
      <c r="H283" s="35">
        <v>281</v>
      </c>
      <c r="I283" s="35">
        <f ca="1"/>
        <v>1</v>
      </c>
      <c r="J283" s="35">
        <f ca="1"/>
        <v>0</v>
      </c>
      <c r="K283" s="35">
        <f ca="1"/>
        <v>0</v>
      </c>
      <c r="L283" s="35">
        <f ca="1"/>
        <v>0</v>
      </c>
      <c r="M283" s="35">
        <f ca="1"/>
        <v>12929.346335316241</v>
      </c>
      <c r="N283" s="35">
        <f ca="1"/>
        <v>0</v>
      </c>
      <c r="O283" s="35">
        <f ca="1"/>
        <v>0</v>
      </c>
      <c r="P283" s="35">
        <f ca="1"/>
        <v>0</v>
      </c>
      <c r="Q283" s="35">
        <f ca="1"/>
        <v>12929.346335316241</v>
      </c>
    </row>
    <row r="284" spans="8:17">
      <c r="H284" s="35">
        <v>282</v>
      </c>
      <c r="I284" s="35">
        <f ca="1"/>
        <v>0</v>
      </c>
      <c r="J284" s="35">
        <f ca="1"/>
        <v>0</v>
      </c>
      <c r="K284" s="35">
        <f ca="1"/>
        <v>0</v>
      </c>
      <c r="L284" s="35">
        <f ca="1"/>
        <v>1</v>
      </c>
      <c r="M284" s="35">
        <f ca="1"/>
        <v>0</v>
      </c>
      <c r="N284" s="35">
        <f ca="1"/>
        <v>0</v>
      </c>
      <c r="O284" s="35">
        <f ca="1"/>
        <v>0</v>
      </c>
      <c r="P284" s="35">
        <f ca="1"/>
        <v>217904.04081664712</v>
      </c>
      <c r="Q284" s="35">
        <f ca="1"/>
        <v>217904.04081664712</v>
      </c>
    </row>
    <row r="285" spans="8:17">
      <c r="H285" s="35">
        <v>283</v>
      </c>
      <c r="I285" s="35">
        <f ca="1"/>
        <v>0</v>
      </c>
      <c r="J285" s="35">
        <f ca="1"/>
        <v>0</v>
      </c>
      <c r="K285" s="35">
        <f ca="1"/>
        <v>0</v>
      </c>
      <c r="L285" s="35">
        <f ca="1"/>
        <v>1</v>
      </c>
      <c r="M285" s="35">
        <f ca="1"/>
        <v>0</v>
      </c>
      <c r="N285" s="35">
        <f ca="1"/>
        <v>0</v>
      </c>
      <c r="O285" s="35">
        <f ca="1"/>
        <v>0</v>
      </c>
      <c r="P285" s="35">
        <f ca="1"/>
        <v>159905.31470137695</v>
      </c>
      <c r="Q285" s="35">
        <f ca="1"/>
        <v>159905.31470137695</v>
      </c>
    </row>
    <row r="286" spans="8:17">
      <c r="H286" s="35">
        <v>284</v>
      </c>
      <c r="I286" s="35">
        <f ca="1"/>
        <v>0</v>
      </c>
      <c r="J286" s="35">
        <f ca="1"/>
        <v>0</v>
      </c>
      <c r="K286" s="35">
        <f ca="1"/>
        <v>0</v>
      </c>
      <c r="L286" s="35">
        <f ca="1"/>
        <v>1</v>
      </c>
      <c r="M286" s="35">
        <f ca="1"/>
        <v>0</v>
      </c>
      <c r="N286" s="35">
        <f ca="1"/>
        <v>0</v>
      </c>
      <c r="O286" s="35">
        <f ca="1"/>
        <v>0</v>
      </c>
      <c r="P286" s="35">
        <f ca="1"/>
        <v>127382.2418568252</v>
      </c>
      <c r="Q286" s="35">
        <f ca="1"/>
        <v>127382.2418568252</v>
      </c>
    </row>
    <row r="287" spans="8:17">
      <c r="H287" s="35">
        <v>285</v>
      </c>
      <c r="I287" s="35">
        <f ca="1"/>
        <v>0</v>
      </c>
      <c r="J287" s="35">
        <f ca="1"/>
        <v>0</v>
      </c>
      <c r="K287" s="35">
        <f ca="1"/>
        <v>0</v>
      </c>
      <c r="L287" s="35">
        <f ca="1"/>
        <v>1</v>
      </c>
      <c r="M287" s="35">
        <f ca="1"/>
        <v>0</v>
      </c>
      <c r="N287" s="35">
        <f ca="1"/>
        <v>0</v>
      </c>
      <c r="O287" s="35">
        <f ca="1"/>
        <v>0</v>
      </c>
      <c r="P287" s="35">
        <f ca="1"/>
        <v>80477.035654976891</v>
      </c>
      <c r="Q287" s="35">
        <f ca="1"/>
        <v>80477.035654976891</v>
      </c>
    </row>
    <row r="288" spans="8:17">
      <c r="H288" s="35">
        <v>286</v>
      </c>
      <c r="I288" s="35">
        <f ca="1"/>
        <v>0</v>
      </c>
      <c r="J288" s="35">
        <f ca="1"/>
        <v>0</v>
      </c>
      <c r="K288" s="35">
        <f ca="1"/>
        <v>0</v>
      </c>
      <c r="L288" s="35">
        <f ca="1"/>
        <v>1</v>
      </c>
      <c r="M288" s="35">
        <f ca="1"/>
        <v>0</v>
      </c>
      <c r="N288" s="35">
        <f ca="1"/>
        <v>0</v>
      </c>
      <c r="O288" s="35">
        <f ca="1"/>
        <v>0</v>
      </c>
      <c r="P288" s="35">
        <f ca="1"/>
        <v>134432.0440244588</v>
      </c>
      <c r="Q288" s="35">
        <f ca="1"/>
        <v>134432.0440244588</v>
      </c>
    </row>
    <row r="289" spans="8:17">
      <c r="H289" s="35">
        <v>287</v>
      </c>
      <c r="I289" s="35">
        <f ca="1"/>
        <v>0</v>
      </c>
      <c r="J289" s="35">
        <f ca="1"/>
        <v>0</v>
      </c>
      <c r="K289" s="35">
        <f ca="1"/>
        <v>0</v>
      </c>
      <c r="L289" s="35">
        <f ca="1"/>
        <v>1</v>
      </c>
      <c r="M289" s="35">
        <f ca="1"/>
        <v>0</v>
      </c>
      <c r="N289" s="35">
        <f ca="1"/>
        <v>0</v>
      </c>
      <c r="O289" s="35">
        <f ca="1"/>
        <v>0</v>
      </c>
      <c r="P289" s="35">
        <f ca="1"/>
        <v>114129.13117803243</v>
      </c>
      <c r="Q289" s="35">
        <f ca="1"/>
        <v>114129.13117803243</v>
      </c>
    </row>
    <row r="290" spans="8:17">
      <c r="H290" s="35">
        <v>288</v>
      </c>
      <c r="I290" s="35">
        <f ca="1"/>
        <v>0</v>
      </c>
      <c r="J290" s="35">
        <f ca="1"/>
        <v>1</v>
      </c>
      <c r="K290" s="35">
        <f ca="1"/>
        <v>0</v>
      </c>
      <c r="L290" s="35">
        <f ca="1"/>
        <v>1</v>
      </c>
      <c r="M290" s="35">
        <f ca="1"/>
        <v>0</v>
      </c>
      <c r="N290" s="35">
        <f ca="1"/>
        <v>18891.919959810679</v>
      </c>
      <c r="O290" s="35">
        <f ca="1"/>
        <v>0</v>
      </c>
      <c r="P290" s="35">
        <f ca="1"/>
        <v>166635.66796745828</v>
      </c>
      <c r="Q290" s="35">
        <f ca="1"/>
        <v>185527.58792726896</v>
      </c>
    </row>
    <row r="291" spans="8:17">
      <c r="H291" s="35">
        <v>289</v>
      </c>
      <c r="I291" s="35">
        <f ca="1"/>
        <v>0</v>
      </c>
      <c r="J291" s="35">
        <f ca="1"/>
        <v>0</v>
      </c>
      <c r="K291" s="35">
        <f ca="1"/>
        <v>0</v>
      </c>
      <c r="L291" s="35">
        <f ca="1"/>
        <v>0</v>
      </c>
      <c r="M291" s="35">
        <f ca="1"/>
        <v>0</v>
      </c>
      <c r="N291" s="35">
        <f ca="1"/>
        <v>0</v>
      </c>
      <c r="O291" s="35">
        <f ca="1"/>
        <v>0</v>
      </c>
      <c r="P291" s="35">
        <f ca="1"/>
        <v>0</v>
      </c>
      <c r="Q291" s="35">
        <f ca="1"/>
        <v>0</v>
      </c>
    </row>
    <row r="292" spans="8:17">
      <c r="H292" s="35">
        <v>290</v>
      </c>
      <c r="I292" s="35">
        <f ca="1"/>
        <v>1</v>
      </c>
      <c r="J292" s="35">
        <f ca="1"/>
        <v>0</v>
      </c>
      <c r="K292" s="35">
        <f ca="1"/>
        <v>0</v>
      </c>
      <c r="L292" s="35">
        <f ca="1"/>
        <v>1</v>
      </c>
      <c r="M292" s="35">
        <f ca="1"/>
        <v>14048.428696124902</v>
      </c>
      <c r="N292" s="35">
        <f ca="1"/>
        <v>0</v>
      </c>
      <c r="O292" s="35">
        <f ca="1"/>
        <v>0</v>
      </c>
      <c r="P292" s="35">
        <f ca="1"/>
        <v>189085.5470814833</v>
      </c>
      <c r="Q292" s="35">
        <f ca="1"/>
        <v>203133.9757776082</v>
      </c>
    </row>
    <row r="293" spans="8:17">
      <c r="H293" s="35">
        <v>291</v>
      </c>
      <c r="I293" s="35">
        <f ca="1"/>
        <v>0</v>
      </c>
      <c r="J293" s="35">
        <f ca="1"/>
        <v>0</v>
      </c>
      <c r="K293" s="35">
        <f ca="1"/>
        <v>0</v>
      </c>
      <c r="L293" s="35">
        <f ca="1"/>
        <v>1</v>
      </c>
      <c r="M293" s="35">
        <f ca="1"/>
        <v>0</v>
      </c>
      <c r="N293" s="35">
        <f ca="1"/>
        <v>0</v>
      </c>
      <c r="O293" s="35">
        <f ca="1"/>
        <v>0</v>
      </c>
      <c r="P293" s="35">
        <f ca="1"/>
        <v>99390.005585997438</v>
      </c>
      <c r="Q293" s="35">
        <f ca="1"/>
        <v>99390.005585997438</v>
      </c>
    </row>
    <row r="294" spans="8:17">
      <c r="H294" s="35">
        <v>292</v>
      </c>
      <c r="I294" s="35">
        <f ca="1"/>
        <v>0</v>
      </c>
      <c r="J294" s="35">
        <f ca="1"/>
        <v>0</v>
      </c>
      <c r="K294" s="35">
        <f ca="1"/>
        <v>0</v>
      </c>
      <c r="L294" s="35">
        <f ca="1"/>
        <v>1</v>
      </c>
      <c r="M294" s="35">
        <f ca="1"/>
        <v>0</v>
      </c>
      <c r="N294" s="35">
        <f ca="1"/>
        <v>0</v>
      </c>
      <c r="O294" s="35">
        <f ca="1"/>
        <v>0</v>
      </c>
      <c r="P294" s="35">
        <f ca="1"/>
        <v>115851.46185976607</v>
      </c>
      <c r="Q294" s="35">
        <f ca="1"/>
        <v>115851.46185976607</v>
      </c>
    </row>
    <row r="295" spans="8:17">
      <c r="H295" s="35">
        <v>293</v>
      </c>
      <c r="I295" s="35">
        <f ca="1"/>
        <v>0</v>
      </c>
      <c r="J295" s="35">
        <f ca="1"/>
        <v>1</v>
      </c>
      <c r="K295" s="35">
        <f ca="1"/>
        <v>0</v>
      </c>
      <c r="L295" s="35">
        <f ca="1"/>
        <v>1</v>
      </c>
      <c r="M295" s="35">
        <f ca="1"/>
        <v>0</v>
      </c>
      <c r="N295" s="35">
        <f ca="1"/>
        <v>43419.877844184295</v>
      </c>
      <c r="O295" s="35">
        <f ca="1"/>
        <v>0</v>
      </c>
      <c r="P295" s="35">
        <f ca="1"/>
        <v>87298.804951470811</v>
      </c>
      <c r="Q295" s="35">
        <f ca="1"/>
        <v>130718.6827956551</v>
      </c>
    </row>
    <row r="296" spans="8:17">
      <c r="H296" s="35">
        <v>294</v>
      </c>
      <c r="I296" s="35">
        <f ca="1"/>
        <v>0</v>
      </c>
      <c r="J296" s="35">
        <f ca="1"/>
        <v>0</v>
      </c>
      <c r="K296" s="35">
        <f ca="1"/>
        <v>1</v>
      </c>
      <c r="L296" s="35">
        <f ca="1"/>
        <v>1</v>
      </c>
      <c r="M296" s="35">
        <f ca="1"/>
        <v>0</v>
      </c>
      <c r="N296" s="35">
        <f ca="1"/>
        <v>0</v>
      </c>
      <c r="O296" s="35">
        <f ca="1"/>
        <v>31.479191480167529</v>
      </c>
      <c r="P296" s="35">
        <f ca="1"/>
        <v>129397.69140583796</v>
      </c>
      <c r="Q296" s="35">
        <f ca="1"/>
        <v>129429.17059731812</v>
      </c>
    </row>
    <row r="297" spans="8:17">
      <c r="H297" s="35">
        <v>295</v>
      </c>
      <c r="I297" s="35">
        <f ca="1"/>
        <v>1</v>
      </c>
      <c r="J297" s="35">
        <f ca="1"/>
        <v>0</v>
      </c>
      <c r="K297" s="35">
        <f ca="1"/>
        <v>0</v>
      </c>
      <c r="L297" s="35">
        <f ca="1"/>
        <v>1</v>
      </c>
      <c r="M297" s="35">
        <f ca="1"/>
        <v>4774.7759005615508</v>
      </c>
      <c r="N297" s="35">
        <f ca="1"/>
        <v>0</v>
      </c>
      <c r="O297" s="35">
        <f ca="1"/>
        <v>0</v>
      </c>
      <c r="P297" s="35">
        <f ca="1"/>
        <v>169243.60764803426</v>
      </c>
      <c r="Q297" s="35">
        <f ca="1"/>
        <v>174018.3835485958</v>
      </c>
    </row>
    <row r="298" spans="8:17">
      <c r="H298" s="35">
        <v>296</v>
      </c>
      <c r="I298" s="35">
        <f ca="1"/>
        <v>0</v>
      </c>
      <c r="J298" s="35">
        <f ca="1"/>
        <v>0</v>
      </c>
      <c r="K298" s="35">
        <f ca="1"/>
        <v>0</v>
      </c>
      <c r="L298" s="35">
        <f ca="1"/>
        <v>1</v>
      </c>
      <c r="M298" s="35">
        <f ca="1"/>
        <v>0</v>
      </c>
      <c r="N298" s="35">
        <f ca="1"/>
        <v>0</v>
      </c>
      <c r="O298" s="35">
        <f ca="1"/>
        <v>0</v>
      </c>
      <c r="P298" s="35">
        <f ca="1"/>
        <v>56596.825577895746</v>
      </c>
      <c r="Q298" s="35">
        <f ca="1"/>
        <v>56596.825577895746</v>
      </c>
    </row>
    <row r="299" spans="8:17">
      <c r="H299" s="35">
        <v>297</v>
      </c>
      <c r="I299" s="35">
        <f ca="1"/>
        <v>0</v>
      </c>
      <c r="J299" s="35">
        <f ca="1"/>
        <v>0</v>
      </c>
      <c r="K299" s="35">
        <f ca="1"/>
        <v>0</v>
      </c>
      <c r="L299" s="35">
        <f ca="1"/>
        <v>1</v>
      </c>
      <c r="M299" s="35">
        <f ca="1"/>
        <v>0</v>
      </c>
      <c r="N299" s="35">
        <f ca="1"/>
        <v>0</v>
      </c>
      <c r="O299" s="35">
        <f ca="1"/>
        <v>0</v>
      </c>
      <c r="P299" s="35">
        <f ca="1"/>
        <v>169762.47950730851</v>
      </c>
      <c r="Q299" s="35">
        <f ca="1"/>
        <v>169762.47950730851</v>
      </c>
    </row>
    <row r="300" spans="8:17">
      <c r="H300" s="35">
        <v>298</v>
      </c>
      <c r="I300" s="35">
        <f ca="1"/>
        <v>0</v>
      </c>
      <c r="J300" s="35">
        <f ca="1"/>
        <v>0</v>
      </c>
      <c r="K300" s="35">
        <f ca="1"/>
        <v>0</v>
      </c>
      <c r="L300" s="35">
        <f ca="1"/>
        <v>1</v>
      </c>
      <c r="M300" s="35">
        <f ca="1"/>
        <v>0</v>
      </c>
      <c r="N300" s="35">
        <f ca="1"/>
        <v>0</v>
      </c>
      <c r="O300" s="35">
        <f ca="1"/>
        <v>0</v>
      </c>
      <c r="P300" s="35">
        <f ca="1"/>
        <v>116568.78334445594</v>
      </c>
      <c r="Q300" s="35">
        <f ca="1"/>
        <v>116568.78334445594</v>
      </c>
    </row>
    <row r="301" spans="8:17">
      <c r="H301" s="35">
        <v>299</v>
      </c>
      <c r="I301" s="35">
        <f ca="1"/>
        <v>0</v>
      </c>
      <c r="J301" s="35">
        <f ca="1"/>
        <v>0</v>
      </c>
      <c r="K301" s="35">
        <f ca="1"/>
        <v>0</v>
      </c>
      <c r="L301" s="35">
        <f ca="1"/>
        <v>1</v>
      </c>
      <c r="M301" s="35">
        <f ca="1"/>
        <v>0</v>
      </c>
      <c r="N301" s="35">
        <f ca="1"/>
        <v>0</v>
      </c>
      <c r="O301" s="35">
        <f ca="1"/>
        <v>0</v>
      </c>
      <c r="P301" s="35">
        <f ca="1"/>
        <v>181145.79990809713</v>
      </c>
      <c r="Q301" s="35">
        <f ca="1"/>
        <v>181145.79990809713</v>
      </c>
    </row>
    <row r="302" spans="8:17">
      <c r="H302" s="35">
        <v>300</v>
      </c>
      <c r="I302" s="35">
        <f ca="1"/>
        <v>1</v>
      </c>
      <c r="J302" s="35">
        <f ca="1"/>
        <v>0</v>
      </c>
      <c r="K302" s="35">
        <f ca="1"/>
        <v>0</v>
      </c>
      <c r="L302" s="35">
        <f ca="1"/>
        <v>1</v>
      </c>
      <c r="M302" s="35">
        <f ca="1"/>
        <v>5879.3968398846027</v>
      </c>
      <c r="N302" s="35">
        <f ca="1"/>
        <v>0</v>
      </c>
      <c r="O302" s="35">
        <f ca="1"/>
        <v>0</v>
      </c>
      <c r="P302" s="35">
        <f ca="1"/>
        <v>127377.21068511008</v>
      </c>
      <c r="Q302" s="35">
        <f ca="1"/>
        <v>133256.60752499467</v>
      </c>
    </row>
    <row r="303" spans="8:17">
      <c r="H303" s="35">
        <v>301</v>
      </c>
      <c r="I303" s="35">
        <f ca="1"/>
        <v>0</v>
      </c>
      <c r="J303" s="35">
        <f ca="1"/>
        <v>0</v>
      </c>
      <c r="K303" s="35">
        <f ca="1"/>
        <v>0</v>
      </c>
      <c r="L303" s="35">
        <f ca="1"/>
        <v>1</v>
      </c>
      <c r="M303" s="35">
        <f ca="1"/>
        <v>0</v>
      </c>
      <c r="N303" s="35">
        <f ca="1"/>
        <v>0</v>
      </c>
      <c r="O303" s="35">
        <f ca="1"/>
        <v>0</v>
      </c>
      <c r="P303" s="35">
        <f ca="1"/>
        <v>80275.503194423844</v>
      </c>
      <c r="Q303" s="35">
        <f ca="1"/>
        <v>80275.503194423844</v>
      </c>
    </row>
    <row r="304" spans="8:17">
      <c r="H304" s="35">
        <v>302</v>
      </c>
      <c r="I304" s="35">
        <f ca="1"/>
        <v>0</v>
      </c>
      <c r="J304" s="35">
        <f ca="1"/>
        <v>0</v>
      </c>
      <c r="K304" s="35">
        <f ca="1"/>
        <v>1</v>
      </c>
      <c r="L304" s="35">
        <f ca="1"/>
        <v>1</v>
      </c>
      <c r="M304" s="35">
        <f ca="1"/>
        <v>0</v>
      </c>
      <c r="N304" s="35">
        <f ca="1"/>
        <v>0</v>
      </c>
      <c r="O304" s="35">
        <f ca="1"/>
        <v>250.23176864669199</v>
      </c>
      <c r="P304" s="35">
        <f ca="1"/>
        <v>165493.24680448999</v>
      </c>
      <c r="Q304" s="35">
        <f ca="1"/>
        <v>165743.47857313667</v>
      </c>
    </row>
    <row r="305" spans="8:17">
      <c r="H305" s="35">
        <v>303</v>
      </c>
      <c r="I305" s="35">
        <f ca="1"/>
        <v>1</v>
      </c>
      <c r="J305" s="35">
        <f ca="1"/>
        <v>0</v>
      </c>
      <c r="K305" s="35">
        <f ca="1"/>
        <v>1</v>
      </c>
      <c r="L305" s="35">
        <f ca="1"/>
        <v>1</v>
      </c>
      <c r="M305" s="35">
        <f ca="1"/>
        <v>4301.2068575232042</v>
      </c>
      <c r="N305" s="35">
        <f ca="1"/>
        <v>0</v>
      </c>
      <c r="O305" s="35">
        <f ca="1"/>
        <v>406.38607578245814</v>
      </c>
      <c r="P305" s="35">
        <f ca="1"/>
        <v>179781.39407154536</v>
      </c>
      <c r="Q305" s="35">
        <f ca="1"/>
        <v>184488.98700485102</v>
      </c>
    </row>
    <row r="306" spans="8:17">
      <c r="H306" s="35">
        <v>304</v>
      </c>
      <c r="I306" s="35">
        <f ca="1"/>
        <v>0</v>
      </c>
      <c r="J306" s="35">
        <f ca="1"/>
        <v>0</v>
      </c>
      <c r="K306" s="35">
        <f ca="1"/>
        <v>0</v>
      </c>
      <c r="L306" s="35">
        <f ca="1"/>
        <v>0</v>
      </c>
      <c r="M306" s="35">
        <f ca="1"/>
        <v>0</v>
      </c>
      <c r="N306" s="35">
        <f ca="1"/>
        <v>0</v>
      </c>
      <c r="O306" s="35">
        <f ca="1"/>
        <v>0</v>
      </c>
      <c r="P306" s="35">
        <f ca="1"/>
        <v>0</v>
      </c>
      <c r="Q306" s="35">
        <f ca="1"/>
        <v>0</v>
      </c>
    </row>
    <row r="307" spans="8:17">
      <c r="H307" s="35">
        <v>305</v>
      </c>
      <c r="I307" s="35">
        <f ca="1"/>
        <v>1</v>
      </c>
      <c r="J307" s="35">
        <f ca="1"/>
        <v>0</v>
      </c>
      <c r="K307" s="35">
        <f ca="1"/>
        <v>0</v>
      </c>
      <c r="L307" s="35">
        <f ca="1"/>
        <v>1</v>
      </c>
      <c r="M307" s="35">
        <f ca="1"/>
        <v>15195.549586300574</v>
      </c>
      <c r="N307" s="35">
        <f ca="1"/>
        <v>0</v>
      </c>
      <c r="O307" s="35">
        <f ca="1"/>
        <v>0</v>
      </c>
      <c r="P307" s="35">
        <f ca="1"/>
        <v>169439.17060176213</v>
      </c>
      <c r="Q307" s="35">
        <f ca="1"/>
        <v>184634.7201880627</v>
      </c>
    </row>
    <row r="308" spans="8:17">
      <c r="H308" s="35">
        <v>306</v>
      </c>
      <c r="I308" s="35">
        <f ca="1"/>
        <v>0</v>
      </c>
      <c r="J308" s="35">
        <f ca="1"/>
        <v>1</v>
      </c>
      <c r="K308" s="35">
        <f ca="1"/>
        <v>0</v>
      </c>
      <c r="L308" s="35">
        <f ca="1"/>
        <v>1</v>
      </c>
      <c r="M308" s="35">
        <f ca="1"/>
        <v>0</v>
      </c>
      <c r="N308" s="35">
        <f ca="1"/>
        <v>51038.727888716705</v>
      </c>
      <c r="O308" s="35">
        <f ca="1"/>
        <v>0</v>
      </c>
      <c r="P308" s="35">
        <f ca="1"/>
        <v>86854.405723013391</v>
      </c>
      <c r="Q308" s="35">
        <f ca="1"/>
        <v>137893.1336117301</v>
      </c>
    </row>
    <row r="309" spans="8:17">
      <c r="H309" s="35">
        <v>307</v>
      </c>
      <c r="I309" s="35">
        <f ca="1"/>
        <v>0</v>
      </c>
      <c r="J309" s="35">
        <f ca="1"/>
        <v>0</v>
      </c>
      <c r="K309" s="35">
        <f ca="1"/>
        <v>0</v>
      </c>
      <c r="L309" s="35">
        <f ca="1"/>
        <v>1</v>
      </c>
      <c r="M309" s="35">
        <f ca="1"/>
        <v>0</v>
      </c>
      <c r="N309" s="35">
        <f ca="1"/>
        <v>0</v>
      </c>
      <c r="O309" s="35">
        <f ca="1"/>
        <v>0</v>
      </c>
      <c r="P309" s="35">
        <f ca="1"/>
        <v>129116.41234320374</v>
      </c>
      <c r="Q309" s="35">
        <f ca="1"/>
        <v>129116.41234320374</v>
      </c>
    </row>
    <row r="310" spans="8:17">
      <c r="H310" s="35">
        <v>308</v>
      </c>
      <c r="I310" s="35">
        <f ca="1"/>
        <v>0</v>
      </c>
      <c r="J310" s="35">
        <f ca="1"/>
        <v>0</v>
      </c>
      <c r="K310" s="35">
        <f ca="1"/>
        <v>0</v>
      </c>
      <c r="L310" s="35">
        <f ca="1"/>
        <v>1</v>
      </c>
      <c r="M310" s="35">
        <f ca="1"/>
        <v>0</v>
      </c>
      <c r="N310" s="35">
        <f ca="1"/>
        <v>0</v>
      </c>
      <c r="O310" s="35">
        <f ca="1"/>
        <v>0</v>
      </c>
      <c r="P310" s="35">
        <f ca="1"/>
        <v>117849.320638606</v>
      </c>
      <c r="Q310" s="35">
        <f ca="1"/>
        <v>117849.320638606</v>
      </c>
    </row>
    <row r="311" spans="8:17">
      <c r="H311" s="35">
        <v>309</v>
      </c>
      <c r="I311" s="35">
        <f ca="1"/>
        <v>0</v>
      </c>
      <c r="J311" s="35">
        <f ca="1"/>
        <v>0</v>
      </c>
      <c r="K311" s="35">
        <f ca="1"/>
        <v>0</v>
      </c>
      <c r="L311" s="35">
        <f ca="1"/>
        <v>1</v>
      </c>
      <c r="M311" s="35">
        <f ca="1"/>
        <v>0</v>
      </c>
      <c r="N311" s="35">
        <f ca="1"/>
        <v>0</v>
      </c>
      <c r="O311" s="35">
        <f ca="1"/>
        <v>0</v>
      </c>
      <c r="P311" s="35">
        <f ca="1"/>
        <v>123916.5255869337</v>
      </c>
      <c r="Q311" s="35">
        <f ca="1"/>
        <v>123916.5255869337</v>
      </c>
    </row>
    <row r="312" spans="8:17">
      <c r="H312" s="35">
        <v>310</v>
      </c>
      <c r="I312" s="35">
        <f ca="1"/>
        <v>0</v>
      </c>
      <c r="J312" s="35">
        <f ca="1"/>
        <v>0</v>
      </c>
      <c r="K312" s="35">
        <f ca="1"/>
        <v>0</v>
      </c>
      <c r="L312" s="35">
        <f ca="1"/>
        <v>1</v>
      </c>
      <c r="M312" s="35">
        <f ca="1"/>
        <v>0</v>
      </c>
      <c r="N312" s="35">
        <f ca="1"/>
        <v>0</v>
      </c>
      <c r="O312" s="35">
        <f ca="1"/>
        <v>0</v>
      </c>
      <c r="P312" s="35">
        <f ca="1"/>
        <v>133444.29350116203</v>
      </c>
      <c r="Q312" s="35">
        <f ca="1"/>
        <v>133444.29350116203</v>
      </c>
    </row>
    <row r="313" spans="8:17">
      <c r="H313" s="35">
        <v>311</v>
      </c>
      <c r="I313" s="35">
        <f ca="1"/>
        <v>0</v>
      </c>
      <c r="J313" s="35">
        <f ca="1"/>
        <v>0</v>
      </c>
      <c r="K313" s="35">
        <f ca="1"/>
        <v>0</v>
      </c>
      <c r="L313" s="35">
        <f ca="1"/>
        <v>1</v>
      </c>
      <c r="M313" s="35">
        <f ca="1"/>
        <v>0</v>
      </c>
      <c r="N313" s="35">
        <f ca="1"/>
        <v>0</v>
      </c>
      <c r="O313" s="35">
        <f ca="1"/>
        <v>0</v>
      </c>
      <c r="P313" s="35">
        <f ca="1"/>
        <v>119251.48276542977</v>
      </c>
      <c r="Q313" s="35">
        <f ca="1"/>
        <v>119251.48276542977</v>
      </c>
    </row>
    <row r="314" spans="8:17">
      <c r="H314" s="35">
        <v>312</v>
      </c>
      <c r="I314" s="35">
        <f ca="1"/>
        <v>0</v>
      </c>
      <c r="J314" s="35">
        <f ca="1"/>
        <v>0</v>
      </c>
      <c r="K314" s="35">
        <f ca="1"/>
        <v>0</v>
      </c>
      <c r="L314" s="35">
        <f ca="1"/>
        <v>0</v>
      </c>
      <c r="M314" s="35">
        <f ca="1"/>
        <v>0</v>
      </c>
      <c r="N314" s="35">
        <f ca="1"/>
        <v>0</v>
      </c>
      <c r="O314" s="35">
        <f ca="1"/>
        <v>0</v>
      </c>
      <c r="P314" s="35">
        <f ca="1"/>
        <v>0</v>
      </c>
      <c r="Q314" s="35">
        <f ca="1"/>
        <v>0</v>
      </c>
    </row>
    <row r="315" spans="8:17">
      <c r="H315" s="35">
        <v>313</v>
      </c>
      <c r="I315" s="35">
        <f ca="1"/>
        <v>0</v>
      </c>
      <c r="J315" s="35">
        <f ca="1"/>
        <v>0</v>
      </c>
      <c r="K315" s="35">
        <f ca="1"/>
        <v>0</v>
      </c>
      <c r="L315" s="35">
        <f ca="1"/>
        <v>1</v>
      </c>
      <c r="M315" s="35">
        <f ca="1"/>
        <v>0</v>
      </c>
      <c r="N315" s="35">
        <f ca="1"/>
        <v>0</v>
      </c>
      <c r="O315" s="35">
        <f ca="1"/>
        <v>0</v>
      </c>
      <c r="P315" s="35">
        <f ca="1"/>
        <v>103369.05771648453</v>
      </c>
      <c r="Q315" s="35">
        <f ca="1"/>
        <v>103369.05771648453</v>
      </c>
    </row>
    <row r="316" spans="8:17">
      <c r="H316" s="35">
        <v>314</v>
      </c>
      <c r="I316" s="35">
        <f ca="1"/>
        <v>0</v>
      </c>
      <c r="J316" s="35">
        <f ca="1"/>
        <v>0</v>
      </c>
      <c r="K316" s="35">
        <f ca="1"/>
        <v>1</v>
      </c>
      <c r="L316" s="35">
        <f ca="1"/>
        <v>1</v>
      </c>
      <c r="M316" s="35">
        <f ca="1"/>
        <v>0</v>
      </c>
      <c r="N316" s="35">
        <f ca="1"/>
        <v>0</v>
      </c>
      <c r="O316" s="35">
        <f ca="1"/>
        <v>204.23703573001634</v>
      </c>
      <c r="P316" s="35">
        <f ca="1"/>
        <v>151281.41988132318</v>
      </c>
      <c r="Q316" s="35">
        <f ca="1"/>
        <v>151485.65691705319</v>
      </c>
    </row>
    <row r="317" spans="8:17">
      <c r="H317" s="35">
        <v>315</v>
      </c>
      <c r="I317" s="35">
        <f ca="1"/>
        <v>0</v>
      </c>
      <c r="J317" s="35">
        <f ca="1"/>
        <v>0</v>
      </c>
      <c r="K317" s="35">
        <f ca="1"/>
        <v>0</v>
      </c>
      <c r="L317" s="35">
        <f ca="1"/>
        <v>1</v>
      </c>
      <c r="M317" s="35">
        <f ca="1"/>
        <v>0</v>
      </c>
      <c r="N317" s="35">
        <f ca="1"/>
        <v>0</v>
      </c>
      <c r="O317" s="35">
        <f ca="1"/>
        <v>0</v>
      </c>
      <c r="P317" s="35">
        <f ca="1"/>
        <v>126586.71849337957</v>
      </c>
      <c r="Q317" s="35">
        <f ca="1"/>
        <v>126586.71849337957</v>
      </c>
    </row>
    <row r="318" spans="8:17">
      <c r="H318" s="35">
        <v>316</v>
      </c>
      <c r="I318" s="35">
        <f ca="1"/>
        <v>0</v>
      </c>
      <c r="J318" s="35">
        <f ca="1"/>
        <v>0</v>
      </c>
      <c r="K318" s="35">
        <f ca="1"/>
        <v>0</v>
      </c>
      <c r="L318" s="35">
        <f ca="1"/>
        <v>1</v>
      </c>
      <c r="M318" s="35">
        <f ca="1"/>
        <v>0</v>
      </c>
      <c r="N318" s="35">
        <f ca="1"/>
        <v>0</v>
      </c>
      <c r="O318" s="35">
        <f ca="1"/>
        <v>0</v>
      </c>
      <c r="P318" s="35">
        <f ca="1"/>
        <v>192191.81154652167</v>
      </c>
      <c r="Q318" s="35">
        <f ca="1"/>
        <v>192191.81154652167</v>
      </c>
    </row>
    <row r="319" spans="8:17">
      <c r="H319" s="35">
        <v>317</v>
      </c>
      <c r="I319" s="35">
        <f ca="1"/>
        <v>1</v>
      </c>
      <c r="J319" s="35">
        <f ca="1"/>
        <v>1</v>
      </c>
      <c r="K319" s="35">
        <f ca="1"/>
        <v>0</v>
      </c>
      <c r="L319" s="35">
        <f ca="1"/>
        <v>0</v>
      </c>
      <c r="M319" s="35">
        <f ca="1"/>
        <v>9624.9263754023232</v>
      </c>
      <c r="N319" s="35">
        <f ca="1"/>
        <v>34838.260976165868</v>
      </c>
      <c r="O319" s="35">
        <f ca="1"/>
        <v>0</v>
      </c>
      <c r="P319" s="35">
        <f ca="1"/>
        <v>0</v>
      </c>
      <c r="Q319" s="35">
        <f ca="1"/>
        <v>44463.187351568195</v>
      </c>
    </row>
    <row r="320" spans="8:17">
      <c r="H320" s="35">
        <v>318</v>
      </c>
      <c r="I320" s="35">
        <f ca="1"/>
        <v>0</v>
      </c>
      <c r="J320" s="35">
        <f ca="1"/>
        <v>0</v>
      </c>
      <c r="K320" s="35">
        <f ca="1"/>
        <v>1</v>
      </c>
      <c r="L320" s="35">
        <f ca="1"/>
        <v>1</v>
      </c>
      <c r="M320" s="35">
        <f ca="1"/>
        <v>0</v>
      </c>
      <c r="N320" s="35">
        <f ca="1"/>
        <v>0</v>
      </c>
      <c r="O320" s="35">
        <f ca="1"/>
        <v>554.82828824171224</v>
      </c>
      <c r="P320" s="35">
        <f ca="1"/>
        <v>101966.63894673272</v>
      </c>
      <c r="Q320" s="35">
        <f ca="1"/>
        <v>102521.46723497444</v>
      </c>
    </row>
    <row r="321" spans="8:17">
      <c r="H321" s="35">
        <v>319</v>
      </c>
      <c r="I321" s="35">
        <f ca="1"/>
        <v>1</v>
      </c>
      <c r="J321" s="35">
        <f ca="1"/>
        <v>1</v>
      </c>
      <c r="K321" s="35">
        <f ca="1"/>
        <v>1</v>
      </c>
      <c r="L321" s="35">
        <f ca="1"/>
        <v>0</v>
      </c>
      <c r="M321" s="35">
        <f ca="1"/>
        <v>14328.341941308447</v>
      </c>
      <c r="N321" s="35">
        <f ca="1"/>
        <v>35110.518024653145</v>
      </c>
      <c r="O321" s="35">
        <f ca="1"/>
        <v>157.49176540766663</v>
      </c>
      <c r="P321" s="35">
        <f ca="1"/>
        <v>0</v>
      </c>
      <c r="Q321" s="35">
        <f ca="1"/>
        <v>49596.351731369257</v>
      </c>
    </row>
    <row r="322" spans="8:17">
      <c r="H322" s="35">
        <v>320</v>
      </c>
      <c r="I322" s="35">
        <f ca="1"/>
        <v>0</v>
      </c>
      <c r="J322" s="35">
        <f ca="1"/>
        <v>0</v>
      </c>
      <c r="K322" s="35">
        <f ca="1"/>
        <v>0</v>
      </c>
      <c r="L322" s="35">
        <f ca="1"/>
        <v>1</v>
      </c>
      <c r="M322" s="35">
        <f ca="1"/>
        <v>0</v>
      </c>
      <c r="N322" s="35">
        <f ca="1"/>
        <v>0</v>
      </c>
      <c r="O322" s="35">
        <f ca="1"/>
        <v>0</v>
      </c>
      <c r="P322" s="35">
        <f ca="1"/>
        <v>110631.72883068734</v>
      </c>
      <c r="Q322" s="35">
        <f ca="1"/>
        <v>110631.72883068734</v>
      </c>
    </row>
    <row r="323" spans="8:17">
      <c r="H323" s="35">
        <v>321</v>
      </c>
      <c r="I323" s="35">
        <f ca="1"/>
        <v>1</v>
      </c>
      <c r="J323" s="35">
        <f ca="1"/>
        <v>0</v>
      </c>
      <c r="K323" s="35">
        <f ca="1"/>
        <v>0</v>
      </c>
      <c r="L323" s="35">
        <f ca="1"/>
        <v>1</v>
      </c>
      <c r="M323" s="35">
        <f ca="1"/>
        <v>7259.3627357937603</v>
      </c>
      <c r="N323" s="35">
        <f ca="1"/>
        <v>0</v>
      </c>
      <c r="O323" s="35">
        <f ca="1"/>
        <v>0</v>
      </c>
      <c r="P323" s="35">
        <f ca="1"/>
        <v>138362.13798107358</v>
      </c>
      <c r="Q323" s="35">
        <f ca="1"/>
        <v>145621.50071686733</v>
      </c>
    </row>
    <row r="324" spans="8:17">
      <c r="H324" s="35">
        <v>322</v>
      </c>
      <c r="I324" s="35">
        <f ca="1"/>
        <v>0</v>
      </c>
      <c r="J324" s="35">
        <f ca="1"/>
        <v>0</v>
      </c>
      <c r="K324" s="35">
        <f ca="1"/>
        <v>0</v>
      </c>
      <c r="L324" s="35">
        <f ca="1"/>
        <v>1</v>
      </c>
      <c r="M324" s="35">
        <f ca="1"/>
        <v>0</v>
      </c>
      <c r="N324" s="35">
        <f ca="1"/>
        <v>0</v>
      </c>
      <c r="O324" s="35">
        <f ca="1"/>
        <v>0</v>
      </c>
      <c r="P324" s="35">
        <f ca="1"/>
        <v>181750.34291881061</v>
      </c>
      <c r="Q324" s="35">
        <f ca="1"/>
        <v>181750.34291881061</v>
      </c>
    </row>
    <row r="325" spans="8:17">
      <c r="H325" s="35">
        <v>323</v>
      </c>
      <c r="I325" s="35">
        <f ca="1"/>
        <v>1</v>
      </c>
      <c r="J325" s="35">
        <f ca="1"/>
        <v>0</v>
      </c>
      <c r="K325" s="35">
        <f ca="1"/>
        <v>0</v>
      </c>
      <c r="L325" s="35">
        <f ca="1"/>
        <v>1</v>
      </c>
      <c r="M325" s="35">
        <f ca="1"/>
        <v>8095.4394643643227</v>
      </c>
      <c r="N325" s="35">
        <f ca="1"/>
        <v>0</v>
      </c>
      <c r="O325" s="35">
        <f ca="1"/>
        <v>0</v>
      </c>
      <c r="P325" s="35">
        <f ca="1"/>
        <v>153372.04162902661</v>
      </c>
      <c r="Q325" s="35">
        <f ca="1"/>
        <v>161467.48109339093</v>
      </c>
    </row>
    <row r="326" spans="8:17">
      <c r="H326" s="35">
        <v>324</v>
      </c>
      <c r="I326" s="35">
        <f ca="1"/>
        <v>1</v>
      </c>
      <c r="J326" s="35">
        <f ca="1"/>
        <v>0</v>
      </c>
      <c r="K326" s="35">
        <f ca="1"/>
        <v>0</v>
      </c>
      <c r="L326" s="35">
        <f ca="1"/>
        <v>1</v>
      </c>
      <c r="M326" s="35">
        <f ca="1"/>
        <v>8731.0159494960244</v>
      </c>
      <c r="N326" s="35">
        <f ca="1"/>
        <v>0</v>
      </c>
      <c r="O326" s="35">
        <f ca="1"/>
        <v>0</v>
      </c>
      <c r="P326" s="35">
        <f ca="1"/>
        <v>168293.22646663585</v>
      </c>
      <c r="Q326" s="35">
        <f ca="1"/>
        <v>177024.24241613189</v>
      </c>
    </row>
    <row r="327" spans="8:17">
      <c r="H327" s="35">
        <v>325</v>
      </c>
      <c r="I327" s="35">
        <f ca="1"/>
        <v>0</v>
      </c>
      <c r="J327" s="35">
        <f ca="1"/>
        <v>0</v>
      </c>
      <c r="K327" s="35">
        <f ca="1"/>
        <v>0</v>
      </c>
      <c r="L327" s="35">
        <f ca="1"/>
        <v>1</v>
      </c>
      <c r="M327" s="35">
        <f ca="1"/>
        <v>0</v>
      </c>
      <c r="N327" s="35">
        <f ca="1"/>
        <v>0</v>
      </c>
      <c r="O327" s="35">
        <f ca="1"/>
        <v>0</v>
      </c>
      <c r="P327" s="35">
        <f ca="1"/>
        <v>148447.76023059941</v>
      </c>
      <c r="Q327" s="35">
        <f ca="1"/>
        <v>148447.76023059941</v>
      </c>
    </row>
    <row r="328" spans="8:17">
      <c r="H328" s="35">
        <v>326</v>
      </c>
      <c r="I328" s="35">
        <f ca="1"/>
        <v>0</v>
      </c>
      <c r="J328" s="35">
        <f ca="1"/>
        <v>0</v>
      </c>
      <c r="K328" s="35">
        <f ca="1"/>
        <v>0</v>
      </c>
      <c r="L328" s="35">
        <f ca="1"/>
        <v>1</v>
      </c>
      <c r="M328" s="35">
        <f ca="1"/>
        <v>0</v>
      </c>
      <c r="N328" s="35">
        <f ca="1"/>
        <v>0</v>
      </c>
      <c r="O328" s="35">
        <f ca="1"/>
        <v>0</v>
      </c>
      <c r="P328" s="35">
        <f ca="1"/>
        <v>175460.41767920592</v>
      </c>
      <c r="Q328" s="35">
        <f ca="1"/>
        <v>175460.41767920592</v>
      </c>
    </row>
    <row r="329" spans="8:17">
      <c r="H329" s="35">
        <v>327</v>
      </c>
      <c r="I329" s="35">
        <f ca="1"/>
        <v>0</v>
      </c>
      <c r="J329" s="35">
        <f ca="1"/>
        <v>0</v>
      </c>
      <c r="K329" s="35">
        <f ca="1"/>
        <v>0</v>
      </c>
      <c r="L329" s="35">
        <f ca="1"/>
        <v>1</v>
      </c>
      <c r="M329" s="35">
        <f ca="1"/>
        <v>0</v>
      </c>
      <c r="N329" s="35">
        <f ca="1"/>
        <v>0</v>
      </c>
      <c r="O329" s="35">
        <f ca="1"/>
        <v>0</v>
      </c>
      <c r="P329" s="35">
        <f ca="1"/>
        <v>102896.5055266147</v>
      </c>
      <c r="Q329" s="35">
        <f ca="1"/>
        <v>102896.5055266147</v>
      </c>
    </row>
    <row r="330" spans="8:17">
      <c r="H330" s="35">
        <v>328</v>
      </c>
      <c r="I330" s="35">
        <f ca="1"/>
        <v>0</v>
      </c>
      <c r="J330" s="35">
        <f ca="1"/>
        <v>0</v>
      </c>
      <c r="K330" s="35">
        <f ca="1"/>
        <v>0</v>
      </c>
      <c r="L330" s="35">
        <f ca="1"/>
        <v>0</v>
      </c>
      <c r="M330" s="35">
        <f ca="1"/>
        <v>0</v>
      </c>
      <c r="N330" s="35">
        <f ca="1"/>
        <v>0</v>
      </c>
      <c r="O330" s="35">
        <f ca="1"/>
        <v>0</v>
      </c>
      <c r="P330" s="35">
        <f ca="1"/>
        <v>0</v>
      </c>
      <c r="Q330" s="35">
        <f ca="1"/>
        <v>0</v>
      </c>
    </row>
    <row r="331" spans="8:17">
      <c r="H331" s="35">
        <v>329</v>
      </c>
      <c r="I331" s="35">
        <f ca="1"/>
        <v>0</v>
      </c>
      <c r="J331" s="35">
        <f ca="1"/>
        <v>0</v>
      </c>
      <c r="K331" s="35">
        <f ca="1"/>
        <v>0</v>
      </c>
      <c r="L331" s="35">
        <f ca="1"/>
        <v>0</v>
      </c>
      <c r="M331" s="35">
        <f ca="1"/>
        <v>0</v>
      </c>
      <c r="N331" s="35">
        <f ca="1"/>
        <v>0</v>
      </c>
      <c r="O331" s="35">
        <f ca="1"/>
        <v>0</v>
      </c>
      <c r="P331" s="35">
        <f ca="1"/>
        <v>0</v>
      </c>
      <c r="Q331" s="35">
        <f ca="1"/>
        <v>0</v>
      </c>
    </row>
    <row r="332" spans="8:17">
      <c r="H332" s="35">
        <v>330</v>
      </c>
      <c r="I332" s="35">
        <f ca="1"/>
        <v>0</v>
      </c>
      <c r="J332" s="35">
        <f ca="1"/>
        <v>0</v>
      </c>
      <c r="K332" s="35">
        <f ca="1"/>
        <v>0</v>
      </c>
      <c r="L332" s="35">
        <f ca="1"/>
        <v>1</v>
      </c>
      <c r="M332" s="35">
        <f ca="1"/>
        <v>0</v>
      </c>
      <c r="N332" s="35">
        <f ca="1"/>
        <v>0</v>
      </c>
      <c r="O332" s="35">
        <f ca="1"/>
        <v>0</v>
      </c>
      <c r="P332" s="35">
        <f ca="1"/>
        <v>146984.01430555573</v>
      </c>
      <c r="Q332" s="35">
        <f ca="1"/>
        <v>146984.01430555573</v>
      </c>
    </row>
    <row r="333" spans="8:17">
      <c r="H333" s="35">
        <v>331</v>
      </c>
      <c r="I333" s="35">
        <f ca="1"/>
        <v>1</v>
      </c>
      <c r="J333" s="35">
        <f ca="1"/>
        <v>0</v>
      </c>
      <c r="K333" s="35">
        <f ca="1"/>
        <v>0</v>
      </c>
      <c r="L333" s="35">
        <f ca="1"/>
        <v>1</v>
      </c>
      <c r="M333" s="35">
        <f ca="1"/>
        <v>13516.49043193252</v>
      </c>
      <c r="N333" s="35">
        <f ca="1"/>
        <v>0</v>
      </c>
      <c r="O333" s="35">
        <f ca="1"/>
        <v>0</v>
      </c>
      <c r="P333" s="35">
        <f ca="1"/>
        <v>121274.74563506361</v>
      </c>
      <c r="Q333" s="35">
        <f ca="1"/>
        <v>134791.23606699612</v>
      </c>
    </row>
    <row r="334" spans="8:17">
      <c r="H334" s="35">
        <v>332</v>
      </c>
      <c r="I334" s="35">
        <f ca="1"/>
        <v>0</v>
      </c>
      <c r="J334" s="35">
        <f ca="1"/>
        <v>1</v>
      </c>
      <c r="K334" s="35">
        <f ca="1"/>
        <v>0</v>
      </c>
      <c r="L334" s="35">
        <f ca="1"/>
        <v>1</v>
      </c>
      <c r="M334" s="35">
        <f ca="1"/>
        <v>0</v>
      </c>
      <c r="N334" s="35">
        <f ca="1"/>
        <v>40177.804508771798</v>
      </c>
      <c r="O334" s="35">
        <f ca="1"/>
        <v>0</v>
      </c>
      <c r="P334" s="35">
        <f ca="1"/>
        <v>113955.93556716907</v>
      </c>
      <c r="Q334" s="35">
        <f ca="1"/>
        <v>154133.74007594088</v>
      </c>
    </row>
    <row r="335" spans="8:17">
      <c r="H335" s="35">
        <v>333</v>
      </c>
      <c r="I335" s="35">
        <f ca="1"/>
        <v>1</v>
      </c>
      <c r="J335" s="35">
        <f ca="1"/>
        <v>1</v>
      </c>
      <c r="K335" s="35">
        <f ca="1"/>
        <v>0</v>
      </c>
      <c r="L335" s="35">
        <f ca="1"/>
        <v>1</v>
      </c>
      <c r="M335" s="35">
        <f ca="1"/>
        <v>15567.490240417317</v>
      </c>
      <c r="N335" s="35">
        <f ca="1"/>
        <v>32680.516371990005</v>
      </c>
      <c r="O335" s="35">
        <f ca="1"/>
        <v>0</v>
      </c>
      <c r="P335" s="35">
        <f ca="1"/>
        <v>160598.30034125023</v>
      </c>
      <c r="Q335" s="35">
        <f ca="1"/>
        <v>208846.30695365753</v>
      </c>
    </row>
    <row r="336" spans="8:17">
      <c r="H336" s="35">
        <v>334</v>
      </c>
      <c r="I336" s="35">
        <f ca="1"/>
        <v>0</v>
      </c>
      <c r="J336" s="35">
        <f ca="1"/>
        <v>1</v>
      </c>
      <c r="K336" s="35">
        <f ca="1"/>
        <v>0</v>
      </c>
      <c r="L336" s="35">
        <f ca="1"/>
        <v>1</v>
      </c>
      <c r="M336" s="35">
        <f ca="1"/>
        <v>0</v>
      </c>
      <c r="N336" s="35">
        <f ca="1"/>
        <v>20791.103760567359</v>
      </c>
      <c r="O336" s="35">
        <f ca="1"/>
        <v>0</v>
      </c>
      <c r="P336" s="35">
        <f ca="1"/>
        <v>135662.57702569861</v>
      </c>
      <c r="Q336" s="35">
        <f ca="1"/>
        <v>156453.68078626596</v>
      </c>
    </row>
    <row r="337" spans="8:17">
      <c r="H337" s="35">
        <v>335</v>
      </c>
      <c r="I337" s="35">
        <f ca="1"/>
        <v>0</v>
      </c>
      <c r="J337" s="35">
        <f ca="1"/>
        <v>0</v>
      </c>
      <c r="K337" s="35">
        <f ca="1"/>
        <v>0</v>
      </c>
      <c r="L337" s="35">
        <f ca="1"/>
        <v>1</v>
      </c>
      <c r="M337" s="35">
        <f ca="1"/>
        <v>0</v>
      </c>
      <c r="N337" s="35">
        <f ca="1"/>
        <v>0</v>
      </c>
      <c r="O337" s="35">
        <f ca="1"/>
        <v>0</v>
      </c>
      <c r="P337" s="35">
        <f ca="1"/>
        <v>157699.23893796979</v>
      </c>
      <c r="Q337" s="35">
        <f ca="1"/>
        <v>157699.23893796979</v>
      </c>
    </row>
    <row r="338" spans="8:17">
      <c r="H338" s="35">
        <v>336</v>
      </c>
      <c r="I338" s="35">
        <f ca="1"/>
        <v>0</v>
      </c>
      <c r="J338" s="35">
        <f ca="1"/>
        <v>0</v>
      </c>
      <c r="K338" s="35">
        <f ca="1"/>
        <v>1</v>
      </c>
      <c r="L338" s="35">
        <f ca="1"/>
        <v>1</v>
      </c>
      <c r="M338" s="35">
        <f ca="1"/>
        <v>0</v>
      </c>
      <c r="N338" s="35">
        <f ca="1"/>
        <v>0</v>
      </c>
      <c r="O338" s="35">
        <f ca="1"/>
        <v>421.80406695657348</v>
      </c>
      <c r="P338" s="35">
        <f ca="1"/>
        <v>131809.17252282155</v>
      </c>
      <c r="Q338" s="35">
        <f ca="1"/>
        <v>132230.97658977812</v>
      </c>
    </row>
    <row r="339" spans="8:17">
      <c r="H339" s="35">
        <v>337</v>
      </c>
      <c r="I339" s="35">
        <f ca="1"/>
        <v>0</v>
      </c>
      <c r="J339" s="35">
        <f ca="1"/>
        <v>0</v>
      </c>
      <c r="K339" s="35">
        <f ca="1"/>
        <v>0</v>
      </c>
      <c r="L339" s="35">
        <f ca="1"/>
        <v>1</v>
      </c>
      <c r="M339" s="35">
        <f ca="1"/>
        <v>0</v>
      </c>
      <c r="N339" s="35">
        <f ca="1"/>
        <v>0</v>
      </c>
      <c r="O339" s="35">
        <f ca="1"/>
        <v>0</v>
      </c>
      <c r="P339" s="35">
        <f ca="1"/>
        <v>118199.37579766395</v>
      </c>
      <c r="Q339" s="35">
        <f ca="1"/>
        <v>118199.37579766395</v>
      </c>
    </row>
    <row r="340" spans="8:17">
      <c r="H340" s="35">
        <v>338</v>
      </c>
      <c r="I340" s="35">
        <f ca="1"/>
        <v>0</v>
      </c>
      <c r="J340" s="35">
        <f ca="1"/>
        <v>0</v>
      </c>
      <c r="K340" s="35">
        <f ca="1"/>
        <v>0</v>
      </c>
      <c r="L340" s="35">
        <f ca="1"/>
        <v>1</v>
      </c>
      <c r="M340" s="35">
        <f ca="1"/>
        <v>0</v>
      </c>
      <c r="N340" s="35">
        <f ca="1"/>
        <v>0</v>
      </c>
      <c r="O340" s="35">
        <f ca="1"/>
        <v>0</v>
      </c>
      <c r="P340" s="35">
        <f ca="1"/>
        <v>89198.284644321073</v>
      </c>
      <c r="Q340" s="35">
        <f ca="1"/>
        <v>89198.284644321073</v>
      </c>
    </row>
    <row r="341" spans="8:17">
      <c r="H341" s="35">
        <v>339</v>
      </c>
      <c r="I341" s="35">
        <f ca="1"/>
        <v>1</v>
      </c>
      <c r="J341" s="35">
        <f ca="1"/>
        <v>0</v>
      </c>
      <c r="K341" s="35">
        <f ca="1"/>
        <v>0</v>
      </c>
      <c r="L341" s="35">
        <f ca="1"/>
        <v>1</v>
      </c>
      <c r="M341" s="35">
        <f ca="1"/>
        <v>10495.060232477641</v>
      </c>
      <c r="N341" s="35">
        <f ca="1"/>
        <v>0</v>
      </c>
      <c r="O341" s="35">
        <f ca="1"/>
        <v>0</v>
      </c>
      <c r="P341" s="35">
        <f ca="1"/>
        <v>162152.29310201376</v>
      </c>
      <c r="Q341" s="35">
        <f ca="1"/>
        <v>172647.3533344914</v>
      </c>
    </row>
    <row r="342" spans="8:17">
      <c r="H342" s="35">
        <v>340</v>
      </c>
      <c r="I342" s="35">
        <f ca="1"/>
        <v>0</v>
      </c>
      <c r="J342" s="35">
        <f ca="1"/>
        <v>0</v>
      </c>
      <c r="K342" s="35">
        <f ca="1"/>
        <v>0</v>
      </c>
      <c r="L342" s="35">
        <f ca="1"/>
        <v>1</v>
      </c>
      <c r="M342" s="35">
        <f ca="1"/>
        <v>0</v>
      </c>
      <c r="N342" s="35">
        <f ca="1"/>
        <v>0</v>
      </c>
      <c r="O342" s="35">
        <f ca="1"/>
        <v>0</v>
      </c>
      <c r="P342" s="35">
        <f ca="1"/>
        <v>113141.30570230543</v>
      </c>
      <c r="Q342" s="35">
        <f ca="1"/>
        <v>113141.30570230543</v>
      </c>
    </row>
    <row r="343" spans="8:17">
      <c r="H343" s="35">
        <v>341</v>
      </c>
      <c r="I343" s="35">
        <f ca="1"/>
        <v>0</v>
      </c>
      <c r="J343" s="35">
        <f ca="1"/>
        <v>0</v>
      </c>
      <c r="K343" s="35">
        <f ca="1"/>
        <v>0</v>
      </c>
      <c r="L343" s="35">
        <f ca="1"/>
        <v>1</v>
      </c>
      <c r="M343" s="35">
        <f ca="1"/>
        <v>0</v>
      </c>
      <c r="N343" s="35">
        <f ca="1"/>
        <v>0</v>
      </c>
      <c r="O343" s="35">
        <f ca="1"/>
        <v>0</v>
      </c>
      <c r="P343" s="35">
        <f ca="1"/>
        <v>87420.7652053356</v>
      </c>
      <c r="Q343" s="35">
        <f ca="1"/>
        <v>87420.7652053356</v>
      </c>
    </row>
    <row r="344" spans="8:17">
      <c r="H344" s="35">
        <v>342</v>
      </c>
      <c r="I344" s="35">
        <f ca="1"/>
        <v>0</v>
      </c>
      <c r="J344" s="35">
        <f ca="1"/>
        <v>0</v>
      </c>
      <c r="K344" s="35">
        <f ca="1"/>
        <v>0</v>
      </c>
      <c r="L344" s="35">
        <f ca="1"/>
        <v>0</v>
      </c>
      <c r="M344" s="35">
        <f ca="1"/>
        <v>0</v>
      </c>
      <c r="N344" s="35">
        <f ca="1"/>
        <v>0</v>
      </c>
      <c r="O344" s="35">
        <f ca="1"/>
        <v>0</v>
      </c>
      <c r="P344" s="35">
        <f ca="1"/>
        <v>0</v>
      </c>
      <c r="Q344" s="35">
        <f ca="1"/>
        <v>0</v>
      </c>
    </row>
    <row r="345" spans="8:17">
      <c r="H345" s="35">
        <v>343</v>
      </c>
      <c r="I345" s="35">
        <f ca="1"/>
        <v>0</v>
      </c>
      <c r="J345" s="35">
        <f ca="1"/>
        <v>0</v>
      </c>
      <c r="K345" s="35">
        <f ca="1"/>
        <v>0</v>
      </c>
      <c r="L345" s="35">
        <f ca="1"/>
        <v>0</v>
      </c>
      <c r="M345" s="35">
        <f ca="1"/>
        <v>0</v>
      </c>
      <c r="N345" s="35">
        <f ca="1"/>
        <v>0</v>
      </c>
      <c r="O345" s="35">
        <f ca="1"/>
        <v>0</v>
      </c>
      <c r="P345" s="35">
        <f ca="1"/>
        <v>0</v>
      </c>
      <c r="Q345" s="35">
        <f ca="1"/>
        <v>0</v>
      </c>
    </row>
    <row r="346" spans="8:17">
      <c r="H346" s="35">
        <v>344</v>
      </c>
      <c r="I346" s="35">
        <f ca="1"/>
        <v>0</v>
      </c>
      <c r="J346" s="35">
        <f ca="1"/>
        <v>0</v>
      </c>
      <c r="K346" s="35">
        <f ca="1"/>
        <v>0</v>
      </c>
      <c r="L346" s="35">
        <f ca="1"/>
        <v>1</v>
      </c>
      <c r="M346" s="35">
        <f ca="1"/>
        <v>0</v>
      </c>
      <c r="N346" s="35">
        <f ca="1"/>
        <v>0</v>
      </c>
      <c r="O346" s="35">
        <f ca="1"/>
        <v>0</v>
      </c>
      <c r="P346" s="35">
        <f ca="1"/>
        <v>172891.82167504731</v>
      </c>
      <c r="Q346" s="35">
        <f ca="1"/>
        <v>172891.82167504731</v>
      </c>
    </row>
    <row r="347" spans="8:17">
      <c r="H347" s="35">
        <v>345</v>
      </c>
      <c r="I347" s="35">
        <f ca="1"/>
        <v>0</v>
      </c>
      <c r="J347" s="35">
        <f ca="1"/>
        <v>0</v>
      </c>
      <c r="K347" s="35">
        <f ca="1"/>
        <v>0</v>
      </c>
      <c r="L347" s="35">
        <f ca="1"/>
        <v>1</v>
      </c>
      <c r="M347" s="35">
        <f ca="1"/>
        <v>0</v>
      </c>
      <c r="N347" s="35">
        <f ca="1"/>
        <v>0</v>
      </c>
      <c r="O347" s="35">
        <f ca="1"/>
        <v>0</v>
      </c>
      <c r="P347" s="35">
        <f ca="1"/>
        <v>138750.85072183565</v>
      </c>
      <c r="Q347" s="35">
        <f ca="1"/>
        <v>138750.85072183565</v>
      </c>
    </row>
    <row r="348" spans="8:17">
      <c r="H348" s="35">
        <v>346</v>
      </c>
      <c r="I348" s="35">
        <f ca="1"/>
        <v>0</v>
      </c>
      <c r="J348" s="35">
        <f ca="1"/>
        <v>1</v>
      </c>
      <c r="K348" s="35">
        <f ca="1"/>
        <v>0</v>
      </c>
      <c r="L348" s="35">
        <f ca="1"/>
        <v>1</v>
      </c>
      <c r="M348" s="35">
        <f ca="1"/>
        <v>0</v>
      </c>
      <c r="N348" s="35">
        <f ca="1"/>
        <v>37488.607769158742</v>
      </c>
      <c r="O348" s="35">
        <f ca="1"/>
        <v>0</v>
      </c>
      <c r="P348" s="35">
        <f ca="1"/>
        <v>166002.14403608895</v>
      </c>
      <c r="Q348" s="35">
        <f ca="1"/>
        <v>203490.75180524768</v>
      </c>
    </row>
    <row r="349" spans="8:17">
      <c r="H349" s="35">
        <v>347</v>
      </c>
      <c r="I349" s="35">
        <f ca="1"/>
        <v>0</v>
      </c>
      <c r="J349" s="35">
        <f ca="1"/>
        <v>0</v>
      </c>
      <c r="K349" s="35">
        <f ca="1"/>
        <v>0</v>
      </c>
      <c r="L349" s="35">
        <f ca="1"/>
        <v>1</v>
      </c>
      <c r="M349" s="35">
        <f ca="1"/>
        <v>0</v>
      </c>
      <c r="N349" s="35">
        <f ca="1"/>
        <v>0</v>
      </c>
      <c r="O349" s="35">
        <f ca="1"/>
        <v>0</v>
      </c>
      <c r="P349" s="35">
        <f ca="1"/>
        <v>110453.14737493535</v>
      </c>
      <c r="Q349" s="35">
        <f ca="1"/>
        <v>110453.14737493535</v>
      </c>
    </row>
    <row r="350" spans="8:17">
      <c r="H350" s="35">
        <v>348</v>
      </c>
      <c r="I350" s="35">
        <f ca="1"/>
        <v>0</v>
      </c>
      <c r="J350" s="35">
        <f ca="1"/>
        <v>1</v>
      </c>
      <c r="K350" s="35">
        <f ca="1"/>
        <v>1</v>
      </c>
      <c r="L350" s="35">
        <f ca="1"/>
        <v>1</v>
      </c>
      <c r="M350" s="35">
        <f ca="1"/>
        <v>0</v>
      </c>
      <c r="N350" s="35">
        <f ca="1"/>
        <v>31825.911902051928</v>
      </c>
      <c r="O350" s="35">
        <f ca="1"/>
        <v>80.291612652188462</v>
      </c>
      <c r="P350" s="35">
        <f ca="1"/>
        <v>67234.220303713184</v>
      </c>
      <c r="Q350" s="35">
        <f ca="1"/>
        <v>99140.423818417301</v>
      </c>
    </row>
    <row r="351" spans="8:17">
      <c r="H351" s="35">
        <v>349</v>
      </c>
      <c r="I351" s="35">
        <f ca="1"/>
        <v>0</v>
      </c>
      <c r="J351" s="35">
        <f ca="1"/>
        <v>0</v>
      </c>
      <c r="K351" s="35">
        <f ca="1"/>
        <v>1</v>
      </c>
      <c r="L351" s="35">
        <f ca="1"/>
        <v>0</v>
      </c>
      <c r="M351" s="35">
        <f ca="1"/>
        <v>0</v>
      </c>
      <c r="N351" s="35">
        <f ca="1"/>
        <v>0</v>
      </c>
      <c r="O351" s="35">
        <f ca="1"/>
        <v>551.44474248396023</v>
      </c>
      <c r="P351" s="35">
        <f ca="1"/>
        <v>0</v>
      </c>
      <c r="Q351" s="35">
        <f ca="1"/>
        <v>551.44474248396023</v>
      </c>
    </row>
    <row r="352" spans="8:17">
      <c r="H352" s="35">
        <v>350</v>
      </c>
      <c r="I352" s="35">
        <f ca="1"/>
        <v>0</v>
      </c>
      <c r="J352" s="35">
        <f ca="1"/>
        <v>0</v>
      </c>
      <c r="K352" s="35">
        <f ca="1"/>
        <v>0</v>
      </c>
      <c r="L352" s="35">
        <f ca="1"/>
        <v>1</v>
      </c>
      <c r="M352" s="35">
        <f ca="1"/>
        <v>0</v>
      </c>
      <c r="N352" s="35">
        <f ca="1"/>
        <v>0</v>
      </c>
      <c r="O352" s="35">
        <f ca="1"/>
        <v>0</v>
      </c>
      <c r="P352" s="35">
        <f ca="1"/>
        <v>142903.69052656344</v>
      </c>
      <c r="Q352" s="35">
        <f ca="1"/>
        <v>142903.69052656344</v>
      </c>
    </row>
    <row r="353" spans="8:17">
      <c r="H353" s="35">
        <v>351</v>
      </c>
      <c r="I353" s="35">
        <f ca="1"/>
        <v>0</v>
      </c>
      <c r="J353" s="35">
        <f ca="1"/>
        <v>0</v>
      </c>
      <c r="K353" s="35">
        <f ca="1"/>
        <v>0</v>
      </c>
      <c r="L353" s="35">
        <f ca="1"/>
        <v>1</v>
      </c>
      <c r="M353" s="35">
        <f ca="1"/>
        <v>0</v>
      </c>
      <c r="N353" s="35">
        <f ca="1"/>
        <v>0</v>
      </c>
      <c r="O353" s="35">
        <f ca="1"/>
        <v>0</v>
      </c>
      <c r="P353" s="35">
        <f ca="1"/>
        <v>139372.76702800588</v>
      </c>
      <c r="Q353" s="35">
        <f ca="1"/>
        <v>139372.76702800588</v>
      </c>
    </row>
    <row r="354" spans="8:17">
      <c r="H354" s="35">
        <v>352</v>
      </c>
      <c r="I354" s="35">
        <f ca="1"/>
        <v>0</v>
      </c>
      <c r="J354" s="35">
        <f ca="1"/>
        <v>0</v>
      </c>
      <c r="K354" s="35">
        <f ca="1"/>
        <v>0</v>
      </c>
      <c r="L354" s="35">
        <f ca="1"/>
        <v>1</v>
      </c>
      <c r="M354" s="35">
        <f ca="1"/>
        <v>0</v>
      </c>
      <c r="N354" s="35">
        <f ca="1"/>
        <v>0</v>
      </c>
      <c r="O354" s="35">
        <f ca="1"/>
        <v>0</v>
      </c>
      <c r="P354" s="35">
        <f ca="1"/>
        <v>152956.50941122192</v>
      </c>
      <c r="Q354" s="35">
        <f ca="1"/>
        <v>152956.50941122192</v>
      </c>
    </row>
    <row r="355" spans="8:17">
      <c r="H355" s="35">
        <v>353</v>
      </c>
      <c r="I355" s="35">
        <f ca="1"/>
        <v>0</v>
      </c>
      <c r="J355" s="35">
        <f ca="1"/>
        <v>0</v>
      </c>
      <c r="K355" s="35">
        <f ca="1"/>
        <v>0</v>
      </c>
      <c r="L355" s="35">
        <f ca="1"/>
        <v>1</v>
      </c>
      <c r="M355" s="35">
        <f ca="1"/>
        <v>0</v>
      </c>
      <c r="N355" s="35">
        <f ca="1"/>
        <v>0</v>
      </c>
      <c r="O355" s="35">
        <f ca="1"/>
        <v>0</v>
      </c>
      <c r="P355" s="35">
        <f ca="1"/>
        <v>48715.367500916385</v>
      </c>
      <c r="Q355" s="35">
        <f ca="1"/>
        <v>48715.367500916385</v>
      </c>
    </row>
    <row r="356" spans="8:17">
      <c r="H356" s="35">
        <v>354</v>
      </c>
      <c r="I356" s="35">
        <f ca="1"/>
        <v>0</v>
      </c>
      <c r="J356" s="35">
        <f ca="1"/>
        <v>1</v>
      </c>
      <c r="K356" s="35">
        <f ca="1"/>
        <v>0</v>
      </c>
      <c r="L356" s="35">
        <f ca="1"/>
        <v>1</v>
      </c>
      <c r="M356" s="35">
        <f ca="1"/>
        <v>0</v>
      </c>
      <c r="N356" s="35">
        <f ca="1"/>
        <v>42758.017529329933</v>
      </c>
      <c r="O356" s="35">
        <f ca="1"/>
        <v>0</v>
      </c>
      <c r="P356" s="35">
        <f ca="1"/>
        <v>135590.71262082274</v>
      </c>
      <c r="Q356" s="35">
        <f ca="1"/>
        <v>178348.73015015267</v>
      </c>
    </row>
    <row r="357" spans="8:17">
      <c r="H357" s="35">
        <v>355</v>
      </c>
      <c r="I357" s="35">
        <f ca="1"/>
        <v>0</v>
      </c>
      <c r="J357" s="35">
        <f ca="1"/>
        <v>1</v>
      </c>
      <c r="K357" s="35">
        <f ca="1"/>
        <v>0</v>
      </c>
      <c r="L357" s="35">
        <f ca="1"/>
        <v>0</v>
      </c>
      <c r="M357" s="35">
        <f ca="1"/>
        <v>0</v>
      </c>
      <c r="N357" s="35">
        <f ca="1"/>
        <v>52481.579547412948</v>
      </c>
      <c r="O357" s="35">
        <f ca="1"/>
        <v>0</v>
      </c>
      <c r="P357" s="35">
        <f ca="1"/>
        <v>0</v>
      </c>
      <c r="Q357" s="35">
        <f ca="1"/>
        <v>52481.579547412948</v>
      </c>
    </row>
    <row r="358" spans="8:17">
      <c r="H358" s="35">
        <v>356</v>
      </c>
      <c r="I358" s="35">
        <f ca="1"/>
        <v>0</v>
      </c>
      <c r="J358" s="35">
        <f ca="1"/>
        <v>1</v>
      </c>
      <c r="K358" s="35">
        <f ca="1"/>
        <v>0</v>
      </c>
      <c r="L358" s="35">
        <f ca="1"/>
        <v>1</v>
      </c>
      <c r="M358" s="35">
        <f ca="1"/>
        <v>0</v>
      </c>
      <c r="N358" s="35">
        <f ca="1"/>
        <v>35859.884799143627</v>
      </c>
      <c r="O358" s="35">
        <f ca="1"/>
        <v>0</v>
      </c>
      <c r="P358" s="35">
        <f ca="1"/>
        <v>120507.398319575</v>
      </c>
      <c r="Q358" s="35">
        <f ca="1"/>
        <v>156367.28311871862</v>
      </c>
    </row>
    <row r="359" spans="8:17">
      <c r="H359" s="35">
        <v>357</v>
      </c>
      <c r="I359" s="35">
        <f ca="1"/>
        <v>0</v>
      </c>
      <c r="J359" s="35">
        <f ca="1"/>
        <v>0</v>
      </c>
      <c r="K359" s="35">
        <f ca="1"/>
        <v>1</v>
      </c>
      <c r="L359" s="35">
        <f ca="1"/>
        <v>1</v>
      </c>
      <c r="M359" s="35">
        <f ca="1"/>
        <v>0</v>
      </c>
      <c r="N359" s="35">
        <f ca="1"/>
        <v>0</v>
      </c>
      <c r="O359" s="35">
        <f ca="1"/>
        <v>249.51274956274602</v>
      </c>
      <c r="P359" s="35">
        <f ca="1"/>
        <v>185529.5329919759</v>
      </c>
      <c r="Q359" s="35">
        <f ca="1"/>
        <v>185779.04574153863</v>
      </c>
    </row>
    <row r="360" spans="8:17">
      <c r="H360" s="35">
        <v>358</v>
      </c>
      <c r="I360" s="35">
        <f ca="1"/>
        <v>0</v>
      </c>
      <c r="J360" s="35">
        <f ca="1"/>
        <v>0</v>
      </c>
      <c r="K360" s="35">
        <f ca="1"/>
        <v>1</v>
      </c>
      <c r="L360" s="35">
        <f ca="1"/>
        <v>0</v>
      </c>
      <c r="M360" s="35">
        <f ca="1"/>
        <v>0</v>
      </c>
      <c r="N360" s="35">
        <f ca="1"/>
        <v>0</v>
      </c>
      <c r="O360" s="35">
        <f ca="1"/>
        <v>210.24188873547823</v>
      </c>
      <c r="P360" s="35">
        <f ca="1"/>
        <v>0</v>
      </c>
      <c r="Q360" s="35">
        <f ca="1"/>
        <v>210.24188873547823</v>
      </c>
    </row>
    <row r="361" spans="8:17">
      <c r="H361" s="35">
        <v>359</v>
      </c>
      <c r="I361" s="35">
        <f ca="1"/>
        <v>0</v>
      </c>
      <c r="J361" s="35">
        <f ca="1"/>
        <v>0</v>
      </c>
      <c r="K361" s="35">
        <f ca="1"/>
        <v>0</v>
      </c>
      <c r="L361" s="35">
        <f ca="1"/>
        <v>1</v>
      </c>
      <c r="M361" s="35">
        <f ca="1"/>
        <v>0</v>
      </c>
      <c r="N361" s="35">
        <f ca="1"/>
        <v>0</v>
      </c>
      <c r="O361" s="35">
        <f ca="1"/>
        <v>0</v>
      </c>
      <c r="P361" s="35">
        <f ca="1"/>
        <v>132414.42977179913</v>
      </c>
      <c r="Q361" s="35">
        <f ca="1"/>
        <v>132414.42977179913</v>
      </c>
    </row>
    <row r="362" spans="8:17">
      <c r="H362" s="35">
        <v>360</v>
      </c>
      <c r="I362" s="35">
        <f ca="1"/>
        <v>0</v>
      </c>
      <c r="J362" s="35">
        <f ca="1"/>
        <v>0</v>
      </c>
      <c r="K362" s="35">
        <f ca="1"/>
        <v>0</v>
      </c>
      <c r="L362" s="35">
        <f ca="1"/>
        <v>1</v>
      </c>
      <c r="M362" s="35">
        <f ca="1"/>
        <v>0</v>
      </c>
      <c r="N362" s="35">
        <f ca="1"/>
        <v>0</v>
      </c>
      <c r="O362" s="35">
        <f ca="1"/>
        <v>0</v>
      </c>
      <c r="P362" s="35">
        <f ca="1"/>
        <v>175857.84486839932</v>
      </c>
      <c r="Q362" s="35">
        <f ca="1"/>
        <v>175857.84486839932</v>
      </c>
    </row>
    <row r="363" spans="8:17">
      <c r="H363" s="35">
        <v>361</v>
      </c>
      <c r="I363" s="35">
        <f ca="1"/>
        <v>1</v>
      </c>
      <c r="J363" s="35">
        <f ca="1"/>
        <v>0</v>
      </c>
      <c r="K363" s="35">
        <f ca="1"/>
        <v>0</v>
      </c>
      <c r="L363" s="35">
        <f ca="1"/>
        <v>1</v>
      </c>
      <c r="M363" s="35">
        <f ca="1"/>
        <v>15122.153002539739</v>
      </c>
      <c r="N363" s="35">
        <f ca="1"/>
        <v>0</v>
      </c>
      <c r="O363" s="35">
        <f ca="1"/>
        <v>0</v>
      </c>
      <c r="P363" s="35">
        <f ca="1"/>
        <v>218727.41196286632</v>
      </c>
      <c r="Q363" s="35">
        <f ca="1"/>
        <v>233849.56496540605</v>
      </c>
    </row>
    <row r="364" spans="8:17">
      <c r="H364" s="35">
        <v>362</v>
      </c>
      <c r="I364" s="35">
        <f ca="1"/>
        <v>1</v>
      </c>
      <c r="J364" s="35">
        <f ca="1"/>
        <v>0</v>
      </c>
      <c r="K364" s="35">
        <f ca="1"/>
        <v>1</v>
      </c>
      <c r="L364" s="35">
        <f ca="1"/>
        <v>1</v>
      </c>
      <c r="M364" s="35">
        <f ca="1"/>
        <v>8142.780117460853</v>
      </c>
      <c r="N364" s="35">
        <f ca="1"/>
        <v>0</v>
      </c>
      <c r="O364" s="35">
        <f ca="1"/>
        <v>181.7498967772986</v>
      </c>
      <c r="P364" s="35">
        <f ca="1"/>
        <v>113884.44981903073</v>
      </c>
      <c r="Q364" s="35">
        <f ca="1"/>
        <v>122208.97983326888</v>
      </c>
    </row>
    <row r="365" spans="8:17">
      <c r="H365" s="35">
        <v>363</v>
      </c>
      <c r="I365" s="35">
        <f ca="1"/>
        <v>0</v>
      </c>
      <c r="J365" s="35">
        <f ca="1"/>
        <v>0</v>
      </c>
      <c r="K365" s="35">
        <f ca="1"/>
        <v>0</v>
      </c>
      <c r="L365" s="35">
        <f ca="1"/>
        <v>0</v>
      </c>
      <c r="M365" s="35">
        <f ca="1"/>
        <v>0</v>
      </c>
      <c r="N365" s="35">
        <f ca="1"/>
        <v>0</v>
      </c>
      <c r="O365" s="35">
        <f ca="1"/>
        <v>0</v>
      </c>
      <c r="P365" s="35">
        <f ca="1"/>
        <v>0</v>
      </c>
      <c r="Q365" s="35">
        <f ca="1"/>
        <v>0</v>
      </c>
    </row>
    <row r="366" spans="8:17">
      <c r="H366" s="35">
        <v>364</v>
      </c>
      <c r="I366" s="35">
        <f ca="1"/>
        <v>0</v>
      </c>
      <c r="J366" s="35">
        <f ca="1"/>
        <v>0</v>
      </c>
      <c r="K366" s="35">
        <f ca="1"/>
        <v>1</v>
      </c>
      <c r="L366" s="35">
        <f ca="1"/>
        <v>1</v>
      </c>
      <c r="M366" s="35">
        <f ca="1"/>
        <v>0</v>
      </c>
      <c r="N366" s="35">
        <f ca="1"/>
        <v>0</v>
      </c>
      <c r="O366" s="35">
        <f ca="1"/>
        <v>247.70055566846631</v>
      </c>
      <c r="P366" s="35">
        <f ca="1"/>
        <v>47373.713961610105</v>
      </c>
      <c r="Q366" s="35">
        <f ca="1"/>
        <v>47621.414517278572</v>
      </c>
    </row>
    <row r="367" spans="8:17">
      <c r="H367" s="35">
        <v>365</v>
      </c>
      <c r="I367" s="35">
        <f ca="1"/>
        <v>0</v>
      </c>
      <c r="J367" s="35">
        <f ca="1"/>
        <v>1</v>
      </c>
      <c r="K367" s="35">
        <f ca="1"/>
        <v>1</v>
      </c>
      <c r="L367" s="35">
        <f ca="1"/>
        <v>1</v>
      </c>
      <c r="M367" s="35">
        <f ca="1"/>
        <v>0</v>
      </c>
      <c r="N367" s="35">
        <f ca="1"/>
        <v>93602.087358504461</v>
      </c>
      <c r="O367" s="35">
        <f ca="1"/>
        <v>196.21397723910894</v>
      </c>
      <c r="P367" s="35">
        <f ca="1"/>
        <v>155115.83186223239</v>
      </c>
      <c r="Q367" s="35">
        <f ca="1"/>
        <v>248914.13319797596</v>
      </c>
    </row>
    <row r="368" spans="8:17">
      <c r="H368" s="35">
        <v>366</v>
      </c>
      <c r="I368" s="35">
        <f ca="1"/>
        <v>0</v>
      </c>
      <c r="J368" s="35">
        <f ca="1"/>
        <v>0</v>
      </c>
      <c r="K368" s="35">
        <f ca="1"/>
        <v>0</v>
      </c>
      <c r="L368" s="35">
        <f ca="1"/>
        <v>1</v>
      </c>
      <c r="M368" s="35">
        <f ca="1"/>
        <v>0</v>
      </c>
      <c r="N368" s="35">
        <f ca="1"/>
        <v>0</v>
      </c>
      <c r="O368" s="35">
        <f ca="1"/>
        <v>0</v>
      </c>
      <c r="P368" s="35">
        <f ca="1"/>
        <v>185602.4738385588</v>
      </c>
      <c r="Q368" s="35">
        <f ca="1"/>
        <v>185602.4738385588</v>
      </c>
    </row>
    <row r="369" spans="8:17">
      <c r="H369" s="35">
        <v>367</v>
      </c>
      <c r="I369" s="35">
        <f ca="1"/>
        <v>1</v>
      </c>
      <c r="J369" s="35">
        <f ca="1"/>
        <v>0</v>
      </c>
      <c r="K369" s="35">
        <f ca="1"/>
        <v>0</v>
      </c>
      <c r="L369" s="35">
        <f ca="1"/>
        <v>0</v>
      </c>
      <c r="M369" s="35">
        <f ca="1"/>
        <v>3673.4007171266512</v>
      </c>
      <c r="N369" s="35">
        <f ca="1"/>
        <v>0</v>
      </c>
      <c r="O369" s="35">
        <f ca="1"/>
        <v>0</v>
      </c>
      <c r="P369" s="35">
        <f ca="1"/>
        <v>0</v>
      </c>
      <c r="Q369" s="35">
        <f ca="1"/>
        <v>3673.4007171266512</v>
      </c>
    </row>
    <row r="370" spans="8:17">
      <c r="H370" s="35">
        <v>368</v>
      </c>
      <c r="I370" s="35">
        <f ca="1"/>
        <v>0</v>
      </c>
      <c r="J370" s="35">
        <f ca="1"/>
        <v>0</v>
      </c>
      <c r="K370" s="35">
        <f ca="1"/>
        <v>0</v>
      </c>
      <c r="L370" s="35">
        <f ca="1"/>
        <v>1</v>
      </c>
      <c r="M370" s="35">
        <f ca="1"/>
        <v>0</v>
      </c>
      <c r="N370" s="35">
        <f ca="1"/>
        <v>0</v>
      </c>
      <c r="O370" s="35">
        <f ca="1"/>
        <v>0</v>
      </c>
      <c r="P370" s="35">
        <f ca="1"/>
        <v>217936.10997108129</v>
      </c>
      <c r="Q370" s="35">
        <f ca="1"/>
        <v>217936.10997108129</v>
      </c>
    </row>
    <row r="371" spans="8:17">
      <c r="H371" s="35">
        <v>369</v>
      </c>
      <c r="I371" s="35">
        <f ca="1"/>
        <v>0</v>
      </c>
      <c r="J371" s="35">
        <f ca="1"/>
        <v>0</v>
      </c>
      <c r="K371" s="35">
        <f ca="1"/>
        <v>0</v>
      </c>
      <c r="L371" s="35">
        <f ca="1"/>
        <v>1</v>
      </c>
      <c r="M371" s="35">
        <f ca="1"/>
        <v>0</v>
      </c>
      <c r="N371" s="35">
        <f ca="1"/>
        <v>0</v>
      </c>
      <c r="O371" s="35">
        <f ca="1"/>
        <v>0</v>
      </c>
      <c r="P371" s="35">
        <f ca="1"/>
        <v>153424.37969616611</v>
      </c>
      <c r="Q371" s="35">
        <f ca="1"/>
        <v>153424.37969616611</v>
      </c>
    </row>
    <row r="372" spans="8:17">
      <c r="H372" s="35">
        <v>370</v>
      </c>
      <c r="I372" s="35">
        <f ca="1"/>
        <v>0</v>
      </c>
      <c r="J372" s="35">
        <f ca="1"/>
        <v>1</v>
      </c>
      <c r="K372" s="35">
        <f ca="1"/>
        <v>0</v>
      </c>
      <c r="L372" s="35">
        <f ca="1"/>
        <v>1</v>
      </c>
      <c r="M372" s="35">
        <f ca="1"/>
        <v>0</v>
      </c>
      <c r="N372" s="35">
        <f ca="1"/>
        <v>36768.877774363675</v>
      </c>
      <c r="O372" s="35">
        <f ca="1"/>
        <v>0</v>
      </c>
      <c r="P372" s="35">
        <f ca="1"/>
        <v>126597.5650797885</v>
      </c>
      <c r="Q372" s="35">
        <f ca="1"/>
        <v>163366.44285415218</v>
      </c>
    </row>
    <row r="373" spans="8:17">
      <c r="H373" s="35">
        <v>371</v>
      </c>
      <c r="I373" s="35">
        <f ca="1"/>
        <v>0</v>
      </c>
      <c r="J373" s="35">
        <f ca="1"/>
        <v>0</v>
      </c>
      <c r="K373" s="35">
        <f ca="1"/>
        <v>0</v>
      </c>
      <c r="L373" s="35">
        <f ca="1"/>
        <v>1</v>
      </c>
      <c r="M373" s="35">
        <f ca="1"/>
        <v>0</v>
      </c>
      <c r="N373" s="35">
        <f ca="1"/>
        <v>0</v>
      </c>
      <c r="O373" s="35">
        <f ca="1"/>
        <v>0</v>
      </c>
      <c r="P373" s="35">
        <f ca="1"/>
        <v>149599.6340729151</v>
      </c>
      <c r="Q373" s="35">
        <f ca="1"/>
        <v>149599.6340729151</v>
      </c>
    </row>
    <row r="374" spans="8:17">
      <c r="H374" s="35">
        <v>372</v>
      </c>
      <c r="I374" s="35">
        <f ca="1"/>
        <v>0</v>
      </c>
      <c r="J374" s="35">
        <f ca="1"/>
        <v>1</v>
      </c>
      <c r="K374" s="35">
        <f ca="1"/>
        <v>0</v>
      </c>
      <c r="L374" s="35">
        <f ca="1"/>
        <v>1</v>
      </c>
      <c r="M374" s="35">
        <f ca="1"/>
        <v>0</v>
      </c>
      <c r="N374" s="35">
        <f ca="1"/>
        <v>22871.086743352138</v>
      </c>
      <c r="O374" s="35">
        <f ca="1"/>
        <v>0</v>
      </c>
      <c r="P374" s="35">
        <f ca="1"/>
        <v>112476.57215365513</v>
      </c>
      <c r="Q374" s="35">
        <f ca="1"/>
        <v>135347.65889700726</v>
      </c>
    </row>
    <row r="375" spans="8:17">
      <c r="H375" s="35">
        <v>373</v>
      </c>
      <c r="I375" s="35">
        <f ca="1"/>
        <v>0</v>
      </c>
      <c r="J375" s="35">
        <f ca="1"/>
        <v>0</v>
      </c>
      <c r="K375" s="35">
        <f ca="1"/>
        <v>0</v>
      </c>
      <c r="L375" s="35">
        <f ca="1"/>
        <v>1</v>
      </c>
      <c r="M375" s="35">
        <f ca="1"/>
        <v>0</v>
      </c>
      <c r="N375" s="35">
        <f ca="1"/>
        <v>0</v>
      </c>
      <c r="O375" s="35">
        <f ca="1"/>
        <v>0</v>
      </c>
      <c r="P375" s="35">
        <f ca="1"/>
        <v>131726.04602053441</v>
      </c>
      <c r="Q375" s="35">
        <f ca="1"/>
        <v>131726.04602053441</v>
      </c>
    </row>
    <row r="376" spans="8:17">
      <c r="H376" s="35">
        <v>374</v>
      </c>
      <c r="I376" s="35">
        <f ca="1"/>
        <v>0</v>
      </c>
      <c r="J376" s="35">
        <f ca="1"/>
        <v>1</v>
      </c>
      <c r="K376" s="35">
        <f ca="1"/>
        <v>0</v>
      </c>
      <c r="L376" s="35">
        <f ca="1"/>
        <v>1</v>
      </c>
      <c r="M376" s="35">
        <f ca="1"/>
        <v>0</v>
      </c>
      <c r="N376" s="35">
        <f ca="1"/>
        <v>27406.805171208423</v>
      </c>
      <c r="O376" s="35">
        <f ca="1"/>
        <v>0</v>
      </c>
      <c r="P376" s="35">
        <f ca="1"/>
        <v>99776.515688169777</v>
      </c>
      <c r="Q376" s="35">
        <f ca="1"/>
        <v>127183.3208593782</v>
      </c>
    </row>
    <row r="377" spans="8:17">
      <c r="H377" s="35">
        <v>375</v>
      </c>
      <c r="I377" s="35">
        <f ca="1"/>
        <v>0</v>
      </c>
      <c r="J377" s="35">
        <f ca="1"/>
        <v>1</v>
      </c>
      <c r="K377" s="35">
        <f ca="1"/>
        <v>0</v>
      </c>
      <c r="L377" s="35">
        <f ca="1"/>
        <v>1</v>
      </c>
      <c r="M377" s="35">
        <f ca="1"/>
        <v>0</v>
      </c>
      <c r="N377" s="35">
        <f ca="1"/>
        <v>20299.629190907064</v>
      </c>
      <c r="O377" s="35">
        <f ca="1"/>
        <v>0</v>
      </c>
      <c r="P377" s="35">
        <f ca="1"/>
        <v>98995.117733502935</v>
      </c>
      <c r="Q377" s="35">
        <f ca="1"/>
        <v>119294.74692440999</v>
      </c>
    </row>
    <row r="378" spans="8:17">
      <c r="H378" s="35">
        <v>376</v>
      </c>
      <c r="I378" s="35">
        <f ca="1"/>
        <v>0</v>
      </c>
      <c r="J378" s="35">
        <f ca="1"/>
        <v>0</v>
      </c>
      <c r="K378" s="35">
        <f ca="1"/>
        <v>0</v>
      </c>
      <c r="L378" s="35">
        <f ca="1"/>
        <v>1</v>
      </c>
      <c r="M378" s="35">
        <f ca="1"/>
        <v>0</v>
      </c>
      <c r="N378" s="35">
        <f ca="1"/>
        <v>0</v>
      </c>
      <c r="O378" s="35">
        <f ca="1"/>
        <v>0</v>
      </c>
      <c r="P378" s="35">
        <f ca="1"/>
        <v>211566.37641135076</v>
      </c>
      <c r="Q378" s="35">
        <f ca="1"/>
        <v>211566.37641135076</v>
      </c>
    </row>
    <row r="379" spans="8:17">
      <c r="H379" s="35">
        <v>377</v>
      </c>
      <c r="I379" s="35">
        <f ca="1"/>
        <v>0</v>
      </c>
      <c r="J379" s="35">
        <f ca="1"/>
        <v>1</v>
      </c>
      <c r="K379" s="35">
        <f ca="1"/>
        <v>0</v>
      </c>
      <c r="L379" s="35">
        <f ca="1"/>
        <v>0</v>
      </c>
      <c r="M379" s="35">
        <f ca="1"/>
        <v>0</v>
      </c>
      <c r="N379" s="35">
        <f ca="1"/>
        <v>47732.126878187169</v>
      </c>
      <c r="O379" s="35">
        <f ca="1"/>
        <v>0</v>
      </c>
      <c r="P379" s="35">
        <f ca="1"/>
        <v>0</v>
      </c>
      <c r="Q379" s="35">
        <f ca="1"/>
        <v>47732.126878187169</v>
      </c>
    </row>
    <row r="380" spans="8:17">
      <c r="H380" s="35">
        <v>378</v>
      </c>
      <c r="I380" s="35">
        <f ca="1"/>
        <v>0</v>
      </c>
      <c r="J380" s="35">
        <f ca="1"/>
        <v>0</v>
      </c>
      <c r="K380" s="35">
        <f ca="1"/>
        <v>0</v>
      </c>
      <c r="L380" s="35">
        <f ca="1"/>
        <v>1</v>
      </c>
      <c r="M380" s="35">
        <f ca="1"/>
        <v>0</v>
      </c>
      <c r="N380" s="35">
        <f ca="1"/>
        <v>0</v>
      </c>
      <c r="O380" s="35">
        <f ca="1"/>
        <v>0</v>
      </c>
      <c r="P380" s="35">
        <f ca="1"/>
        <v>173209.33712527895</v>
      </c>
      <c r="Q380" s="35">
        <f ca="1"/>
        <v>173209.33712527895</v>
      </c>
    </row>
    <row r="381" spans="8:17">
      <c r="H381" s="35">
        <v>379</v>
      </c>
      <c r="I381" s="35">
        <f ca="1"/>
        <v>0</v>
      </c>
      <c r="J381" s="35">
        <f ca="1"/>
        <v>0</v>
      </c>
      <c r="K381" s="35">
        <f ca="1"/>
        <v>0</v>
      </c>
      <c r="L381" s="35">
        <f ca="1"/>
        <v>1</v>
      </c>
      <c r="M381" s="35">
        <f ca="1"/>
        <v>0</v>
      </c>
      <c r="N381" s="35">
        <f ca="1"/>
        <v>0</v>
      </c>
      <c r="O381" s="35">
        <f ca="1"/>
        <v>0</v>
      </c>
      <c r="P381" s="35">
        <f ca="1"/>
        <v>150128.91198862914</v>
      </c>
      <c r="Q381" s="35">
        <f ca="1"/>
        <v>150128.91198862914</v>
      </c>
    </row>
    <row r="382" spans="8:17">
      <c r="H382" s="35">
        <v>380</v>
      </c>
      <c r="I382" s="35">
        <f ca="1"/>
        <v>0</v>
      </c>
      <c r="J382" s="35">
        <f ca="1"/>
        <v>0</v>
      </c>
      <c r="K382" s="35">
        <f ca="1"/>
        <v>0</v>
      </c>
      <c r="L382" s="35">
        <f ca="1"/>
        <v>1</v>
      </c>
      <c r="M382" s="35">
        <f ca="1"/>
        <v>0</v>
      </c>
      <c r="N382" s="35">
        <f ca="1"/>
        <v>0</v>
      </c>
      <c r="O382" s="35">
        <f ca="1"/>
        <v>0</v>
      </c>
      <c r="P382" s="35">
        <f ca="1"/>
        <v>182649.93297050984</v>
      </c>
      <c r="Q382" s="35">
        <f ca="1"/>
        <v>182649.93297050984</v>
      </c>
    </row>
    <row r="383" spans="8:17">
      <c r="H383" s="35">
        <v>381</v>
      </c>
      <c r="I383" s="35">
        <f ca="1"/>
        <v>0</v>
      </c>
      <c r="J383" s="35">
        <f ca="1"/>
        <v>0</v>
      </c>
      <c r="K383" s="35">
        <f ca="1"/>
        <v>0</v>
      </c>
      <c r="L383" s="35">
        <f ca="1"/>
        <v>1</v>
      </c>
      <c r="M383" s="35">
        <f ca="1"/>
        <v>0</v>
      </c>
      <c r="N383" s="35">
        <f ca="1"/>
        <v>0</v>
      </c>
      <c r="O383" s="35">
        <f ca="1"/>
        <v>0</v>
      </c>
      <c r="P383" s="35">
        <f ca="1"/>
        <v>204884.43453266818</v>
      </c>
      <c r="Q383" s="35">
        <f ca="1"/>
        <v>204884.43453266818</v>
      </c>
    </row>
    <row r="384" spans="8:17">
      <c r="H384" s="35">
        <v>382</v>
      </c>
      <c r="I384" s="35">
        <f ca="1"/>
        <v>1</v>
      </c>
      <c r="J384" s="35">
        <f ca="1"/>
        <v>0</v>
      </c>
      <c r="K384" s="35">
        <f ca="1"/>
        <v>0</v>
      </c>
      <c r="L384" s="35">
        <f ca="1"/>
        <v>0</v>
      </c>
      <c r="M384" s="35">
        <f ca="1"/>
        <v>5314.6304481967227</v>
      </c>
      <c r="N384" s="35">
        <f ca="1"/>
        <v>0</v>
      </c>
      <c r="O384" s="35">
        <f ca="1"/>
        <v>0</v>
      </c>
      <c r="P384" s="35">
        <f ca="1"/>
        <v>0</v>
      </c>
      <c r="Q384" s="35">
        <f ca="1"/>
        <v>5314.6304481967227</v>
      </c>
    </row>
    <row r="385" spans="8:17">
      <c r="H385" s="35">
        <v>383</v>
      </c>
      <c r="I385" s="35">
        <f ca="1"/>
        <v>0</v>
      </c>
      <c r="J385" s="35">
        <f ca="1"/>
        <v>0</v>
      </c>
      <c r="K385" s="35">
        <f ca="1"/>
        <v>0</v>
      </c>
      <c r="L385" s="35">
        <f ca="1"/>
        <v>1</v>
      </c>
      <c r="M385" s="35">
        <f ca="1"/>
        <v>0</v>
      </c>
      <c r="N385" s="35">
        <f ca="1"/>
        <v>0</v>
      </c>
      <c r="O385" s="35">
        <f ca="1"/>
        <v>0</v>
      </c>
      <c r="P385" s="35">
        <f ca="1"/>
        <v>123688.81800295807</v>
      </c>
      <c r="Q385" s="35">
        <f ca="1"/>
        <v>123688.81800295807</v>
      </c>
    </row>
    <row r="386" spans="8:17">
      <c r="H386" s="35">
        <v>384</v>
      </c>
      <c r="I386" s="35">
        <f ca="1"/>
        <v>0</v>
      </c>
      <c r="J386" s="35">
        <f ca="1"/>
        <v>0</v>
      </c>
      <c r="K386" s="35">
        <f ca="1"/>
        <v>0</v>
      </c>
      <c r="L386" s="35">
        <f ca="1"/>
        <v>1</v>
      </c>
      <c r="M386" s="35">
        <f ca="1"/>
        <v>0</v>
      </c>
      <c r="N386" s="35">
        <f ca="1"/>
        <v>0</v>
      </c>
      <c r="O386" s="35">
        <f ca="1"/>
        <v>0</v>
      </c>
      <c r="P386" s="35">
        <f ca="1"/>
        <v>72915.360270912992</v>
      </c>
      <c r="Q386" s="35">
        <f ca="1"/>
        <v>72915.360270912992</v>
      </c>
    </row>
    <row r="387" spans="8:17">
      <c r="H387" s="35">
        <v>385</v>
      </c>
      <c r="I387" s="35">
        <f ca="1"/>
        <v>0</v>
      </c>
      <c r="J387" s="35">
        <f ca="1"/>
        <v>1</v>
      </c>
      <c r="K387" s="35">
        <f ca="1"/>
        <v>0</v>
      </c>
      <c r="L387" s="35">
        <f ca="1"/>
        <v>1</v>
      </c>
      <c r="M387" s="35">
        <f ca="1"/>
        <v>0</v>
      </c>
      <c r="N387" s="35">
        <f ca="1"/>
        <v>31836.917959787617</v>
      </c>
      <c r="O387" s="35">
        <f ca="1"/>
        <v>0</v>
      </c>
      <c r="P387" s="35">
        <f ca="1"/>
        <v>125149.75953274393</v>
      </c>
      <c r="Q387" s="35">
        <f ca="1"/>
        <v>156986.67749253154</v>
      </c>
    </row>
    <row r="388" spans="8:17">
      <c r="H388" s="35">
        <v>386</v>
      </c>
      <c r="I388" s="35">
        <f ca="1"/>
        <v>0</v>
      </c>
      <c r="J388" s="35">
        <f ca="1"/>
        <v>0</v>
      </c>
      <c r="K388" s="35">
        <f ca="1"/>
        <v>0</v>
      </c>
      <c r="L388" s="35">
        <f ca="1"/>
        <v>1</v>
      </c>
      <c r="M388" s="35">
        <f ca="1"/>
        <v>0</v>
      </c>
      <c r="N388" s="35">
        <f ca="1"/>
        <v>0</v>
      </c>
      <c r="O388" s="35">
        <f ca="1"/>
        <v>0</v>
      </c>
      <c r="P388" s="35">
        <f ca="1"/>
        <v>120454.09728007895</v>
      </c>
      <c r="Q388" s="35">
        <f ca="1"/>
        <v>120454.09728007895</v>
      </c>
    </row>
    <row r="389" spans="8:17">
      <c r="H389" s="35">
        <v>387</v>
      </c>
      <c r="I389" s="35">
        <f ca="1"/>
        <v>1</v>
      </c>
      <c r="J389" s="35">
        <f ca="1"/>
        <v>0</v>
      </c>
      <c r="K389" s="35">
        <f ca="1"/>
        <v>0</v>
      </c>
      <c r="L389" s="35">
        <f ca="1"/>
        <v>1</v>
      </c>
      <c r="M389" s="35">
        <f ca="1"/>
        <v>4161.2749792356944</v>
      </c>
      <c r="N389" s="35">
        <f ca="1"/>
        <v>0</v>
      </c>
      <c r="O389" s="35">
        <f ca="1"/>
        <v>0</v>
      </c>
      <c r="P389" s="35">
        <f ca="1"/>
        <v>109683.13752704945</v>
      </c>
      <c r="Q389" s="35">
        <f ca="1"/>
        <v>113844.41250628514</v>
      </c>
    </row>
    <row r="390" spans="8:17">
      <c r="H390" s="35">
        <v>388</v>
      </c>
      <c r="I390" s="35">
        <f ca="1"/>
        <v>0</v>
      </c>
      <c r="J390" s="35">
        <f ca="1"/>
        <v>0</v>
      </c>
      <c r="K390" s="35">
        <f ca="1"/>
        <v>0</v>
      </c>
      <c r="L390" s="35">
        <f ca="1"/>
        <v>1</v>
      </c>
      <c r="M390" s="35">
        <f ca="1"/>
        <v>0</v>
      </c>
      <c r="N390" s="35">
        <f ca="1"/>
        <v>0</v>
      </c>
      <c r="O390" s="35">
        <f ca="1"/>
        <v>0</v>
      </c>
      <c r="P390" s="35">
        <f ca="1"/>
        <v>66272.916412246908</v>
      </c>
      <c r="Q390" s="35">
        <f ca="1"/>
        <v>66272.916412246908</v>
      </c>
    </row>
    <row r="391" spans="8:17">
      <c r="H391" s="35">
        <v>389</v>
      </c>
      <c r="I391" s="35">
        <f ca="1"/>
        <v>0</v>
      </c>
      <c r="J391" s="35">
        <f ca="1"/>
        <v>0</v>
      </c>
      <c r="K391" s="35">
        <f ca="1"/>
        <v>0</v>
      </c>
      <c r="L391" s="35">
        <f ca="1"/>
        <v>1</v>
      </c>
      <c r="M391" s="35">
        <f ca="1"/>
        <v>0</v>
      </c>
      <c r="N391" s="35">
        <f ca="1"/>
        <v>0</v>
      </c>
      <c r="O391" s="35">
        <f ca="1"/>
        <v>0</v>
      </c>
      <c r="P391" s="35">
        <f ca="1"/>
        <v>153807.56961903619</v>
      </c>
      <c r="Q391" s="35">
        <f ca="1"/>
        <v>153807.56961903619</v>
      </c>
    </row>
    <row r="392" spans="8:17">
      <c r="H392" s="35">
        <v>390</v>
      </c>
      <c r="I392" s="35">
        <f ca="1"/>
        <v>0</v>
      </c>
      <c r="J392" s="35">
        <f ca="1"/>
        <v>0</v>
      </c>
      <c r="K392" s="35">
        <f ca="1"/>
        <v>0</v>
      </c>
      <c r="L392" s="35">
        <f ca="1"/>
        <v>1</v>
      </c>
      <c r="M392" s="35">
        <f ca="1"/>
        <v>0</v>
      </c>
      <c r="N392" s="35">
        <f ca="1"/>
        <v>0</v>
      </c>
      <c r="O392" s="35">
        <f ca="1"/>
        <v>0</v>
      </c>
      <c r="P392" s="35">
        <f ca="1"/>
        <v>113780.27116568769</v>
      </c>
      <c r="Q392" s="35">
        <f ca="1"/>
        <v>113780.27116568769</v>
      </c>
    </row>
    <row r="393" spans="8:17">
      <c r="H393" s="35">
        <v>391</v>
      </c>
      <c r="I393" s="35">
        <f ca="1"/>
        <v>0</v>
      </c>
      <c r="J393" s="35">
        <f ca="1"/>
        <v>1</v>
      </c>
      <c r="K393" s="35">
        <f ca="1"/>
        <v>0</v>
      </c>
      <c r="L393" s="35">
        <f ca="1"/>
        <v>0</v>
      </c>
      <c r="M393" s="35">
        <f ca="1"/>
        <v>0</v>
      </c>
      <c r="N393" s="35">
        <f ca="1"/>
        <v>40969.863581189449</v>
      </c>
      <c r="O393" s="35">
        <f ca="1"/>
        <v>0</v>
      </c>
      <c r="P393" s="35">
        <f ca="1"/>
        <v>0</v>
      </c>
      <c r="Q393" s="35">
        <f ca="1"/>
        <v>40969.863581189449</v>
      </c>
    </row>
    <row r="394" spans="8:17">
      <c r="H394" s="35">
        <v>392</v>
      </c>
      <c r="I394" s="35">
        <f ca="1"/>
        <v>1</v>
      </c>
      <c r="J394" s="35">
        <f ca="1"/>
        <v>0</v>
      </c>
      <c r="K394" s="35">
        <f ca="1"/>
        <v>0</v>
      </c>
      <c r="L394" s="35">
        <f ca="1"/>
        <v>0</v>
      </c>
      <c r="M394" s="35">
        <f ca="1"/>
        <v>9168.7949169269614</v>
      </c>
      <c r="N394" s="35">
        <f ca="1"/>
        <v>0</v>
      </c>
      <c r="O394" s="35">
        <f ca="1"/>
        <v>0</v>
      </c>
      <c r="P394" s="35">
        <f ca="1"/>
        <v>0</v>
      </c>
      <c r="Q394" s="35">
        <f ca="1"/>
        <v>9168.7949169269614</v>
      </c>
    </row>
    <row r="395" spans="8:17">
      <c r="H395" s="35">
        <v>393</v>
      </c>
      <c r="I395" s="35">
        <f ca="1"/>
        <v>0</v>
      </c>
      <c r="J395" s="35">
        <f ca="1"/>
        <v>0</v>
      </c>
      <c r="K395" s="35">
        <f ca="1"/>
        <v>0</v>
      </c>
      <c r="L395" s="35">
        <f ca="1"/>
        <v>1</v>
      </c>
      <c r="M395" s="35">
        <f ca="1"/>
        <v>0</v>
      </c>
      <c r="N395" s="35">
        <f ca="1"/>
        <v>0</v>
      </c>
      <c r="O395" s="35">
        <f ca="1"/>
        <v>0</v>
      </c>
      <c r="P395" s="35">
        <f ca="1"/>
        <v>106168.26431792269</v>
      </c>
      <c r="Q395" s="35">
        <f ca="1"/>
        <v>106168.26431792269</v>
      </c>
    </row>
    <row r="396" spans="8:17">
      <c r="H396" s="35">
        <v>394</v>
      </c>
      <c r="I396" s="35">
        <f ca="1"/>
        <v>1</v>
      </c>
      <c r="J396" s="35">
        <f ca="1"/>
        <v>0</v>
      </c>
      <c r="K396" s="35">
        <f ca="1"/>
        <v>1</v>
      </c>
      <c r="L396" s="35">
        <f ca="1"/>
        <v>1</v>
      </c>
      <c r="M396" s="35">
        <f ca="1"/>
        <v>4691.0423501340483</v>
      </c>
      <c r="N396" s="35">
        <f ca="1"/>
        <v>0</v>
      </c>
      <c r="O396" s="35">
        <f ca="1"/>
        <v>269.79394720526716</v>
      </c>
      <c r="P396" s="35">
        <f ca="1"/>
        <v>145929.55813292364</v>
      </c>
      <c r="Q396" s="35">
        <f ca="1"/>
        <v>150890.39443026297</v>
      </c>
    </row>
    <row r="397" spans="8:17">
      <c r="H397" s="35">
        <v>395</v>
      </c>
      <c r="I397" s="35">
        <f ca="1"/>
        <v>0</v>
      </c>
      <c r="J397" s="35">
        <f ca="1"/>
        <v>0</v>
      </c>
      <c r="K397" s="35">
        <f ca="1"/>
        <v>1</v>
      </c>
      <c r="L397" s="35">
        <f ca="1"/>
        <v>1</v>
      </c>
      <c r="M397" s="35">
        <f ca="1"/>
        <v>0</v>
      </c>
      <c r="N397" s="35">
        <f ca="1"/>
        <v>0</v>
      </c>
      <c r="O397" s="35">
        <f ca="1"/>
        <v>339.43800384056624</v>
      </c>
      <c r="P397" s="35">
        <f ca="1"/>
        <v>106422.48877998703</v>
      </c>
      <c r="Q397" s="35">
        <f ca="1"/>
        <v>106761.9267838276</v>
      </c>
    </row>
    <row r="398" spans="8:17">
      <c r="H398" s="35">
        <v>396</v>
      </c>
      <c r="I398" s="35">
        <f ca="1"/>
        <v>1</v>
      </c>
      <c r="J398" s="35">
        <f ca="1"/>
        <v>0</v>
      </c>
      <c r="K398" s="35">
        <f ca="1"/>
        <v>0</v>
      </c>
      <c r="L398" s="35">
        <f ca="1"/>
        <v>1</v>
      </c>
      <c r="M398" s="35">
        <f ca="1"/>
        <v>5907.2103232823702</v>
      </c>
      <c r="N398" s="35">
        <f ca="1"/>
        <v>0</v>
      </c>
      <c r="O398" s="35">
        <f ca="1"/>
        <v>0</v>
      </c>
      <c r="P398" s="35">
        <f ca="1"/>
        <v>48660.485025228474</v>
      </c>
      <c r="Q398" s="35">
        <f ca="1"/>
        <v>54567.695348510846</v>
      </c>
    </row>
    <row r="399" spans="8:17">
      <c r="H399" s="35">
        <v>397</v>
      </c>
      <c r="I399" s="35">
        <f ca="1"/>
        <v>0</v>
      </c>
      <c r="J399" s="35">
        <f ca="1"/>
        <v>0</v>
      </c>
      <c r="K399" s="35">
        <f ca="1"/>
        <v>0</v>
      </c>
      <c r="L399" s="35">
        <f ca="1"/>
        <v>1</v>
      </c>
      <c r="M399" s="35">
        <f ca="1"/>
        <v>0</v>
      </c>
      <c r="N399" s="35">
        <f ca="1"/>
        <v>0</v>
      </c>
      <c r="O399" s="35">
        <f ca="1"/>
        <v>0</v>
      </c>
      <c r="P399" s="35">
        <f ca="1"/>
        <v>194848.7140718938</v>
      </c>
      <c r="Q399" s="35">
        <f ca="1"/>
        <v>194848.7140718938</v>
      </c>
    </row>
    <row r="400" spans="8:17">
      <c r="H400" s="35">
        <v>398</v>
      </c>
      <c r="I400" s="35">
        <f ca="1"/>
        <v>0</v>
      </c>
      <c r="J400" s="35">
        <f ca="1"/>
        <v>0</v>
      </c>
      <c r="K400" s="35">
        <f ca="1"/>
        <v>0</v>
      </c>
      <c r="L400" s="35">
        <f ca="1"/>
        <v>1</v>
      </c>
      <c r="M400" s="35">
        <f ca="1"/>
        <v>0</v>
      </c>
      <c r="N400" s="35">
        <f ca="1"/>
        <v>0</v>
      </c>
      <c r="O400" s="35">
        <f ca="1"/>
        <v>0</v>
      </c>
      <c r="P400" s="35">
        <f ca="1"/>
        <v>139834.50130915063</v>
      </c>
      <c r="Q400" s="35">
        <f ca="1"/>
        <v>139834.50130915063</v>
      </c>
    </row>
    <row r="401" spans="8:17">
      <c r="H401" s="35">
        <v>399</v>
      </c>
      <c r="I401" s="35">
        <f ca="1"/>
        <v>0</v>
      </c>
      <c r="J401" s="35">
        <f ca="1"/>
        <v>0</v>
      </c>
      <c r="K401" s="35">
        <f ca="1"/>
        <v>0</v>
      </c>
      <c r="L401" s="35">
        <f ca="1"/>
        <v>1</v>
      </c>
      <c r="M401" s="35">
        <f ca="1"/>
        <v>0</v>
      </c>
      <c r="N401" s="35">
        <f ca="1"/>
        <v>0</v>
      </c>
      <c r="O401" s="35">
        <f ca="1"/>
        <v>0</v>
      </c>
      <c r="P401" s="35">
        <f ca="1"/>
        <v>145963.02757221469</v>
      </c>
      <c r="Q401" s="35">
        <f ca="1"/>
        <v>145963.02757221469</v>
      </c>
    </row>
    <row r="402" spans="8:17">
      <c r="H402" s="35">
        <v>400</v>
      </c>
      <c r="I402" s="35">
        <f ca="1"/>
        <v>0</v>
      </c>
      <c r="J402" s="35">
        <f ca="1"/>
        <v>0</v>
      </c>
      <c r="K402" s="35">
        <f ca="1"/>
        <v>0</v>
      </c>
      <c r="L402" s="35">
        <f ca="1"/>
        <v>1</v>
      </c>
      <c r="M402" s="35">
        <f ca="1"/>
        <v>0</v>
      </c>
      <c r="N402" s="35">
        <f ca="1"/>
        <v>0</v>
      </c>
      <c r="O402" s="35">
        <f ca="1"/>
        <v>0</v>
      </c>
      <c r="P402" s="35">
        <f ca="1"/>
        <v>147295.09170508623</v>
      </c>
      <c r="Q402" s="35">
        <f ca="1"/>
        <v>147295.09170508623</v>
      </c>
    </row>
    <row r="403" spans="8:17">
      <c r="H403" s="35">
        <v>401</v>
      </c>
      <c r="I403" s="35">
        <f ca="1"/>
        <v>1</v>
      </c>
      <c r="J403" s="35">
        <f ca="1"/>
        <v>1</v>
      </c>
      <c r="K403" s="35">
        <f ca="1"/>
        <v>0</v>
      </c>
      <c r="L403" s="35">
        <f ca="1"/>
        <v>1</v>
      </c>
      <c r="M403" s="35">
        <f ca="1"/>
        <v>11872.356953836177</v>
      </c>
      <c r="N403" s="35">
        <f ca="1"/>
        <v>20815.97594767949</v>
      </c>
      <c r="O403" s="35">
        <f ca="1"/>
        <v>0</v>
      </c>
      <c r="P403" s="35">
        <f ca="1"/>
        <v>123894.57132437722</v>
      </c>
      <c r="Q403" s="35">
        <f ca="1"/>
        <v>156582.90422589288</v>
      </c>
    </row>
    <row r="404" spans="8:17">
      <c r="H404" s="35">
        <v>402</v>
      </c>
      <c r="I404" s="35">
        <f ca="1"/>
        <v>0</v>
      </c>
      <c r="J404" s="35">
        <f ca="1"/>
        <v>0</v>
      </c>
      <c r="K404" s="35">
        <f ca="1"/>
        <v>0</v>
      </c>
      <c r="L404" s="35">
        <f ca="1"/>
        <v>1</v>
      </c>
      <c r="M404" s="35">
        <f ca="1"/>
        <v>0</v>
      </c>
      <c r="N404" s="35">
        <f ca="1"/>
        <v>0</v>
      </c>
      <c r="O404" s="35">
        <f ca="1"/>
        <v>0</v>
      </c>
      <c r="P404" s="35">
        <f ca="1"/>
        <v>175945.20387544227</v>
      </c>
      <c r="Q404" s="35">
        <f ca="1"/>
        <v>175945.20387544227</v>
      </c>
    </row>
    <row r="405" spans="8:17">
      <c r="H405" s="35">
        <v>403</v>
      </c>
      <c r="I405" s="35">
        <f ca="1"/>
        <v>0</v>
      </c>
      <c r="J405" s="35">
        <f ca="1"/>
        <v>0</v>
      </c>
      <c r="K405" s="35">
        <f ca="1"/>
        <v>0</v>
      </c>
      <c r="L405" s="35">
        <f ca="1"/>
        <v>1</v>
      </c>
      <c r="M405" s="35">
        <f ca="1"/>
        <v>0</v>
      </c>
      <c r="N405" s="35">
        <f ca="1"/>
        <v>0</v>
      </c>
      <c r="O405" s="35">
        <f ca="1"/>
        <v>0</v>
      </c>
      <c r="P405" s="35">
        <f ca="1"/>
        <v>55310.486240265789</v>
      </c>
      <c r="Q405" s="35">
        <f ca="1"/>
        <v>55310.486240265789</v>
      </c>
    </row>
    <row r="406" spans="8:17">
      <c r="H406" s="35">
        <v>404</v>
      </c>
      <c r="I406" s="35">
        <f ca="1"/>
        <v>0</v>
      </c>
      <c r="J406" s="35">
        <f ca="1"/>
        <v>0</v>
      </c>
      <c r="K406" s="35">
        <f ca="1"/>
        <v>0</v>
      </c>
      <c r="L406" s="35">
        <f ca="1"/>
        <v>1</v>
      </c>
      <c r="M406" s="35">
        <f ca="1"/>
        <v>0</v>
      </c>
      <c r="N406" s="35">
        <f ca="1"/>
        <v>0</v>
      </c>
      <c r="O406" s="35">
        <f ca="1"/>
        <v>0</v>
      </c>
      <c r="P406" s="35">
        <f ca="1"/>
        <v>129677.43255151415</v>
      </c>
      <c r="Q406" s="35">
        <f ca="1"/>
        <v>129677.43255151415</v>
      </c>
    </row>
    <row r="407" spans="8:17">
      <c r="H407" s="35">
        <v>405</v>
      </c>
      <c r="I407" s="35">
        <f ca="1"/>
        <v>0</v>
      </c>
      <c r="J407" s="35">
        <f ca="1"/>
        <v>1</v>
      </c>
      <c r="K407" s="35">
        <f ca="1"/>
        <v>1</v>
      </c>
      <c r="L407" s="35">
        <f ca="1"/>
        <v>1</v>
      </c>
      <c r="M407" s="35">
        <f ca="1"/>
        <v>0</v>
      </c>
      <c r="N407" s="35">
        <f ca="1"/>
        <v>16931.162147796425</v>
      </c>
      <c r="O407" s="35">
        <f ca="1"/>
        <v>307.329253843088</v>
      </c>
      <c r="P407" s="35">
        <f ca="1"/>
        <v>136067.4014519185</v>
      </c>
      <c r="Q407" s="35">
        <f ca="1"/>
        <v>153305.89285355801</v>
      </c>
    </row>
    <row r="408" spans="8:17">
      <c r="H408" s="35">
        <v>406</v>
      </c>
      <c r="I408" s="35">
        <f ca="1"/>
        <v>0</v>
      </c>
      <c r="J408" s="35">
        <f ca="1"/>
        <v>0</v>
      </c>
      <c r="K408" s="35">
        <f ca="1"/>
        <v>0</v>
      </c>
      <c r="L408" s="35">
        <f ca="1"/>
        <v>1</v>
      </c>
      <c r="M408" s="35">
        <f ca="1"/>
        <v>0</v>
      </c>
      <c r="N408" s="35">
        <f ca="1"/>
        <v>0</v>
      </c>
      <c r="O408" s="35">
        <f ca="1"/>
        <v>0</v>
      </c>
      <c r="P408" s="35">
        <f ca="1"/>
        <v>133108.19220946336</v>
      </c>
      <c r="Q408" s="35">
        <f ca="1"/>
        <v>133108.19220946336</v>
      </c>
    </row>
    <row r="409" spans="8:17">
      <c r="H409" s="35">
        <v>407</v>
      </c>
      <c r="I409" s="35">
        <f ca="1"/>
        <v>0</v>
      </c>
      <c r="J409" s="35">
        <f ca="1"/>
        <v>0</v>
      </c>
      <c r="K409" s="35">
        <f ca="1"/>
        <v>0</v>
      </c>
      <c r="L409" s="35">
        <f ca="1"/>
        <v>1</v>
      </c>
      <c r="M409" s="35">
        <f ca="1"/>
        <v>0</v>
      </c>
      <c r="N409" s="35">
        <f ca="1"/>
        <v>0</v>
      </c>
      <c r="O409" s="35">
        <f ca="1"/>
        <v>0</v>
      </c>
      <c r="P409" s="35">
        <f ca="1"/>
        <v>143728.90502098054</v>
      </c>
      <c r="Q409" s="35">
        <f ca="1"/>
        <v>143728.90502098054</v>
      </c>
    </row>
    <row r="410" spans="8:17">
      <c r="H410" s="35">
        <v>408</v>
      </c>
      <c r="I410" s="35">
        <f ca="1"/>
        <v>0</v>
      </c>
      <c r="J410" s="35">
        <f ca="1"/>
        <v>1</v>
      </c>
      <c r="K410" s="35">
        <f ca="1"/>
        <v>0</v>
      </c>
      <c r="L410" s="35">
        <f ca="1"/>
        <v>1</v>
      </c>
      <c r="M410" s="35">
        <f ca="1"/>
        <v>0</v>
      </c>
      <c r="N410" s="35">
        <f ca="1"/>
        <v>21318.639361876998</v>
      </c>
      <c r="O410" s="35">
        <f ca="1"/>
        <v>0</v>
      </c>
      <c r="P410" s="35">
        <f ca="1"/>
        <v>81062.399286371947</v>
      </c>
      <c r="Q410" s="35">
        <f ca="1"/>
        <v>102381.03864824894</v>
      </c>
    </row>
    <row r="411" spans="8:17">
      <c r="H411" s="35">
        <v>409</v>
      </c>
      <c r="I411" s="35">
        <f ca="1"/>
        <v>0</v>
      </c>
      <c r="J411" s="35">
        <f ca="1"/>
        <v>0</v>
      </c>
      <c r="K411" s="35">
        <f ca="1"/>
        <v>0</v>
      </c>
      <c r="L411" s="35">
        <f ca="1"/>
        <v>1</v>
      </c>
      <c r="M411" s="35">
        <f ca="1"/>
        <v>0</v>
      </c>
      <c r="N411" s="35">
        <f ca="1"/>
        <v>0</v>
      </c>
      <c r="O411" s="35">
        <f ca="1"/>
        <v>0</v>
      </c>
      <c r="P411" s="35">
        <f ca="1"/>
        <v>221226.06036203343</v>
      </c>
      <c r="Q411" s="35">
        <f ca="1"/>
        <v>221226.06036203343</v>
      </c>
    </row>
    <row r="412" spans="8:17">
      <c r="H412" s="35">
        <v>410</v>
      </c>
      <c r="I412" s="35">
        <f ca="1"/>
        <v>0</v>
      </c>
      <c r="J412" s="35">
        <f ca="1"/>
        <v>0</v>
      </c>
      <c r="K412" s="35">
        <f ca="1"/>
        <v>1</v>
      </c>
      <c r="L412" s="35">
        <f ca="1"/>
        <v>1</v>
      </c>
      <c r="M412" s="35">
        <f ca="1"/>
        <v>0</v>
      </c>
      <c r="N412" s="35">
        <f ca="1"/>
        <v>0</v>
      </c>
      <c r="O412" s="35">
        <f ca="1"/>
        <v>221.33547870459827</v>
      </c>
      <c r="P412" s="35">
        <f ca="1"/>
        <v>122704.2140299687</v>
      </c>
      <c r="Q412" s="35">
        <f ca="1"/>
        <v>122925.5495086733</v>
      </c>
    </row>
    <row r="413" spans="8:17">
      <c r="H413" s="35">
        <v>411</v>
      </c>
      <c r="I413" s="35">
        <f ca="1"/>
        <v>0</v>
      </c>
      <c r="J413" s="35">
        <f ca="1"/>
        <v>0</v>
      </c>
      <c r="K413" s="35">
        <f ca="1"/>
        <v>0</v>
      </c>
      <c r="L413" s="35">
        <f ca="1"/>
        <v>1</v>
      </c>
      <c r="M413" s="35">
        <f ca="1"/>
        <v>0</v>
      </c>
      <c r="N413" s="35">
        <f ca="1"/>
        <v>0</v>
      </c>
      <c r="O413" s="35">
        <f ca="1"/>
        <v>0</v>
      </c>
      <c r="P413" s="35">
        <f ca="1"/>
        <v>175301.11362771643</v>
      </c>
      <c r="Q413" s="35">
        <f ca="1"/>
        <v>175301.11362771643</v>
      </c>
    </row>
    <row r="414" spans="8:17">
      <c r="H414" s="35">
        <v>412</v>
      </c>
      <c r="I414" s="35">
        <f ca="1"/>
        <v>0</v>
      </c>
      <c r="J414" s="35">
        <f ca="1"/>
        <v>0</v>
      </c>
      <c r="K414" s="35">
        <f ca="1"/>
        <v>0</v>
      </c>
      <c r="L414" s="35">
        <f ca="1"/>
        <v>1</v>
      </c>
      <c r="M414" s="35">
        <f ca="1"/>
        <v>0</v>
      </c>
      <c r="N414" s="35">
        <f ca="1"/>
        <v>0</v>
      </c>
      <c r="O414" s="35">
        <f ca="1"/>
        <v>0</v>
      </c>
      <c r="P414" s="35">
        <f ca="1"/>
        <v>104169.78601329973</v>
      </c>
      <c r="Q414" s="35">
        <f ca="1"/>
        <v>104169.78601329973</v>
      </c>
    </row>
    <row r="415" spans="8:17">
      <c r="H415" s="35">
        <v>413</v>
      </c>
      <c r="I415" s="35">
        <f ca="1"/>
        <v>0</v>
      </c>
      <c r="J415" s="35">
        <f ca="1"/>
        <v>1</v>
      </c>
      <c r="K415" s="35">
        <f ca="1"/>
        <v>0</v>
      </c>
      <c r="L415" s="35">
        <f ca="1"/>
        <v>1</v>
      </c>
      <c r="M415" s="35">
        <f ca="1"/>
        <v>0</v>
      </c>
      <c r="N415" s="35">
        <f ca="1"/>
        <v>10910.578093756207</v>
      </c>
      <c r="O415" s="35">
        <f ca="1"/>
        <v>0</v>
      </c>
      <c r="P415" s="35">
        <f ca="1"/>
        <v>70790.320029828741</v>
      </c>
      <c r="Q415" s="35">
        <f ca="1"/>
        <v>81700.89812358495</v>
      </c>
    </row>
    <row r="416" spans="8:17">
      <c r="H416" s="35">
        <v>414</v>
      </c>
      <c r="I416" s="35">
        <f ca="1"/>
        <v>0</v>
      </c>
      <c r="J416" s="35">
        <f ca="1"/>
        <v>1</v>
      </c>
      <c r="K416" s="35">
        <f ca="1"/>
        <v>0</v>
      </c>
      <c r="L416" s="35">
        <f ca="1"/>
        <v>1</v>
      </c>
      <c r="M416" s="35">
        <f ca="1"/>
        <v>0</v>
      </c>
      <c r="N416" s="35">
        <f ca="1"/>
        <v>14752.925459018235</v>
      </c>
      <c r="O416" s="35">
        <f ca="1"/>
        <v>0</v>
      </c>
      <c r="P416" s="35">
        <f ca="1"/>
        <v>154418.36649447837</v>
      </c>
      <c r="Q416" s="35">
        <f ca="1"/>
        <v>169171.29195349661</v>
      </c>
    </row>
    <row r="417" spans="8:17">
      <c r="H417" s="35">
        <v>415</v>
      </c>
      <c r="I417" s="35">
        <f ca="1"/>
        <v>1</v>
      </c>
      <c r="J417" s="35">
        <f ca="1"/>
        <v>1</v>
      </c>
      <c r="K417" s="35">
        <f ca="1"/>
        <v>0</v>
      </c>
      <c r="L417" s="35">
        <f ca="1"/>
        <v>1</v>
      </c>
      <c r="M417" s="35">
        <f ca="1"/>
        <v>8782.5349111527903</v>
      </c>
      <c r="N417" s="35">
        <f ca="1"/>
        <v>85468.873573112898</v>
      </c>
      <c r="O417" s="35">
        <f ca="1"/>
        <v>0</v>
      </c>
      <c r="P417" s="35">
        <f ca="1"/>
        <v>117666.60427350803</v>
      </c>
      <c r="Q417" s="35">
        <f ca="1"/>
        <v>211918.01275777371</v>
      </c>
    </row>
    <row r="418" spans="8:17">
      <c r="H418" s="35">
        <v>416</v>
      </c>
      <c r="I418" s="35">
        <f ca="1"/>
        <v>0</v>
      </c>
      <c r="J418" s="35">
        <f ca="1"/>
        <v>1</v>
      </c>
      <c r="K418" s="35">
        <f ca="1"/>
        <v>0</v>
      </c>
      <c r="L418" s="35">
        <f ca="1"/>
        <v>0</v>
      </c>
      <c r="M418" s="35">
        <f ca="1"/>
        <v>0</v>
      </c>
      <c r="N418" s="35">
        <f ca="1"/>
        <v>20074.604409617536</v>
      </c>
      <c r="O418" s="35">
        <f ca="1"/>
        <v>0</v>
      </c>
      <c r="P418" s="35">
        <f ca="1"/>
        <v>0</v>
      </c>
      <c r="Q418" s="35">
        <f ca="1"/>
        <v>20074.604409617536</v>
      </c>
    </row>
    <row r="419" spans="8:17">
      <c r="H419" s="35">
        <v>417</v>
      </c>
      <c r="I419" s="35">
        <f ca="1"/>
        <v>0</v>
      </c>
      <c r="J419" s="35">
        <f ca="1"/>
        <v>0</v>
      </c>
      <c r="K419" s="35">
        <f ca="1"/>
        <v>0</v>
      </c>
      <c r="L419" s="35">
        <f ca="1"/>
        <v>1</v>
      </c>
      <c r="M419" s="35">
        <f ca="1"/>
        <v>0</v>
      </c>
      <c r="N419" s="35">
        <f ca="1"/>
        <v>0</v>
      </c>
      <c r="O419" s="35">
        <f ca="1"/>
        <v>0</v>
      </c>
      <c r="P419" s="35">
        <f ca="1"/>
        <v>83646.259573727963</v>
      </c>
      <c r="Q419" s="35">
        <f ca="1"/>
        <v>83646.259573727963</v>
      </c>
    </row>
    <row r="420" spans="8:17">
      <c r="H420" s="35">
        <v>418</v>
      </c>
      <c r="I420" s="35">
        <f ca="1"/>
        <v>0</v>
      </c>
      <c r="J420" s="35">
        <f ca="1"/>
        <v>0</v>
      </c>
      <c r="K420" s="35">
        <f ca="1"/>
        <v>0</v>
      </c>
      <c r="L420" s="35">
        <f ca="1"/>
        <v>1</v>
      </c>
      <c r="M420" s="35">
        <f ca="1"/>
        <v>0</v>
      </c>
      <c r="N420" s="35">
        <f ca="1"/>
        <v>0</v>
      </c>
      <c r="O420" s="35">
        <f ca="1"/>
        <v>0</v>
      </c>
      <c r="P420" s="35">
        <f ca="1"/>
        <v>190153.86842821963</v>
      </c>
      <c r="Q420" s="35">
        <f ca="1"/>
        <v>190153.86842821963</v>
      </c>
    </row>
    <row r="421" spans="8:17">
      <c r="H421" s="35">
        <v>419</v>
      </c>
      <c r="I421" s="35">
        <f ca="1"/>
        <v>1</v>
      </c>
      <c r="J421" s="35">
        <f ca="1"/>
        <v>0</v>
      </c>
      <c r="K421" s="35">
        <f ca="1"/>
        <v>1</v>
      </c>
      <c r="L421" s="35">
        <f ca="1"/>
        <v>1</v>
      </c>
      <c r="M421" s="35">
        <f ca="1"/>
        <v>8544.3813754276489</v>
      </c>
      <c r="N421" s="35">
        <f ca="1"/>
        <v>0</v>
      </c>
      <c r="O421" s="35">
        <f ca="1"/>
        <v>488.7865628740276</v>
      </c>
      <c r="P421" s="35">
        <f ca="1"/>
        <v>116071.71349672312</v>
      </c>
      <c r="Q421" s="35">
        <f ca="1"/>
        <v>125104.8814350248</v>
      </c>
    </row>
    <row r="422" spans="8:17">
      <c r="H422" s="35">
        <v>420</v>
      </c>
      <c r="I422" s="35">
        <f ca="1"/>
        <v>0</v>
      </c>
      <c r="J422" s="35">
        <f ca="1"/>
        <v>0</v>
      </c>
      <c r="K422" s="35">
        <f ca="1"/>
        <v>1</v>
      </c>
      <c r="L422" s="35">
        <f ca="1"/>
        <v>1</v>
      </c>
      <c r="M422" s="35">
        <f ca="1"/>
        <v>0</v>
      </c>
      <c r="N422" s="35">
        <f ca="1"/>
        <v>0</v>
      </c>
      <c r="O422" s="35">
        <f ca="1"/>
        <v>239.11729987169869</v>
      </c>
      <c r="P422" s="35">
        <f ca="1"/>
        <v>200472.37157637865</v>
      </c>
      <c r="Q422" s="35">
        <f ca="1"/>
        <v>200711.48887625034</v>
      </c>
    </row>
    <row r="423" spans="8:17">
      <c r="H423" s="35">
        <v>421</v>
      </c>
      <c r="I423" s="35">
        <f ca="1"/>
        <v>0</v>
      </c>
      <c r="J423" s="35">
        <f ca="1"/>
        <v>0</v>
      </c>
      <c r="K423" s="35">
        <f ca="1"/>
        <v>0</v>
      </c>
      <c r="L423" s="35">
        <f ca="1"/>
        <v>1</v>
      </c>
      <c r="M423" s="35">
        <f ca="1"/>
        <v>0</v>
      </c>
      <c r="N423" s="35">
        <f ca="1"/>
        <v>0</v>
      </c>
      <c r="O423" s="35">
        <f ca="1"/>
        <v>0</v>
      </c>
      <c r="P423" s="35">
        <f ca="1"/>
        <v>74786.248456723493</v>
      </c>
      <c r="Q423" s="35">
        <f ca="1"/>
        <v>74786.248456723493</v>
      </c>
    </row>
    <row r="424" spans="8:17">
      <c r="H424" s="35">
        <v>422</v>
      </c>
      <c r="I424" s="35">
        <f ca="1"/>
        <v>0</v>
      </c>
      <c r="J424" s="35">
        <f ca="1"/>
        <v>0</v>
      </c>
      <c r="K424" s="35">
        <f ca="1"/>
        <v>0</v>
      </c>
      <c r="L424" s="35">
        <f ca="1"/>
        <v>1</v>
      </c>
      <c r="M424" s="35">
        <f ca="1"/>
        <v>0</v>
      </c>
      <c r="N424" s="35">
        <f ca="1"/>
        <v>0</v>
      </c>
      <c r="O424" s="35">
        <f ca="1"/>
        <v>0</v>
      </c>
      <c r="P424" s="35">
        <f ca="1"/>
        <v>115219.03609879772</v>
      </c>
      <c r="Q424" s="35">
        <f ca="1"/>
        <v>115219.03609879772</v>
      </c>
    </row>
    <row r="425" spans="8:17">
      <c r="H425" s="35">
        <v>423</v>
      </c>
      <c r="I425" s="35">
        <f ca="1"/>
        <v>0</v>
      </c>
      <c r="J425" s="35">
        <f ca="1"/>
        <v>0</v>
      </c>
      <c r="K425" s="35">
        <f ca="1"/>
        <v>0</v>
      </c>
      <c r="L425" s="35">
        <f ca="1"/>
        <v>1</v>
      </c>
      <c r="M425" s="35">
        <f ca="1"/>
        <v>0</v>
      </c>
      <c r="N425" s="35">
        <f ca="1"/>
        <v>0</v>
      </c>
      <c r="O425" s="35">
        <f ca="1"/>
        <v>0</v>
      </c>
      <c r="P425" s="35">
        <f ca="1"/>
        <v>125862.82853103778</v>
      </c>
      <c r="Q425" s="35">
        <f ca="1"/>
        <v>125862.82853103778</v>
      </c>
    </row>
    <row r="426" spans="8:17">
      <c r="H426" s="35">
        <v>424</v>
      </c>
      <c r="I426" s="35">
        <f ca="1"/>
        <v>0</v>
      </c>
      <c r="J426" s="35">
        <f ca="1"/>
        <v>0</v>
      </c>
      <c r="K426" s="35">
        <f ca="1"/>
        <v>0</v>
      </c>
      <c r="L426" s="35">
        <f ca="1"/>
        <v>1</v>
      </c>
      <c r="M426" s="35">
        <f ca="1"/>
        <v>0</v>
      </c>
      <c r="N426" s="35">
        <f ca="1"/>
        <v>0</v>
      </c>
      <c r="O426" s="35">
        <f ca="1"/>
        <v>0</v>
      </c>
      <c r="P426" s="35">
        <f ca="1"/>
        <v>174370.52474524995</v>
      </c>
      <c r="Q426" s="35">
        <f ca="1"/>
        <v>174370.52474524995</v>
      </c>
    </row>
    <row r="427" spans="8:17">
      <c r="H427" s="35">
        <v>425</v>
      </c>
      <c r="I427" s="35">
        <f ca="1"/>
        <v>0</v>
      </c>
      <c r="J427" s="35">
        <f ca="1"/>
        <v>0</v>
      </c>
      <c r="K427" s="35">
        <f ca="1"/>
        <v>0</v>
      </c>
      <c r="L427" s="35">
        <f ca="1"/>
        <v>1</v>
      </c>
      <c r="M427" s="35">
        <f ca="1"/>
        <v>0</v>
      </c>
      <c r="N427" s="35">
        <f ca="1"/>
        <v>0</v>
      </c>
      <c r="O427" s="35">
        <f ca="1"/>
        <v>0</v>
      </c>
      <c r="P427" s="35">
        <f ca="1"/>
        <v>108977.89458547006</v>
      </c>
      <c r="Q427" s="35">
        <f ca="1"/>
        <v>108977.89458547006</v>
      </c>
    </row>
    <row r="428" spans="8:17">
      <c r="H428" s="35">
        <v>426</v>
      </c>
      <c r="I428" s="35">
        <f ca="1"/>
        <v>1</v>
      </c>
      <c r="J428" s="35">
        <f ca="1"/>
        <v>0</v>
      </c>
      <c r="K428" s="35">
        <f ca="1"/>
        <v>0</v>
      </c>
      <c r="L428" s="35">
        <f ca="1"/>
        <v>1</v>
      </c>
      <c r="M428" s="35">
        <f ca="1"/>
        <v>1093.8323911382192</v>
      </c>
      <c r="N428" s="35">
        <f ca="1"/>
        <v>0</v>
      </c>
      <c r="O428" s="35">
        <f ca="1"/>
        <v>0</v>
      </c>
      <c r="P428" s="35">
        <f ca="1"/>
        <v>180167.29456674363</v>
      </c>
      <c r="Q428" s="35">
        <f ca="1"/>
        <v>181261.12695788185</v>
      </c>
    </row>
    <row r="429" spans="8:17">
      <c r="H429" s="35">
        <v>427</v>
      </c>
      <c r="I429" s="35">
        <f ca="1"/>
        <v>0</v>
      </c>
      <c r="J429" s="35">
        <f ca="1"/>
        <v>1</v>
      </c>
      <c r="K429" s="35">
        <f ca="1"/>
        <v>1</v>
      </c>
      <c r="L429" s="35">
        <f ca="1"/>
        <v>0</v>
      </c>
      <c r="M429" s="35">
        <f ca="1"/>
        <v>0</v>
      </c>
      <c r="N429" s="35">
        <f ca="1"/>
        <v>35420.819307904596</v>
      </c>
      <c r="O429" s="35">
        <f ca="1"/>
        <v>401.15749195214141</v>
      </c>
      <c r="P429" s="35">
        <f ca="1"/>
        <v>0</v>
      </c>
      <c r="Q429" s="35">
        <f ca="1"/>
        <v>35821.97679985674</v>
      </c>
    </row>
    <row r="430" spans="8:17">
      <c r="H430" s="35">
        <v>428</v>
      </c>
      <c r="I430" s="35">
        <f ca="1"/>
        <v>0</v>
      </c>
      <c r="J430" s="35">
        <f ca="1"/>
        <v>0</v>
      </c>
      <c r="K430" s="35">
        <f ca="1"/>
        <v>1</v>
      </c>
      <c r="L430" s="35">
        <f ca="1"/>
        <v>1</v>
      </c>
      <c r="M430" s="35">
        <f ca="1"/>
        <v>0</v>
      </c>
      <c r="N430" s="35">
        <f ca="1"/>
        <v>0</v>
      </c>
      <c r="O430" s="35">
        <f ca="1"/>
        <v>50.102160720892591</v>
      </c>
      <c r="P430" s="35">
        <f ca="1"/>
        <v>61166.390735914989</v>
      </c>
      <c r="Q430" s="35">
        <f ca="1"/>
        <v>61216.492896635878</v>
      </c>
    </row>
    <row r="431" spans="8:17">
      <c r="H431" s="35">
        <v>429</v>
      </c>
      <c r="I431" s="35">
        <f ca="1"/>
        <v>1</v>
      </c>
      <c r="J431" s="35">
        <f ca="1"/>
        <v>0</v>
      </c>
      <c r="K431" s="35">
        <f ca="1"/>
        <v>0</v>
      </c>
      <c r="L431" s="35">
        <f ca="1"/>
        <v>1</v>
      </c>
      <c r="M431" s="35">
        <f ca="1"/>
        <v>8184.6456622544329</v>
      </c>
      <c r="N431" s="35">
        <f ca="1"/>
        <v>0</v>
      </c>
      <c r="O431" s="35">
        <f ca="1"/>
        <v>0</v>
      </c>
      <c r="P431" s="35">
        <f ca="1"/>
        <v>126499.15686155025</v>
      </c>
      <c r="Q431" s="35">
        <f ca="1"/>
        <v>134683.80252380468</v>
      </c>
    </row>
    <row r="432" spans="8:17">
      <c r="H432" s="35">
        <v>430</v>
      </c>
      <c r="I432" s="35">
        <f ca="1"/>
        <v>0</v>
      </c>
      <c r="J432" s="35">
        <f ca="1"/>
        <v>0</v>
      </c>
      <c r="K432" s="35">
        <f ca="1"/>
        <v>0</v>
      </c>
      <c r="L432" s="35">
        <f ca="1"/>
        <v>1</v>
      </c>
      <c r="M432" s="35">
        <f ca="1"/>
        <v>0</v>
      </c>
      <c r="N432" s="35">
        <f ca="1"/>
        <v>0</v>
      </c>
      <c r="O432" s="35">
        <f ca="1"/>
        <v>0</v>
      </c>
      <c r="P432" s="35">
        <f ca="1"/>
        <v>206987.70191648108</v>
      </c>
      <c r="Q432" s="35">
        <f ca="1"/>
        <v>206987.70191648108</v>
      </c>
    </row>
    <row r="433" spans="8:17">
      <c r="H433" s="35">
        <v>431</v>
      </c>
      <c r="I433" s="35">
        <f ca="1"/>
        <v>1</v>
      </c>
      <c r="J433" s="35">
        <f ca="1"/>
        <v>0</v>
      </c>
      <c r="K433" s="35">
        <f ca="1"/>
        <v>0</v>
      </c>
      <c r="L433" s="35">
        <f ca="1"/>
        <v>1</v>
      </c>
      <c r="M433" s="35">
        <f ca="1"/>
        <v>16201.585484303156</v>
      </c>
      <c r="N433" s="35">
        <f ca="1"/>
        <v>0</v>
      </c>
      <c r="O433" s="35">
        <f ca="1"/>
        <v>0</v>
      </c>
      <c r="P433" s="35">
        <f ca="1"/>
        <v>171150.35517789252</v>
      </c>
      <c r="Q433" s="35">
        <f ca="1"/>
        <v>187351.94066219567</v>
      </c>
    </row>
    <row r="434" spans="8:17">
      <c r="H434" s="35">
        <v>432</v>
      </c>
      <c r="I434" s="35">
        <f ca="1"/>
        <v>0</v>
      </c>
      <c r="J434" s="35">
        <f ca="1"/>
        <v>0</v>
      </c>
      <c r="K434" s="35">
        <f ca="1"/>
        <v>0</v>
      </c>
      <c r="L434" s="35">
        <f ca="1"/>
        <v>1</v>
      </c>
      <c r="M434" s="35">
        <f ca="1"/>
        <v>0</v>
      </c>
      <c r="N434" s="35">
        <f ca="1"/>
        <v>0</v>
      </c>
      <c r="O434" s="35">
        <f ca="1"/>
        <v>0</v>
      </c>
      <c r="P434" s="35">
        <f ca="1"/>
        <v>136080.41834952339</v>
      </c>
      <c r="Q434" s="35">
        <f ca="1"/>
        <v>136080.41834952339</v>
      </c>
    </row>
    <row r="435" spans="8:17">
      <c r="H435" s="35">
        <v>433</v>
      </c>
      <c r="I435" s="35">
        <f ca="1"/>
        <v>1</v>
      </c>
      <c r="J435" s="35">
        <f ca="1"/>
        <v>0</v>
      </c>
      <c r="K435" s="35">
        <f ca="1"/>
        <v>0</v>
      </c>
      <c r="L435" s="35">
        <f ca="1"/>
        <v>1</v>
      </c>
      <c r="M435" s="35">
        <f ca="1"/>
        <v>4014.3084958898444</v>
      </c>
      <c r="N435" s="35">
        <f ca="1"/>
        <v>0</v>
      </c>
      <c r="O435" s="35">
        <f ca="1"/>
        <v>0</v>
      </c>
      <c r="P435" s="35">
        <f ca="1"/>
        <v>139075.12082858218</v>
      </c>
      <c r="Q435" s="35">
        <f ca="1"/>
        <v>143089.42932447203</v>
      </c>
    </row>
    <row r="436" spans="8:17">
      <c r="H436" s="35">
        <v>434</v>
      </c>
      <c r="I436" s="35">
        <f ca="1"/>
        <v>0</v>
      </c>
      <c r="J436" s="35">
        <f ca="1"/>
        <v>0</v>
      </c>
      <c r="K436" s="35">
        <f ca="1"/>
        <v>0</v>
      </c>
      <c r="L436" s="35">
        <f ca="1"/>
        <v>1</v>
      </c>
      <c r="M436" s="35">
        <f ca="1"/>
        <v>0</v>
      </c>
      <c r="N436" s="35">
        <f ca="1"/>
        <v>0</v>
      </c>
      <c r="O436" s="35">
        <f ca="1"/>
        <v>0</v>
      </c>
      <c r="P436" s="35">
        <f ca="1"/>
        <v>164632.45760390512</v>
      </c>
      <c r="Q436" s="35">
        <f ca="1"/>
        <v>164632.45760390512</v>
      </c>
    </row>
    <row r="437" spans="8:17">
      <c r="H437" s="35">
        <v>435</v>
      </c>
      <c r="I437" s="35">
        <f ca="1"/>
        <v>0</v>
      </c>
      <c r="J437" s="35">
        <f ca="1"/>
        <v>1</v>
      </c>
      <c r="K437" s="35">
        <f ca="1"/>
        <v>1</v>
      </c>
      <c r="L437" s="35">
        <f ca="1"/>
        <v>1</v>
      </c>
      <c r="M437" s="35">
        <f ca="1"/>
        <v>0</v>
      </c>
      <c r="N437" s="35">
        <f ca="1"/>
        <v>66561.554084497271</v>
      </c>
      <c r="O437" s="35">
        <f ca="1"/>
        <v>441.69753847924443</v>
      </c>
      <c r="P437" s="35">
        <f ca="1"/>
        <v>109319.48002649263</v>
      </c>
      <c r="Q437" s="35">
        <f ca="1"/>
        <v>176322.73164946915</v>
      </c>
    </row>
    <row r="438" spans="8:17">
      <c r="H438" s="35">
        <v>436</v>
      </c>
      <c r="I438" s="35">
        <f ca="1"/>
        <v>0</v>
      </c>
      <c r="J438" s="35">
        <f ca="1"/>
        <v>0</v>
      </c>
      <c r="K438" s="35">
        <f ca="1"/>
        <v>0</v>
      </c>
      <c r="L438" s="35">
        <f ca="1"/>
        <v>1</v>
      </c>
      <c r="M438" s="35">
        <f ca="1"/>
        <v>0</v>
      </c>
      <c r="N438" s="35">
        <f ca="1"/>
        <v>0</v>
      </c>
      <c r="O438" s="35">
        <f ca="1"/>
        <v>0</v>
      </c>
      <c r="P438" s="35">
        <f ca="1"/>
        <v>158346.36290960491</v>
      </c>
      <c r="Q438" s="35">
        <f ca="1"/>
        <v>158346.36290960491</v>
      </c>
    </row>
    <row r="439" spans="8:17">
      <c r="H439" s="35">
        <v>437</v>
      </c>
      <c r="I439" s="35">
        <f ca="1"/>
        <v>0</v>
      </c>
      <c r="J439" s="35">
        <f ca="1"/>
        <v>0</v>
      </c>
      <c r="K439" s="35">
        <f ca="1"/>
        <v>0</v>
      </c>
      <c r="L439" s="35">
        <f ca="1"/>
        <v>0</v>
      </c>
      <c r="M439" s="35">
        <f ca="1"/>
        <v>0</v>
      </c>
      <c r="N439" s="35">
        <f ca="1"/>
        <v>0</v>
      </c>
      <c r="O439" s="35">
        <f ca="1"/>
        <v>0</v>
      </c>
      <c r="P439" s="35">
        <f ca="1"/>
        <v>0</v>
      </c>
      <c r="Q439" s="35">
        <f ca="1"/>
        <v>0</v>
      </c>
    </row>
    <row r="440" spans="8:17">
      <c r="H440" s="35">
        <v>438</v>
      </c>
      <c r="I440" s="35">
        <f ca="1"/>
        <v>0</v>
      </c>
      <c r="J440" s="35">
        <f ca="1"/>
        <v>0</v>
      </c>
      <c r="K440" s="35">
        <f ca="1"/>
        <v>0</v>
      </c>
      <c r="L440" s="35">
        <f ca="1"/>
        <v>1</v>
      </c>
      <c r="M440" s="35">
        <f ca="1"/>
        <v>0</v>
      </c>
      <c r="N440" s="35">
        <f ca="1"/>
        <v>0</v>
      </c>
      <c r="O440" s="35">
        <f ca="1"/>
        <v>0</v>
      </c>
      <c r="P440" s="35">
        <f ca="1"/>
        <v>79816.353711609656</v>
      </c>
      <c r="Q440" s="35">
        <f ca="1"/>
        <v>79816.353711609656</v>
      </c>
    </row>
    <row r="441" spans="8:17">
      <c r="H441" s="35">
        <v>439</v>
      </c>
      <c r="I441" s="35">
        <f ca="1"/>
        <v>1</v>
      </c>
      <c r="J441" s="35">
        <f ca="1"/>
        <v>0</v>
      </c>
      <c r="K441" s="35">
        <f ca="1"/>
        <v>0</v>
      </c>
      <c r="L441" s="35">
        <f ca="1"/>
        <v>1</v>
      </c>
      <c r="M441" s="35">
        <f ca="1"/>
        <v>8904.5565956820465</v>
      </c>
      <c r="N441" s="35">
        <f ca="1"/>
        <v>0</v>
      </c>
      <c r="O441" s="35">
        <f ca="1"/>
        <v>0</v>
      </c>
      <c r="P441" s="35">
        <f ca="1"/>
        <v>100035.55835019704</v>
      </c>
      <c r="Q441" s="35">
        <f ca="1"/>
        <v>108940.11494587909</v>
      </c>
    </row>
    <row r="442" spans="8:17">
      <c r="H442" s="35">
        <v>440</v>
      </c>
      <c r="I442" s="35">
        <f ca="1"/>
        <v>0</v>
      </c>
      <c r="J442" s="35">
        <f ca="1"/>
        <v>0</v>
      </c>
      <c r="K442" s="35">
        <f ca="1"/>
        <v>1</v>
      </c>
      <c r="L442" s="35">
        <f ca="1"/>
        <v>1</v>
      </c>
      <c r="M442" s="35">
        <f ca="1"/>
        <v>0</v>
      </c>
      <c r="N442" s="35">
        <f ca="1"/>
        <v>0</v>
      </c>
      <c r="O442" s="35">
        <f ca="1"/>
        <v>221.7441457171397</v>
      </c>
      <c r="P442" s="35">
        <f ca="1"/>
        <v>162384.0659866021</v>
      </c>
      <c r="Q442" s="35">
        <f ca="1"/>
        <v>162605.81013231925</v>
      </c>
    </row>
    <row r="443" spans="8:17">
      <c r="H443" s="35">
        <v>441</v>
      </c>
      <c r="I443" s="35">
        <f ca="1"/>
        <v>0</v>
      </c>
      <c r="J443" s="35">
        <f ca="1"/>
        <v>0</v>
      </c>
      <c r="K443" s="35">
        <f ca="1"/>
        <v>1</v>
      </c>
      <c r="L443" s="35">
        <f ca="1"/>
        <v>0</v>
      </c>
      <c r="M443" s="35">
        <f ca="1"/>
        <v>0</v>
      </c>
      <c r="N443" s="35">
        <f ca="1"/>
        <v>0</v>
      </c>
      <c r="O443" s="35">
        <f ca="1"/>
        <v>305.08549952784216</v>
      </c>
      <c r="P443" s="35">
        <f ca="1"/>
        <v>0</v>
      </c>
      <c r="Q443" s="35">
        <f ca="1"/>
        <v>305.08549952784216</v>
      </c>
    </row>
    <row r="444" spans="8:17">
      <c r="H444" s="35">
        <v>442</v>
      </c>
      <c r="I444" s="35">
        <f ca="1"/>
        <v>0</v>
      </c>
      <c r="J444" s="35">
        <f ca="1"/>
        <v>0</v>
      </c>
      <c r="K444" s="35">
        <f ca="1"/>
        <v>0</v>
      </c>
      <c r="L444" s="35">
        <f ca="1"/>
        <v>1</v>
      </c>
      <c r="M444" s="35">
        <f ca="1"/>
        <v>0</v>
      </c>
      <c r="N444" s="35">
        <f ca="1"/>
        <v>0</v>
      </c>
      <c r="O444" s="35">
        <f ca="1"/>
        <v>0</v>
      </c>
      <c r="P444" s="35">
        <f ca="1"/>
        <v>152477.64021547497</v>
      </c>
      <c r="Q444" s="35">
        <f ca="1"/>
        <v>152477.64021547497</v>
      </c>
    </row>
    <row r="445" spans="8:17">
      <c r="H445" s="35">
        <v>443</v>
      </c>
      <c r="I445" s="35">
        <f ca="1"/>
        <v>0</v>
      </c>
      <c r="J445" s="35">
        <f ca="1"/>
        <v>0</v>
      </c>
      <c r="K445" s="35">
        <f ca="1"/>
        <v>0</v>
      </c>
      <c r="L445" s="35">
        <f ca="1"/>
        <v>1</v>
      </c>
      <c r="M445" s="35">
        <f ca="1"/>
        <v>0</v>
      </c>
      <c r="N445" s="35">
        <f ca="1"/>
        <v>0</v>
      </c>
      <c r="O445" s="35">
        <f ca="1"/>
        <v>0</v>
      </c>
      <c r="P445" s="35">
        <f ca="1"/>
        <v>155113.51042111652</v>
      </c>
      <c r="Q445" s="35">
        <f ca="1"/>
        <v>155113.51042111652</v>
      </c>
    </row>
    <row r="446" spans="8:17">
      <c r="H446" s="35">
        <v>444</v>
      </c>
      <c r="I446" s="35">
        <f ca="1"/>
        <v>1</v>
      </c>
      <c r="J446" s="35">
        <f ca="1"/>
        <v>0</v>
      </c>
      <c r="K446" s="35">
        <f ca="1"/>
        <v>0</v>
      </c>
      <c r="L446" s="35">
        <f ca="1"/>
        <v>1</v>
      </c>
      <c r="M446" s="35">
        <f ca="1"/>
        <v>3743.1568276511862</v>
      </c>
      <c r="N446" s="35">
        <f ca="1"/>
        <v>0</v>
      </c>
      <c r="O446" s="35">
        <f ca="1"/>
        <v>0</v>
      </c>
      <c r="P446" s="35">
        <f ca="1"/>
        <v>106722.6178769102</v>
      </c>
      <c r="Q446" s="35">
        <f ca="1"/>
        <v>110465.77470456138</v>
      </c>
    </row>
    <row r="447" spans="8:17">
      <c r="H447" s="35">
        <v>445</v>
      </c>
      <c r="I447" s="35">
        <f ca="1"/>
        <v>1</v>
      </c>
      <c r="J447" s="35">
        <f ca="1"/>
        <v>0</v>
      </c>
      <c r="K447" s="35">
        <f ca="1"/>
        <v>1</v>
      </c>
      <c r="L447" s="35">
        <f ca="1"/>
        <v>0</v>
      </c>
      <c r="M447" s="35">
        <f ca="1"/>
        <v>15139.443508299331</v>
      </c>
      <c r="N447" s="35">
        <f ca="1"/>
        <v>0</v>
      </c>
      <c r="O447" s="35">
        <f ca="1"/>
        <v>380.28204835581909</v>
      </c>
      <c r="P447" s="35">
        <f ca="1"/>
        <v>0</v>
      </c>
      <c r="Q447" s="35">
        <f ca="1"/>
        <v>15519.72555665515</v>
      </c>
    </row>
    <row r="448" spans="8:17">
      <c r="H448" s="35">
        <v>446</v>
      </c>
      <c r="I448" s="35">
        <f ca="1"/>
        <v>0</v>
      </c>
      <c r="J448" s="35">
        <f ca="1"/>
        <v>0</v>
      </c>
      <c r="K448" s="35">
        <f ca="1"/>
        <v>0</v>
      </c>
      <c r="L448" s="35">
        <f ca="1"/>
        <v>1</v>
      </c>
      <c r="M448" s="35">
        <f ca="1"/>
        <v>0</v>
      </c>
      <c r="N448" s="35">
        <f ca="1"/>
        <v>0</v>
      </c>
      <c r="O448" s="35">
        <f ca="1"/>
        <v>0</v>
      </c>
      <c r="P448" s="35">
        <f ca="1"/>
        <v>165525.64663986381</v>
      </c>
      <c r="Q448" s="35">
        <f ca="1"/>
        <v>165525.64663986381</v>
      </c>
    </row>
    <row r="449" spans="8:17">
      <c r="H449" s="35">
        <v>447</v>
      </c>
      <c r="I449" s="35">
        <f ca="1"/>
        <v>1</v>
      </c>
      <c r="J449" s="35">
        <f ca="1"/>
        <v>0</v>
      </c>
      <c r="K449" s="35">
        <f ca="1"/>
        <v>0</v>
      </c>
      <c r="L449" s="35">
        <f ca="1"/>
        <v>1</v>
      </c>
      <c r="M449" s="35">
        <f ca="1"/>
        <v>10118.690668225217</v>
      </c>
      <c r="N449" s="35">
        <f ca="1"/>
        <v>0</v>
      </c>
      <c r="O449" s="35">
        <f ca="1"/>
        <v>0</v>
      </c>
      <c r="P449" s="35">
        <f ca="1"/>
        <v>141584.07745903987</v>
      </c>
      <c r="Q449" s="35">
        <f ca="1"/>
        <v>151702.7681272651</v>
      </c>
    </row>
    <row r="450" spans="8:17">
      <c r="H450" s="35">
        <v>448</v>
      </c>
      <c r="I450" s="35">
        <f ca="1"/>
        <v>0</v>
      </c>
      <c r="J450" s="35">
        <f ca="1"/>
        <v>0</v>
      </c>
      <c r="K450" s="35">
        <f ca="1"/>
        <v>0</v>
      </c>
      <c r="L450" s="35">
        <f ca="1"/>
        <v>1</v>
      </c>
      <c r="M450" s="35">
        <f ca="1"/>
        <v>0</v>
      </c>
      <c r="N450" s="35">
        <f ca="1"/>
        <v>0</v>
      </c>
      <c r="O450" s="35">
        <f ca="1"/>
        <v>0</v>
      </c>
      <c r="P450" s="35">
        <f ca="1"/>
        <v>101899.38833602682</v>
      </c>
      <c r="Q450" s="35">
        <f ca="1"/>
        <v>101899.38833602682</v>
      </c>
    </row>
    <row r="451" spans="8:17">
      <c r="H451" s="35">
        <v>449</v>
      </c>
      <c r="I451" s="35">
        <f ca="1"/>
        <v>0</v>
      </c>
      <c r="J451" s="35">
        <f ca="1"/>
        <v>0</v>
      </c>
      <c r="K451" s="35">
        <f ca="1"/>
        <v>0</v>
      </c>
      <c r="L451" s="35">
        <f ca="1"/>
        <v>1</v>
      </c>
      <c r="M451" s="35">
        <f ca="1"/>
        <v>0</v>
      </c>
      <c r="N451" s="35">
        <f ca="1"/>
        <v>0</v>
      </c>
      <c r="O451" s="35">
        <f ca="1"/>
        <v>0</v>
      </c>
      <c r="P451" s="35">
        <f ca="1"/>
        <v>99090.819429511583</v>
      </c>
      <c r="Q451" s="35">
        <f ca="1"/>
        <v>99090.819429511583</v>
      </c>
    </row>
    <row r="452" spans="8:17">
      <c r="H452" s="35">
        <v>450</v>
      </c>
      <c r="I452" s="35">
        <f ca="1"/>
        <v>0</v>
      </c>
      <c r="J452" s="35">
        <f ca="1"/>
        <v>0</v>
      </c>
      <c r="K452" s="35">
        <f ca="1"/>
        <v>0</v>
      </c>
      <c r="L452" s="35">
        <f ca="1"/>
        <v>1</v>
      </c>
      <c r="M452" s="35">
        <f ca="1"/>
        <v>0</v>
      </c>
      <c r="N452" s="35">
        <f ca="1"/>
        <v>0</v>
      </c>
      <c r="O452" s="35">
        <f ca="1"/>
        <v>0</v>
      </c>
      <c r="P452" s="35">
        <f ca="1"/>
        <v>133568.26802877738</v>
      </c>
      <c r="Q452" s="35">
        <f ca="1"/>
        <v>133568.26802877738</v>
      </c>
    </row>
    <row r="453" spans="8:17">
      <c r="H453" s="35">
        <v>451</v>
      </c>
      <c r="I453" s="35">
        <f ca="1"/>
        <v>0</v>
      </c>
      <c r="J453" s="35">
        <f ca="1"/>
        <v>0</v>
      </c>
      <c r="K453" s="35">
        <f ca="1"/>
        <v>0</v>
      </c>
      <c r="L453" s="35">
        <f ca="1"/>
        <v>1</v>
      </c>
      <c r="M453" s="35">
        <f ca="1"/>
        <v>0</v>
      </c>
      <c r="N453" s="35">
        <f ca="1"/>
        <v>0</v>
      </c>
      <c r="O453" s="35">
        <f ca="1"/>
        <v>0</v>
      </c>
      <c r="P453" s="35">
        <f ca="1"/>
        <v>177305.95780333068</v>
      </c>
      <c r="Q453" s="35">
        <f ca="1"/>
        <v>177305.95780333068</v>
      </c>
    </row>
    <row r="454" spans="8:17">
      <c r="H454" s="35">
        <v>452</v>
      </c>
      <c r="I454" s="35">
        <f ca="1"/>
        <v>0</v>
      </c>
      <c r="J454" s="35">
        <f ca="1"/>
        <v>0</v>
      </c>
      <c r="K454" s="35">
        <f ca="1"/>
        <v>0</v>
      </c>
      <c r="L454" s="35">
        <f ca="1"/>
        <v>1</v>
      </c>
      <c r="M454" s="35">
        <f ca="1"/>
        <v>0</v>
      </c>
      <c r="N454" s="35">
        <f ca="1"/>
        <v>0</v>
      </c>
      <c r="O454" s="35">
        <f ca="1"/>
        <v>0</v>
      </c>
      <c r="P454" s="35">
        <f ca="1"/>
        <v>150150.69406586851</v>
      </c>
      <c r="Q454" s="35">
        <f ca="1"/>
        <v>150150.69406586851</v>
      </c>
    </row>
    <row r="455" spans="8:17">
      <c r="H455" s="35">
        <v>453</v>
      </c>
      <c r="I455" s="35">
        <f ca="1"/>
        <v>1</v>
      </c>
      <c r="J455" s="35">
        <f ca="1"/>
        <v>0</v>
      </c>
      <c r="K455" s="35">
        <f ca="1"/>
        <v>0</v>
      </c>
      <c r="L455" s="35">
        <f ca="1"/>
        <v>1</v>
      </c>
      <c r="M455" s="35">
        <f ca="1"/>
        <v>10635.13721416467</v>
      </c>
      <c r="N455" s="35">
        <f ca="1"/>
        <v>0</v>
      </c>
      <c r="O455" s="35">
        <f ca="1"/>
        <v>0</v>
      </c>
      <c r="P455" s="35">
        <f ca="1"/>
        <v>81269.379566078322</v>
      </c>
      <c r="Q455" s="35">
        <f ca="1"/>
        <v>91904.516780242993</v>
      </c>
    </row>
    <row r="456" spans="8:17">
      <c r="H456" s="35">
        <v>454</v>
      </c>
      <c r="I456" s="35">
        <f ca="1"/>
        <v>0</v>
      </c>
      <c r="J456" s="35">
        <f ca="1"/>
        <v>0</v>
      </c>
      <c r="K456" s="35">
        <f ca="1"/>
        <v>0</v>
      </c>
      <c r="L456" s="35">
        <f ca="1"/>
        <v>1</v>
      </c>
      <c r="M456" s="35">
        <f ca="1"/>
        <v>0</v>
      </c>
      <c r="N456" s="35">
        <f ca="1"/>
        <v>0</v>
      </c>
      <c r="O456" s="35">
        <f ca="1"/>
        <v>0</v>
      </c>
      <c r="P456" s="35">
        <f ca="1"/>
        <v>114276.02208116154</v>
      </c>
      <c r="Q456" s="35">
        <f ca="1"/>
        <v>114276.02208116154</v>
      </c>
    </row>
    <row r="457" spans="8:17">
      <c r="H457" s="35">
        <v>455</v>
      </c>
      <c r="I457" s="35">
        <f ca="1"/>
        <v>1</v>
      </c>
      <c r="J457" s="35">
        <f ca="1"/>
        <v>0</v>
      </c>
      <c r="K457" s="35">
        <f ca="1"/>
        <v>0</v>
      </c>
      <c r="L457" s="35">
        <f ca="1"/>
        <v>1</v>
      </c>
      <c r="M457" s="35">
        <f ca="1"/>
        <v>10782.681259532952</v>
      </c>
      <c r="N457" s="35">
        <f ca="1"/>
        <v>0</v>
      </c>
      <c r="O457" s="35">
        <f ca="1"/>
        <v>0</v>
      </c>
      <c r="P457" s="35">
        <f ca="1"/>
        <v>194317.05277848209</v>
      </c>
      <c r="Q457" s="35">
        <f ca="1"/>
        <v>205099.73403801504</v>
      </c>
    </row>
    <row r="458" spans="8:17">
      <c r="H458" s="35">
        <v>456</v>
      </c>
      <c r="I458" s="35">
        <f ca="1"/>
        <v>0</v>
      </c>
      <c r="J458" s="35">
        <f ca="1"/>
        <v>0</v>
      </c>
      <c r="K458" s="35">
        <f ca="1"/>
        <v>0</v>
      </c>
      <c r="L458" s="35">
        <f ca="1"/>
        <v>1</v>
      </c>
      <c r="M458" s="35">
        <f ca="1"/>
        <v>0</v>
      </c>
      <c r="N458" s="35">
        <f ca="1"/>
        <v>0</v>
      </c>
      <c r="O458" s="35">
        <f ca="1"/>
        <v>0</v>
      </c>
      <c r="P458" s="35">
        <f ca="1"/>
        <v>123918.73429148931</v>
      </c>
      <c r="Q458" s="35">
        <f ca="1"/>
        <v>123918.73429148931</v>
      </c>
    </row>
    <row r="459" spans="8:17">
      <c r="H459" s="35">
        <v>457</v>
      </c>
      <c r="I459" s="35">
        <f ca="1"/>
        <v>1</v>
      </c>
      <c r="J459" s="35">
        <f ca="1"/>
        <v>0</v>
      </c>
      <c r="K459" s="35">
        <f ca="1"/>
        <v>0</v>
      </c>
      <c r="L459" s="35">
        <f ca="1"/>
        <v>0</v>
      </c>
      <c r="M459" s="35">
        <f ca="1"/>
        <v>5496.2115882263261</v>
      </c>
      <c r="N459" s="35">
        <f ca="1"/>
        <v>0</v>
      </c>
      <c r="O459" s="35">
        <f ca="1"/>
        <v>0</v>
      </c>
      <c r="P459" s="35">
        <f ca="1"/>
        <v>0</v>
      </c>
      <c r="Q459" s="35">
        <f ca="1"/>
        <v>5496.2115882263261</v>
      </c>
    </row>
    <row r="460" spans="8:17">
      <c r="H460" s="35">
        <v>458</v>
      </c>
      <c r="I460" s="35">
        <f ca="1"/>
        <v>0</v>
      </c>
      <c r="J460" s="35">
        <f ca="1"/>
        <v>0</v>
      </c>
      <c r="K460" s="35">
        <f ca="1"/>
        <v>0</v>
      </c>
      <c r="L460" s="35">
        <f ca="1"/>
        <v>1</v>
      </c>
      <c r="M460" s="35">
        <f ca="1"/>
        <v>0</v>
      </c>
      <c r="N460" s="35">
        <f ca="1"/>
        <v>0</v>
      </c>
      <c r="O460" s="35">
        <f ca="1"/>
        <v>0</v>
      </c>
      <c r="P460" s="35">
        <f ca="1"/>
        <v>122277.28313448554</v>
      </c>
      <c r="Q460" s="35">
        <f ca="1"/>
        <v>122277.28313448554</v>
      </c>
    </row>
    <row r="461" spans="8:17">
      <c r="H461" s="35">
        <v>459</v>
      </c>
      <c r="I461" s="35">
        <f ca="1"/>
        <v>0</v>
      </c>
      <c r="J461" s="35">
        <f ca="1"/>
        <v>0</v>
      </c>
      <c r="K461" s="35">
        <f ca="1"/>
        <v>1</v>
      </c>
      <c r="L461" s="35">
        <f ca="1"/>
        <v>0</v>
      </c>
      <c r="M461" s="35">
        <f ca="1"/>
        <v>0</v>
      </c>
      <c r="N461" s="35">
        <f ca="1"/>
        <v>0</v>
      </c>
      <c r="O461" s="35">
        <f ca="1"/>
        <v>57.691720012975949</v>
      </c>
      <c r="P461" s="35">
        <f ca="1"/>
        <v>0</v>
      </c>
      <c r="Q461" s="35">
        <f ca="1"/>
        <v>57.691720012975949</v>
      </c>
    </row>
    <row r="462" spans="8:17">
      <c r="H462" s="35">
        <v>460</v>
      </c>
      <c r="I462" s="35">
        <f ca="1"/>
        <v>0</v>
      </c>
      <c r="J462" s="35">
        <f ca="1"/>
        <v>0</v>
      </c>
      <c r="K462" s="35">
        <f ca="1"/>
        <v>0</v>
      </c>
      <c r="L462" s="35">
        <f ca="1"/>
        <v>1</v>
      </c>
      <c r="M462" s="35">
        <f ca="1"/>
        <v>0</v>
      </c>
      <c r="N462" s="35">
        <f ca="1"/>
        <v>0</v>
      </c>
      <c r="O462" s="35">
        <f ca="1"/>
        <v>0</v>
      </c>
      <c r="P462" s="35">
        <f ca="1"/>
        <v>136020.47859672454</v>
      </c>
      <c r="Q462" s="35">
        <f ca="1"/>
        <v>136020.47859672454</v>
      </c>
    </row>
    <row r="463" spans="8:17">
      <c r="H463" s="35">
        <v>461</v>
      </c>
      <c r="I463" s="35">
        <f ca="1"/>
        <v>0</v>
      </c>
      <c r="J463" s="35">
        <f ca="1"/>
        <v>0</v>
      </c>
      <c r="K463" s="35">
        <f ca="1"/>
        <v>0</v>
      </c>
      <c r="L463" s="35">
        <f ca="1"/>
        <v>1</v>
      </c>
      <c r="M463" s="35">
        <f ca="1"/>
        <v>0</v>
      </c>
      <c r="N463" s="35">
        <f ca="1"/>
        <v>0</v>
      </c>
      <c r="O463" s="35">
        <f ca="1"/>
        <v>0</v>
      </c>
      <c r="P463" s="35">
        <f ca="1"/>
        <v>139266.94044350935</v>
      </c>
      <c r="Q463" s="35">
        <f ca="1"/>
        <v>139266.94044350935</v>
      </c>
    </row>
    <row r="464" spans="8:17">
      <c r="H464" s="35">
        <v>462</v>
      </c>
      <c r="I464" s="35">
        <f ca="1"/>
        <v>0</v>
      </c>
      <c r="J464" s="35">
        <f ca="1"/>
        <v>1</v>
      </c>
      <c r="K464" s="35">
        <f ca="1"/>
        <v>0</v>
      </c>
      <c r="L464" s="35">
        <f ca="1"/>
        <v>0</v>
      </c>
      <c r="M464" s="35">
        <f ca="1"/>
        <v>0</v>
      </c>
      <c r="N464" s="35">
        <f ca="1"/>
        <v>34443.966203940596</v>
      </c>
      <c r="O464" s="35">
        <f ca="1"/>
        <v>0</v>
      </c>
      <c r="P464" s="35">
        <f ca="1"/>
        <v>0</v>
      </c>
      <c r="Q464" s="35">
        <f ca="1"/>
        <v>34443.966203940596</v>
      </c>
    </row>
    <row r="465" spans="8:17">
      <c r="H465" s="35">
        <v>463</v>
      </c>
      <c r="I465" s="35">
        <f ca="1"/>
        <v>0</v>
      </c>
      <c r="J465" s="35">
        <f ca="1"/>
        <v>0</v>
      </c>
      <c r="K465" s="35">
        <f ca="1"/>
        <v>1</v>
      </c>
      <c r="L465" s="35">
        <f ca="1"/>
        <v>0</v>
      </c>
      <c r="M465" s="35">
        <f ca="1"/>
        <v>0</v>
      </c>
      <c r="N465" s="35">
        <f ca="1"/>
        <v>0</v>
      </c>
      <c r="O465" s="35">
        <f ca="1"/>
        <v>163.43301881516339</v>
      </c>
      <c r="P465" s="35">
        <f ca="1"/>
        <v>0</v>
      </c>
      <c r="Q465" s="35">
        <f ca="1"/>
        <v>163.43301881516339</v>
      </c>
    </row>
    <row r="466" spans="8:17">
      <c r="H466" s="35">
        <v>464</v>
      </c>
      <c r="I466" s="35">
        <f ca="1"/>
        <v>1</v>
      </c>
      <c r="J466" s="35">
        <f ca="1"/>
        <v>0</v>
      </c>
      <c r="K466" s="35">
        <f ca="1"/>
        <v>0</v>
      </c>
      <c r="L466" s="35">
        <f ca="1"/>
        <v>1</v>
      </c>
      <c r="M466" s="35">
        <f ca="1"/>
        <v>19562.074325617774</v>
      </c>
      <c r="N466" s="35">
        <f ca="1"/>
        <v>0</v>
      </c>
      <c r="O466" s="35">
        <f ca="1"/>
        <v>0</v>
      </c>
      <c r="P466" s="35">
        <f ca="1"/>
        <v>168606.29260143454</v>
      </c>
      <c r="Q466" s="35">
        <f ca="1"/>
        <v>188168.36692705232</v>
      </c>
    </row>
    <row r="467" spans="8:17">
      <c r="H467" s="35">
        <v>465</v>
      </c>
      <c r="I467" s="35">
        <f ca="1"/>
        <v>0</v>
      </c>
      <c r="J467" s="35">
        <f ca="1"/>
        <v>0</v>
      </c>
      <c r="K467" s="35">
        <f ca="1"/>
        <v>0</v>
      </c>
      <c r="L467" s="35">
        <f ca="1"/>
        <v>1</v>
      </c>
      <c r="M467" s="35">
        <f ca="1"/>
        <v>0</v>
      </c>
      <c r="N467" s="35">
        <f ca="1"/>
        <v>0</v>
      </c>
      <c r="O467" s="35">
        <f ca="1"/>
        <v>0</v>
      </c>
      <c r="P467" s="35">
        <f ca="1"/>
        <v>123216.55436528703</v>
      </c>
      <c r="Q467" s="35">
        <f ca="1"/>
        <v>123216.55436528703</v>
      </c>
    </row>
    <row r="468" spans="8:17">
      <c r="H468" s="35">
        <v>466</v>
      </c>
      <c r="I468" s="35">
        <f ca="1"/>
        <v>0</v>
      </c>
      <c r="J468" s="35">
        <f ca="1"/>
        <v>0</v>
      </c>
      <c r="K468" s="35">
        <f ca="1"/>
        <v>0</v>
      </c>
      <c r="L468" s="35">
        <f ca="1"/>
        <v>0</v>
      </c>
      <c r="M468" s="35">
        <f ca="1"/>
        <v>0</v>
      </c>
      <c r="N468" s="35">
        <f ca="1"/>
        <v>0</v>
      </c>
      <c r="O468" s="35">
        <f ca="1"/>
        <v>0</v>
      </c>
      <c r="P468" s="35">
        <f ca="1"/>
        <v>0</v>
      </c>
      <c r="Q468" s="35">
        <f ca="1"/>
        <v>0</v>
      </c>
    </row>
    <row r="469" spans="8:17">
      <c r="H469" s="35">
        <v>467</v>
      </c>
      <c r="I469" s="35">
        <f ca="1"/>
        <v>0</v>
      </c>
      <c r="J469" s="35">
        <f ca="1"/>
        <v>0</v>
      </c>
      <c r="K469" s="35">
        <f ca="1"/>
        <v>0</v>
      </c>
      <c r="L469" s="35">
        <f ca="1"/>
        <v>1</v>
      </c>
      <c r="M469" s="35">
        <f ca="1"/>
        <v>0</v>
      </c>
      <c r="N469" s="35">
        <f ca="1"/>
        <v>0</v>
      </c>
      <c r="O469" s="35">
        <f ca="1"/>
        <v>0</v>
      </c>
      <c r="P469" s="35">
        <f ca="1"/>
        <v>119082.0836744359</v>
      </c>
      <c r="Q469" s="35">
        <f ca="1"/>
        <v>119082.0836744359</v>
      </c>
    </row>
    <row r="470" spans="8:17">
      <c r="H470" s="35">
        <v>468</v>
      </c>
      <c r="I470" s="35">
        <f ca="1"/>
        <v>0</v>
      </c>
      <c r="J470" s="35">
        <f ca="1"/>
        <v>0</v>
      </c>
      <c r="K470" s="35">
        <f ca="1"/>
        <v>0</v>
      </c>
      <c r="L470" s="35">
        <f ca="1"/>
        <v>0</v>
      </c>
      <c r="M470" s="35">
        <f ca="1"/>
        <v>0</v>
      </c>
      <c r="N470" s="35">
        <f ca="1"/>
        <v>0</v>
      </c>
      <c r="O470" s="35">
        <f ca="1"/>
        <v>0</v>
      </c>
      <c r="P470" s="35">
        <f ca="1"/>
        <v>0</v>
      </c>
      <c r="Q470" s="35">
        <f ca="1"/>
        <v>0</v>
      </c>
    </row>
    <row r="471" spans="8:17">
      <c r="H471" s="35">
        <v>469</v>
      </c>
      <c r="I471" s="35">
        <f ca="1"/>
        <v>0</v>
      </c>
      <c r="J471" s="35">
        <f ca="1"/>
        <v>0</v>
      </c>
      <c r="K471" s="35">
        <f ca="1"/>
        <v>0</v>
      </c>
      <c r="L471" s="35">
        <f ca="1"/>
        <v>1</v>
      </c>
      <c r="M471" s="35">
        <f ca="1"/>
        <v>0</v>
      </c>
      <c r="N471" s="35">
        <f ca="1"/>
        <v>0</v>
      </c>
      <c r="O471" s="35">
        <f ca="1"/>
        <v>0</v>
      </c>
      <c r="P471" s="35">
        <f ca="1"/>
        <v>67882.232430401782</v>
      </c>
      <c r="Q471" s="35">
        <f ca="1"/>
        <v>67882.232430401782</v>
      </c>
    </row>
    <row r="472" spans="8:17">
      <c r="H472" s="35">
        <v>470</v>
      </c>
      <c r="I472" s="35">
        <f ca="1"/>
        <v>0</v>
      </c>
      <c r="J472" s="35">
        <f ca="1"/>
        <v>0</v>
      </c>
      <c r="K472" s="35">
        <f ca="1"/>
        <v>1</v>
      </c>
      <c r="L472" s="35">
        <f ca="1"/>
        <v>1</v>
      </c>
      <c r="M472" s="35">
        <f ca="1"/>
        <v>0</v>
      </c>
      <c r="N472" s="35">
        <f ca="1"/>
        <v>0</v>
      </c>
      <c r="O472" s="35">
        <f ca="1"/>
        <v>163.55908808172921</v>
      </c>
      <c r="P472" s="35">
        <f ca="1"/>
        <v>164142.58743524092</v>
      </c>
      <c r="Q472" s="35">
        <f ca="1"/>
        <v>164306.14652332265</v>
      </c>
    </row>
    <row r="473" spans="8:17">
      <c r="H473" s="35">
        <v>471</v>
      </c>
      <c r="I473" s="35">
        <f ca="1"/>
        <v>0</v>
      </c>
      <c r="J473" s="35">
        <f ca="1"/>
        <v>0</v>
      </c>
      <c r="K473" s="35">
        <f ca="1"/>
        <v>1</v>
      </c>
      <c r="L473" s="35">
        <f ca="1"/>
        <v>1</v>
      </c>
      <c r="M473" s="35">
        <f ca="1"/>
        <v>0</v>
      </c>
      <c r="N473" s="35">
        <f ca="1"/>
        <v>0</v>
      </c>
      <c r="O473" s="35">
        <f ca="1"/>
        <v>150.17508480812279</v>
      </c>
      <c r="P473" s="35">
        <f ca="1"/>
        <v>120696.82104076186</v>
      </c>
      <c r="Q473" s="35">
        <f ca="1"/>
        <v>120846.99612556999</v>
      </c>
    </row>
    <row r="474" spans="8:17">
      <c r="H474" s="35">
        <v>472</v>
      </c>
      <c r="I474" s="35">
        <f ca="1"/>
        <v>1</v>
      </c>
      <c r="J474" s="35">
        <f ca="1"/>
        <v>0</v>
      </c>
      <c r="K474" s="35">
        <f ca="1"/>
        <v>0</v>
      </c>
      <c r="L474" s="35">
        <f ca="1"/>
        <v>0</v>
      </c>
      <c r="M474" s="35">
        <f ca="1"/>
        <v>7616.1719039910795</v>
      </c>
      <c r="N474" s="35">
        <f ca="1"/>
        <v>0</v>
      </c>
      <c r="O474" s="35">
        <f ca="1"/>
        <v>0</v>
      </c>
      <c r="P474" s="35">
        <f ca="1"/>
        <v>0</v>
      </c>
      <c r="Q474" s="35">
        <f ca="1"/>
        <v>7616.1719039910795</v>
      </c>
    </row>
    <row r="475" spans="8:17">
      <c r="H475" s="35">
        <v>473</v>
      </c>
      <c r="I475" s="35">
        <f ca="1"/>
        <v>1</v>
      </c>
      <c r="J475" s="35">
        <f ca="1"/>
        <v>0</v>
      </c>
      <c r="K475" s="35">
        <f ca="1"/>
        <v>0</v>
      </c>
      <c r="L475" s="35">
        <f ca="1"/>
        <v>1</v>
      </c>
      <c r="M475" s="35">
        <f ca="1"/>
        <v>9230.2012128051283</v>
      </c>
      <c r="N475" s="35">
        <f ca="1"/>
        <v>0</v>
      </c>
      <c r="O475" s="35">
        <f ca="1"/>
        <v>0</v>
      </c>
      <c r="P475" s="35">
        <f ca="1"/>
        <v>180143.52913730129</v>
      </c>
      <c r="Q475" s="35">
        <f ca="1"/>
        <v>189373.73035010643</v>
      </c>
    </row>
    <row r="476" spans="8:17">
      <c r="H476" s="35">
        <v>474</v>
      </c>
      <c r="I476" s="35">
        <f ca="1"/>
        <v>0</v>
      </c>
      <c r="J476" s="35">
        <f ca="1"/>
        <v>0</v>
      </c>
      <c r="K476" s="35">
        <f ca="1"/>
        <v>1</v>
      </c>
      <c r="L476" s="35">
        <f ca="1"/>
        <v>1</v>
      </c>
      <c r="M476" s="35">
        <f ca="1"/>
        <v>0</v>
      </c>
      <c r="N476" s="35">
        <f ca="1"/>
        <v>0</v>
      </c>
      <c r="O476" s="35">
        <f ca="1"/>
        <v>36.882223952107765</v>
      </c>
      <c r="P476" s="35">
        <f ca="1"/>
        <v>135636.95657287654</v>
      </c>
      <c r="Q476" s="35">
        <f ca="1"/>
        <v>135673.83879682864</v>
      </c>
    </row>
    <row r="477" spans="8:17">
      <c r="H477" s="35">
        <v>475</v>
      </c>
      <c r="I477" s="35">
        <f ca="1"/>
        <v>0</v>
      </c>
      <c r="J477" s="35">
        <f ca="1"/>
        <v>0</v>
      </c>
      <c r="K477" s="35">
        <f ca="1"/>
        <v>0</v>
      </c>
      <c r="L477" s="35">
        <f ca="1"/>
        <v>1</v>
      </c>
      <c r="M477" s="35">
        <f ca="1"/>
        <v>0</v>
      </c>
      <c r="N477" s="35">
        <f ca="1"/>
        <v>0</v>
      </c>
      <c r="O477" s="35">
        <f ca="1"/>
        <v>0</v>
      </c>
      <c r="P477" s="35">
        <f ca="1"/>
        <v>88928.896949630318</v>
      </c>
      <c r="Q477" s="35">
        <f ca="1"/>
        <v>88928.896949630318</v>
      </c>
    </row>
    <row r="478" spans="8:17">
      <c r="H478" s="35">
        <v>476</v>
      </c>
      <c r="I478" s="35">
        <f ca="1"/>
        <v>0</v>
      </c>
      <c r="J478" s="35">
        <f ca="1"/>
        <v>0</v>
      </c>
      <c r="K478" s="35">
        <f ca="1"/>
        <v>0</v>
      </c>
      <c r="L478" s="35">
        <f ca="1"/>
        <v>1</v>
      </c>
      <c r="M478" s="35">
        <f ca="1"/>
        <v>0</v>
      </c>
      <c r="N478" s="35">
        <f ca="1"/>
        <v>0</v>
      </c>
      <c r="O478" s="35">
        <f ca="1"/>
        <v>0</v>
      </c>
      <c r="P478" s="35">
        <f ca="1"/>
        <v>162540.99590423139</v>
      </c>
      <c r="Q478" s="35">
        <f ca="1"/>
        <v>162540.99590423139</v>
      </c>
    </row>
    <row r="479" spans="8:17">
      <c r="H479" s="35">
        <v>477</v>
      </c>
      <c r="I479" s="35">
        <f ca="1"/>
        <v>0</v>
      </c>
      <c r="J479" s="35">
        <f ca="1"/>
        <v>1</v>
      </c>
      <c r="K479" s="35">
        <f ca="1"/>
        <v>1</v>
      </c>
      <c r="L479" s="35">
        <f ca="1"/>
        <v>1</v>
      </c>
      <c r="M479" s="35">
        <f ca="1"/>
        <v>0</v>
      </c>
      <c r="N479" s="35">
        <f ca="1"/>
        <v>21603.033895767629</v>
      </c>
      <c r="O479" s="35">
        <f ca="1"/>
        <v>393.03836420985812</v>
      </c>
      <c r="P479" s="35">
        <f ca="1"/>
        <v>124847.81904807546</v>
      </c>
      <c r="Q479" s="35">
        <f ca="1"/>
        <v>146843.89130805293</v>
      </c>
    </row>
    <row r="480" spans="8:17">
      <c r="H480" s="35">
        <v>478</v>
      </c>
      <c r="I480" s="35">
        <f ca="1"/>
        <v>0</v>
      </c>
      <c r="J480" s="35">
        <f ca="1"/>
        <v>0</v>
      </c>
      <c r="K480" s="35">
        <f ca="1"/>
        <v>1</v>
      </c>
      <c r="L480" s="35">
        <f ca="1"/>
        <v>1</v>
      </c>
      <c r="M480" s="35">
        <f ca="1"/>
        <v>0</v>
      </c>
      <c r="N480" s="35">
        <f ca="1"/>
        <v>0</v>
      </c>
      <c r="O480" s="35">
        <f ca="1"/>
        <v>211.60303102002806</v>
      </c>
      <c r="P480" s="35">
        <f ca="1"/>
        <v>123188.89072344673</v>
      </c>
      <c r="Q480" s="35">
        <f ca="1"/>
        <v>123400.49375446676</v>
      </c>
    </row>
    <row r="481" spans="8:17">
      <c r="H481" s="35">
        <v>479</v>
      </c>
      <c r="I481" s="35">
        <f ca="1"/>
        <v>0</v>
      </c>
      <c r="J481" s="35">
        <f ca="1"/>
        <v>1</v>
      </c>
      <c r="K481" s="35">
        <f ca="1"/>
        <v>0</v>
      </c>
      <c r="L481" s="35">
        <f ca="1"/>
        <v>1</v>
      </c>
      <c r="M481" s="35">
        <f ca="1"/>
        <v>0</v>
      </c>
      <c r="N481" s="35">
        <f ca="1"/>
        <v>40558.604933816023</v>
      </c>
      <c r="O481" s="35">
        <f ca="1"/>
        <v>0</v>
      </c>
      <c r="P481" s="35">
        <f ca="1"/>
        <v>54161.740326334904</v>
      </c>
      <c r="Q481" s="35">
        <f ca="1"/>
        <v>94720.345260150934</v>
      </c>
    </row>
    <row r="482" spans="8:17">
      <c r="H482" s="35">
        <v>480</v>
      </c>
      <c r="I482" s="35">
        <f ca="1"/>
        <v>1</v>
      </c>
      <c r="J482" s="35">
        <f ca="1"/>
        <v>0</v>
      </c>
      <c r="K482" s="35">
        <f ca="1"/>
        <v>0</v>
      </c>
      <c r="L482" s="35">
        <f ca="1"/>
        <v>1</v>
      </c>
      <c r="M482" s="35">
        <f ca="1"/>
        <v>4516.2845076792883</v>
      </c>
      <c r="N482" s="35">
        <f ca="1"/>
        <v>0</v>
      </c>
      <c r="O482" s="35">
        <f ca="1"/>
        <v>0</v>
      </c>
      <c r="P482" s="35">
        <f ca="1"/>
        <v>147481.00390452289</v>
      </c>
      <c r="Q482" s="35">
        <f ca="1"/>
        <v>151997.28841220218</v>
      </c>
    </row>
    <row r="483" spans="8:17">
      <c r="H483" s="35">
        <v>481</v>
      </c>
      <c r="I483" s="35">
        <f ca="1"/>
        <v>0</v>
      </c>
      <c r="J483" s="35">
        <f ca="1"/>
        <v>1</v>
      </c>
      <c r="K483" s="35">
        <f ca="1"/>
        <v>0</v>
      </c>
      <c r="L483" s="35">
        <f ca="1"/>
        <v>1</v>
      </c>
      <c r="M483" s="35">
        <f ca="1"/>
        <v>0</v>
      </c>
      <c r="N483" s="35">
        <f ca="1"/>
        <v>40329.797143167649</v>
      </c>
      <c r="O483" s="35">
        <f ca="1"/>
        <v>0</v>
      </c>
      <c r="P483" s="35">
        <f ca="1"/>
        <v>168372.20942373117</v>
      </c>
      <c r="Q483" s="35">
        <f ca="1"/>
        <v>208702.00656689881</v>
      </c>
    </row>
    <row r="484" spans="8:17">
      <c r="H484" s="35">
        <v>482</v>
      </c>
      <c r="I484" s="35">
        <f ca="1"/>
        <v>1</v>
      </c>
      <c r="J484" s="35">
        <f ca="1"/>
        <v>1</v>
      </c>
      <c r="K484" s="35">
        <f ca="1"/>
        <v>0</v>
      </c>
      <c r="L484" s="35">
        <f ca="1"/>
        <v>1</v>
      </c>
      <c r="M484" s="35">
        <f ca="1"/>
        <v>16369.096418124465</v>
      </c>
      <c r="N484" s="35">
        <f ca="1"/>
        <v>20547.73812274322</v>
      </c>
      <c r="O484" s="35">
        <f ca="1"/>
        <v>0</v>
      </c>
      <c r="P484" s="35">
        <f ca="1"/>
        <v>91739.082641773886</v>
      </c>
      <c r="Q484" s="35">
        <f ca="1"/>
        <v>128655.91718264157</v>
      </c>
    </row>
    <row r="485" spans="8:17">
      <c r="H485" s="35">
        <v>483</v>
      </c>
      <c r="I485" s="35">
        <f ca="1"/>
        <v>0</v>
      </c>
      <c r="J485" s="35">
        <f ca="1"/>
        <v>0</v>
      </c>
      <c r="K485" s="35">
        <f ca="1"/>
        <v>0</v>
      </c>
      <c r="L485" s="35">
        <f ca="1"/>
        <v>1</v>
      </c>
      <c r="M485" s="35">
        <f ca="1"/>
        <v>0</v>
      </c>
      <c r="N485" s="35">
        <f ca="1"/>
        <v>0</v>
      </c>
      <c r="O485" s="35">
        <f ca="1"/>
        <v>0</v>
      </c>
      <c r="P485" s="35">
        <f ca="1"/>
        <v>200069.61576802336</v>
      </c>
      <c r="Q485" s="35">
        <f ca="1"/>
        <v>200069.61576802336</v>
      </c>
    </row>
    <row r="486" spans="8:17">
      <c r="H486" s="35">
        <v>484</v>
      </c>
      <c r="I486" s="35">
        <f ca="1"/>
        <v>1</v>
      </c>
      <c r="J486" s="35">
        <f ca="1"/>
        <v>0</v>
      </c>
      <c r="K486" s="35">
        <f ca="1"/>
        <v>1</v>
      </c>
      <c r="L486" s="35">
        <f ca="1"/>
        <v>1</v>
      </c>
      <c r="M486" s="35">
        <f ca="1"/>
        <v>14714.627947272307</v>
      </c>
      <c r="N486" s="35">
        <f ca="1"/>
        <v>0</v>
      </c>
      <c r="O486" s="35">
        <f ca="1"/>
        <v>372.21700862027245</v>
      </c>
      <c r="P486" s="35">
        <f ca="1"/>
        <v>128250.09111651947</v>
      </c>
      <c r="Q486" s="35">
        <f ca="1"/>
        <v>143336.93607241206</v>
      </c>
    </row>
    <row r="487" spans="8:17">
      <c r="H487" s="35">
        <v>485</v>
      </c>
      <c r="I487" s="35">
        <f ca="1"/>
        <v>0</v>
      </c>
      <c r="J487" s="35">
        <f ca="1"/>
        <v>0</v>
      </c>
      <c r="K487" s="35">
        <f ca="1"/>
        <v>1</v>
      </c>
      <c r="L487" s="35">
        <f ca="1"/>
        <v>1</v>
      </c>
      <c r="M487" s="35">
        <f ca="1"/>
        <v>0</v>
      </c>
      <c r="N487" s="35">
        <f ca="1"/>
        <v>0</v>
      </c>
      <c r="O487" s="35">
        <f ca="1"/>
        <v>753.08085542007723</v>
      </c>
      <c r="P487" s="35">
        <f ca="1"/>
        <v>103525.33555616542</v>
      </c>
      <c r="Q487" s="35">
        <f ca="1"/>
        <v>104278.41641158549</v>
      </c>
    </row>
    <row r="488" spans="8:17">
      <c r="H488" s="35">
        <v>486</v>
      </c>
      <c r="I488" s="35">
        <f ca="1"/>
        <v>0</v>
      </c>
      <c r="J488" s="35">
        <f ca="1"/>
        <v>0</v>
      </c>
      <c r="K488" s="35">
        <f ca="1"/>
        <v>0</v>
      </c>
      <c r="L488" s="35">
        <f ca="1"/>
        <v>1</v>
      </c>
      <c r="M488" s="35">
        <f ca="1"/>
        <v>0</v>
      </c>
      <c r="N488" s="35">
        <f ca="1"/>
        <v>0</v>
      </c>
      <c r="O488" s="35">
        <f ca="1"/>
        <v>0</v>
      </c>
      <c r="P488" s="35">
        <f ca="1"/>
        <v>98707.667897624095</v>
      </c>
      <c r="Q488" s="35">
        <f ca="1"/>
        <v>98707.667897624095</v>
      </c>
    </row>
    <row r="489" spans="8:17">
      <c r="H489" s="35">
        <v>487</v>
      </c>
      <c r="I489" s="35">
        <f ca="1"/>
        <v>0</v>
      </c>
      <c r="J489" s="35">
        <f ca="1"/>
        <v>0</v>
      </c>
      <c r="K489" s="35">
        <f ca="1"/>
        <v>0</v>
      </c>
      <c r="L489" s="35">
        <f ca="1"/>
        <v>1</v>
      </c>
      <c r="M489" s="35">
        <f ca="1"/>
        <v>0</v>
      </c>
      <c r="N489" s="35">
        <f ca="1"/>
        <v>0</v>
      </c>
      <c r="O489" s="35">
        <f ca="1"/>
        <v>0</v>
      </c>
      <c r="P489" s="35">
        <f ca="1"/>
        <v>174533.16722163916</v>
      </c>
      <c r="Q489" s="35">
        <f ca="1"/>
        <v>174533.16722163916</v>
      </c>
    </row>
    <row r="490" spans="8:17">
      <c r="H490" s="35">
        <v>488</v>
      </c>
      <c r="I490" s="35">
        <f ca="1"/>
        <v>0</v>
      </c>
      <c r="J490" s="35">
        <f ca="1"/>
        <v>1</v>
      </c>
      <c r="K490" s="35">
        <f ca="1"/>
        <v>1</v>
      </c>
      <c r="L490" s="35">
        <f ca="1"/>
        <v>1</v>
      </c>
      <c r="M490" s="35">
        <f ca="1"/>
        <v>0</v>
      </c>
      <c r="N490" s="35">
        <f ca="1"/>
        <v>16214.673805254644</v>
      </c>
      <c r="O490" s="35">
        <f ca="1"/>
        <v>346.44807401451732</v>
      </c>
      <c r="P490" s="35">
        <f ca="1"/>
        <v>188518.23938389795</v>
      </c>
      <c r="Q490" s="35">
        <f ca="1"/>
        <v>205079.36126316711</v>
      </c>
    </row>
    <row r="491" spans="8:17">
      <c r="H491" s="35">
        <v>489</v>
      </c>
      <c r="I491" s="35">
        <f ca="1"/>
        <v>0</v>
      </c>
      <c r="J491" s="35">
        <f ca="1"/>
        <v>0</v>
      </c>
      <c r="K491" s="35">
        <f ca="1"/>
        <v>0</v>
      </c>
      <c r="L491" s="35">
        <f ca="1"/>
        <v>1</v>
      </c>
      <c r="M491" s="35">
        <f ca="1"/>
        <v>0</v>
      </c>
      <c r="N491" s="35">
        <f ca="1"/>
        <v>0</v>
      </c>
      <c r="O491" s="35">
        <f ca="1"/>
        <v>0</v>
      </c>
      <c r="P491" s="35">
        <f ca="1"/>
        <v>119040.90354536203</v>
      </c>
      <c r="Q491" s="35">
        <f ca="1"/>
        <v>119040.90354536203</v>
      </c>
    </row>
    <row r="492" spans="8:17">
      <c r="H492" s="35">
        <v>490</v>
      </c>
      <c r="I492" s="35">
        <f ca="1"/>
        <v>0</v>
      </c>
      <c r="J492" s="35">
        <f ca="1"/>
        <v>1</v>
      </c>
      <c r="K492" s="35">
        <f ca="1"/>
        <v>1</v>
      </c>
      <c r="L492" s="35">
        <f ca="1"/>
        <v>1</v>
      </c>
      <c r="M492" s="35">
        <f ca="1"/>
        <v>0</v>
      </c>
      <c r="N492" s="35">
        <f ca="1"/>
        <v>56361.901509356729</v>
      </c>
      <c r="O492" s="35">
        <f ca="1"/>
        <v>316.26971363386599</v>
      </c>
      <c r="P492" s="35">
        <f ca="1"/>
        <v>91400.602849947405</v>
      </c>
      <c r="Q492" s="35">
        <f ca="1"/>
        <v>148078.77407293802</v>
      </c>
    </row>
    <row r="493" spans="8:17">
      <c r="H493" s="35">
        <v>491</v>
      </c>
      <c r="I493" s="35">
        <f ca="1"/>
        <v>0</v>
      </c>
      <c r="J493" s="35">
        <f ca="1"/>
        <v>0</v>
      </c>
      <c r="K493" s="35">
        <f ca="1"/>
        <v>0</v>
      </c>
      <c r="L493" s="35">
        <f ca="1"/>
        <v>1</v>
      </c>
      <c r="M493" s="35">
        <f ca="1"/>
        <v>0</v>
      </c>
      <c r="N493" s="35">
        <f ca="1"/>
        <v>0</v>
      </c>
      <c r="O493" s="35">
        <f ca="1"/>
        <v>0</v>
      </c>
      <c r="P493" s="35">
        <f ca="1"/>
        <v>159592.69449560664</v>
      </c>
      <c r="Q493" s="35">
        <f ca="1"/>
        <v>159592.69449560664</v>
      </c>
    </row>
    <row r="494" spans="8:17">
      <c r="H494" s="35">
        <v>492</v>
      </c>
      <c r="I494" s="35">
        <f ca="1"/>
        <v>1</v>
      </c>
      <c r="J494" s="35">
        <f ca="1"/>
        <v>0</v>
      </c>
      <c r="K494" s="35">
        <f ca="1"/>
        <v>1</v>
      </c>
      <c r="L494" s="35">
        <f ca="1"/>
        <v>1</v>
      </c>
      <c r="M494" s="35">
        <f ca="1"/>
        <v>9383.7410058595378</v>
      </c>
      <c r="N494" s="35">
        <f ca="1"/>
        <v>0</v>
      </c>
      <c r="O494" s="35">
        <f ca="1"/>
        <v>464.54279405701976</v>
      </c>
      <c r="P494" s="35">
        <f ca="1"/>
        <v>147792.36020713547</v>
      </c>
      <c r="Q494" s="35">
        <f ca="1"/>
        <v>157640.64400705203</v>
      </c>
    </row>
    <row r="495" spans="8:17">
      <c r="H495" s="35">
        <v>493</v>
      </c>
      <c r="I495" s="35">
        <f ca="1"/>
        <v>1</v>
      </c>
      <c r="J495" s="35">
        <f ca="1"/>
        <v>1</v>
      </c>
      <c r="K495" s="35">
        <f ca="1"/>
        <v>0</v>
      </c>
      <c r="L495" s="35">
        <f ca="1"/>
        <v>0</v>
      </c>
      <c r="M495" s="35">
        <f ca="1"/>
        <v>11689.450262098277</v>
      </c>
      <c r="N495" s="35">
        <f ca="1"/>
        <v>23443.441545015317</v>
      </c>
      <c r="O495" s="35">
        <f ca="1"/>
        <v>0</v>
      </c>
      <c r="P495" s="35">
        <f ca="1"/>
        <v>0</v>
      </c>
      <c r="Q495" s="35">
        <f ca="1"/>
        <v>35132.891807113592</v>
      </c>
    </row>
    <row r="496" spans="8:17">
      <c r="H496" s="35">
        <v>494</v>
      </c>
      <c r="I496" s="35">
        <f ca="1"/>
        <v>0</v>
      </c>
      <c r="J496" s="35">
        <f ca="1"/>
        <v>0</v>
      </c>
      <c r="K496" s="35">
        <f ca="1"/>
        <v>0</v>
      </c>
      <c r="L496" s="35">
        <f ca="1"/>
        <v>1</v>
      </c>
      <c r="M496" s="35">
        <f ca="1"/>
        <v>0</v>
      </c>
      <c r="N496" s="35">
        <f ca="1"/>
        <v>0</v>
      </c>
      <c r="O496" s="35">
        <f ca="1"/>
        <v>0</v>
      </c>
      <c r="P496" s="35">
        <f ca="1"/>
        <v>176076.99894187922</v>
      </c>
      <c r="Q496" s="35">
        <f ca="1"/>
        <v>176076.99894187922</v>
      </c>
    </row>
    <row r="497" spans="8:17">
      <c r="H497" s="35">
        <v>495</v>
      </c>
      <c r="I497" s="35">
        <f ca="1"/>
        <v>0</v>
      </c>
      <c r="J497" s="35">
        <f ca="1"/>
        <v>1</v>
      </c>
      <c r="K497" s="35">
        <f ca="1"/>
        <v>0</v>
      </c>
      <c r="L497" s="35">
        <f ca="1"/>
        <v>1</v>
      </c>
      <c r="M497" s="35">
        <f ca="1"/>
        <v>0</v>
      </c>
      <c r="N497" s="35">
        <f ca="1"/>
        <v>15085.231598347569</v>
      </c>
      <c r="O497" s="35">
        <f ca="1"/>
        <v>0</v>
      </c>
      <c r="P497" s="35">
        <f ca="1"/>
        <v>175410.95745875061</v>
      </c>
      <c r="Q497" s="35">
        <f ca="1"/>
        <v>190496.18905709818</v>
      </c>
    </row>
    <row r="498" spans="8:17">
      <c r="H498" s="35">
        <v>496</v>
      </c>
      <c r="I498" s="35">
        <f ca="1"/>
        <v>0</v>
      </c>
      <c r="J498" s="35">
        <f ca="1"/>
        <v>1</v>
      </c>
      <c r="K498" s="35">
        <f ca="1"/>
        <v>1</v>
      </c>
      <c r="L498" s="35">
        <f ca="1"/>
        <v>1</v>
      </c>
      <c r="M498" s="35">
        <f ca="1"/>
        <v>0</v>
      </c>
      <c r="N498" s="35">
        <f ca="1"/>
        <v>55940.466395888681</v>
      </c>
      <c r="O498" s="35">
        <f ca="1"/>
        <v>95.75450086958196</v>
      </c>
      <c r="P498" s="35">
        <f ca="1"/>
        <v>122908.90996577947</v>
      </c>
      <c r="Q498" s="35">
        <f ca="1"/>
        <v>178945.13086253774</v>
      </c>
    </row>
    <row r="499" spans="8:17">
      <c r="H499" s="35">
        <v>497</v>
      </c>
      <c r="I499" s="35">
        <f ca="1"/>
        <v>0</v>
      </c>
      <c r="J499" s="35">
        <f ca="1"/>
        <v>0</v>
      </c>
      <c r="K499" s="35">
        <f ca="1"/>
        <v>0</v>
      </c>
      <c r="L499" s="35">
        <f ca="1"/>
        <v>1</v>
      </c>
      <c r="M499" s="35">
        <f ca="1"/>
        <v>0</v>
      </c>
      <c r="N499" s="35">
        <f ca="1"/>
        <v>0</v>
      </c>
      <c r="O499" s="35">
        <f ca="1"/>
        <v>0</v>
      </c>
      <c r="P499" s="35">
        <f ca="1"/>
        <v>104071.48855116847</v>
      </c>
      <c r="Q499" s="35">
        <f ca="1"/>
        <v>104071.48855116847</v>
      </c>
    </row>
    <row r="500" spans="8:17">
      <c r="H500" s="35">
        <v>498</v>
      </c>
      <c r="I500" s="35">
        <f ca="1"/>
        <v>0</v>
      </c>
      <c r="J500" s="35">
        <f ca="1"/>
        <v>0</v>
      </c>
      <c r="K500" s="35">
        <f ca="1"/>
        <v>0</v>
      </c>
      <c r="L500" s="35">
        <f ca="1"/>
        <v>0</v>
      </c>
      <c r="M500" s="35">
        <f ca="1"/>
        <v>0</v>
      </c>
      <c r="N500" s="35">
        <f ca="1"/>
        <v>0</v>
      </c>
      <c r="O500" s="35">
        <f ca="1"/>
        <v>0</v>
      </c>
      <c r="P500" s="35">
        <f ca="1"/>
        <v>0</v>
      </c>
      <c r="Q500" s="35">
        <f ca="1"/>
        <v>0</v>
      </c>
    </row>
    <row r="501" spans="8:17">
      <c r="H501" s="35">
        <v>499</v>
      </c>
      <c r="I501" s="35">
        <f ca="1"/>
        <v>0</v>
      </c>
      <c r="J501" s="35">
        <f ca="1"/>
        <v>0</v>
      </c>
      <c r="K501" s="35">
        <f ca="1"/>
        <v>1</v>
      </c>
      <c r="L501" s="35">
        <f ca="1"/>
        <v>1</v>
      </c>
      <c r="M501" s="35">
        <f ca="1"/>
        <v>0</v>
      </c>
      <c r="N501" s="35">
        <f ca="1"/>
        <v>0</v>
      </c>
      <c r="O501" s="35">
        <f ca="1"/>
        <v>54.843867810084973</v>
      </c>
      <c r="P501" s="35">
        <f ca="1"/>
        <v>80854.734667663375</v>
      </c>
      <c r="Q501" s="35">
        <f ca="1"/>
        <v>80909.578535473454</v>
      </c>
    </row>
    <row r="502" spans="8:17">
      <c r="H502" s="35">
        <v>500</v>
      </c>
      <c r="I502" s="35">
        <f ca="1"/>
        <v>0</v>
      </c>
      <c r="J502" s="35">
        <f ca="1"/>
        <v>0</v>
      </c>
      <c r="K502" s="35">
        <f ca="1"/>
        <v>0</v>
      </c>
      <c r="L502" s="35">
        <f ca="1"/>
        <v>1</v>
      </c>
      <c r="M502" s="35">
        <f ca="1"/>
        <v>0</v>
      </c>
      <c r="N502" s="35">
        <f ca="1"/>
        <v>0</v>
      </c>
      <c r="O502" s="35">
        <f ca="1"/>
        <v>0</v>
      </c>
      <c r="P502" s="35">
        <f ca="1"/>
        <v>79230.855242863297</v>
      </c>
      <c r="Q502" s="35">
        <f ca="1"/>
        <v>79230.855242863297</v>
      </c>
    </row>
    <row r="503" spans="8:17">
      <c r="H503" s="35">
        <v>501</v>
      </c>
      <c r="I503" s="35">
        <f ca="1"/>
        <v>0</v>
      </c>
      <c r="J503" s="35">
        <f ca="1"/>
        <v>1</v>
      </c>
      <c r="K503" s="35">
        <f ca="1"/>
        <v>0</v>
      </c>
      <c r="L503" s="35">
        <f ca="1"/>
        <v>1</v>
      </c>
      <c r="M503" s="35">
        <f ca="1"/>
        <v>0</v>
      </c>
      <c r="N503" s="35">
        <f ca="1"/>
        <v>43605.74942202455</v>
      </c>
      <c r="O503" s="35">
        <f ca="1"/>
        <v>0</v>
      </c>
      <c r="P503" s="35">
        <f ca="1"/>
        <v>66045.326473429363</v>
      </c>
      <c r="Q503" s="35">
        <f ca="1"/>
        <v>109651.07589545392</v>
      </c>
    </row>
    <row r="504" spans="8:17">
      <c r="H504" s="35">
        <v>502</v>
      </c>
      <c r="I504" s="35">
        <f ca="1"/>
        <v>0</v>
      </c>
      <c r="J504" s="35">
        <f ca="1"/>
        <v>0</v>
      </c>
      <c r="K504" s="35">
        <f ca="1"/>
        <v>0</v>
      </c>
      <c r="L504" s="35">
        <f ca="1"/>
        <v>1</v>
      </c>
      <c r="M504" s="35">
        <f ca="1"/>
        <v>0</v>
      </c>
      <c r="N504" s="35">
        <f ca="1"/>
        <v>0</v>
      </c>
      <c r="O504" s="35">
        <f ca="1"/>
        <v>0</v>
      </c>
      <c r="P504" s="35">
        <f ca="1"/>
        <v>109001.32243465011</v>
      </c>
      <c r="Q504" s="35">
        <f ca="1"/>
        <v>109001.32243465011</v>
      </c>
    </row>
    <row r="505" spans="8:17">
      <c r="H505" s="35">
        <v>503</v>
      </c>
      <c r="I505" s="35">
        <f ca="1"/>
        <v>0</v>
      </c>
      <c r="J505" s="35">
        <f ca="1"/>
        <v>0</v>
      </c>
      <c r="K505" s="35">
        <f ca="1"/>
        <v>0</v>
      </c>
      <c r="L505" s="35">
        <f ca="1"/>
        <v>1</v>
      </c>
      <c r="M505" s="35">
        <f ca="1"/>
        <v>0</v>
      </c>
      <c r="N505" s="35">
        <f ca="1"/>
        <v>0</v>
      </c>
      <c r="O505" s="35">
        <f ca="1"/>
        <v>0</v>
      </c>
      <c r="P505" s="35">
        <f ca="1"/>
        <v>136746.94750889527</v>
      </c>
      <c r="Q505" s="35">
        <f ca="1"/>
        <v>136746.94750889527</v>
      </c>
    </row>
    <row r="506" spans="8:17">
      <c r="H506" s="35">
        <v>504</v>
      </c>
      <c r="I506" s="35">
        <f ca="1"/>
        <v>0</v>
      </c>
      <c r="J506" s="35">
        <f ca="1"/>
        <v>0</v>
      </c>
      <c r="K506" s="35">
        <f ca="1"/>
        <v>0</v>
      </c>
      <c r="L506" s="35">
        <f ca="1"/>
        <v>0</v>
      </c>
      <c r="M506" s="35">
        <f ca="1"/>
        <v>0</v>
      </c>
      <c r="N506" s="35">
        <f ca="1"/>
        <v>0</v>
      </c>
      <c r="O506" s="35">
        <f ca="1"/>
        <v>0</v>
      </c>
      <c r="P506" s="35">
        <f ca="1"/>
        <v>0</v>
      </c>
      <c r="Q506" s="35">
        <f ca="1"/>
        <v>0</v>
      </c>
    </row>
    <row r="507" spans="8:17">
      <c r="H507" s="35">
        <v>505</v>
      </c>
      <c r="I507" s="35">
        <f ca="1"/>
        <v>0</v>
      </c>
      <c r="J507" s="35">
        <f ca="1"/>
        <v>1</v>
      </c>
      <c r="K507" s="35">
        <f ca="1"/>
        <v>0</v>
      </c>
      <c r="L507" s="35">
        <f ca="1"/>
        <v>1</v>
      </c>
      <c r="M507" s="35">
        <f ca="1"/>
        <v>0</v>
      </c>
      <c r="N507" s="35">
        <f ca="1"/>
        <v>58937.464051579489</v>
      </c>
      <c r="O507" s="35">
        <f ca="1"/>
        <v>0</v>
      </c>
      <c r="P507" s="35">
        <f ca="1"/>
        <v>75194.234488560382</v>
      </c>
      <c r="Q507" s="35">
        <f ca="1"/>
        <v>134131.69854013989</v>
      </c>
    </row>
    <row r="508" spans="8:17">
      <c r="H508" s="35">
        <v>506</v>
      </c>
      <c r="I508" s="35">
        <f ca="1"/>
        <v>0</v>
      </c>
      <c r="J508" s="35">
        <f ca="1"/>
        <v>0</v>
      </c>
      <c r="K508" s="35">
        <f ca="1"/>
        <v>0</v>
      </c>
      <c r="L508" s="35">
        <f ca="1"/>
        <v>1</v>
      </c>
      <c r="M508" s="35">
        <f ca="1"/>
        <v>0</v>
      </c>
      <c r="N508" s="35">
        <f ca="1"/>
        <v>0</v>
      </c>
      <c r="O508" s="35">
        <f ca="1"/>
        <v>0</v>
      </c>
      <c r="P508" s="35">
        <f ca="1"/>
        <v>189449.59121700891</v>
      </c>
      <c r="Q508" s="35">
        <f ca="1"/>
        <v>189449.59121700891</v>
      </c>
    </row>
    <row r="509" spans="8:17">
      <c r="H509" s="35">
        <v>507</v>
      </c>
      <c r="I509" s="35">
        <f ca="1"/>
        <v>0</v>
      </c>
      <c r="J509" s="35">
        <f ca="1"/>
        <v>0</v>
      </c>
      <c r="K509" s="35">
        <f ca="1"/>
        <v>1</v>
      </c>
      <c r="L509" s="35">
        <f ca="1"/>
        <v>0</v>
      </c>
      <c r="M509" s="35">
        <f ca="1"/>
        <v>0</v>
      </c>
      <c r="N509" s="35">
        <f ca="1"/>
        <v>0</v>
      </c>
      <c r="O509" s="35">
        <f ca="1"/>
        <v>143.17348408009596</v>
      </c>
      <c r="P509" s="35">
        <f ca="1"/>
        <v>0</v>
      </c>
      <c r="Q509" s="35">
        <f ca="1"/>
        <v>143.17348408009596</v>
      </c>
    </row>
    <row r="510" spans="8:17">
      <c r="H510" s="35">
        <v>508</v>
      </c>
      <c r="I510" s="35">
        <f ca="1"/>
        <v>0</v>
      </c>
      <c r="J510" s="35">
        <f ca="1"/>
        <v>0</v>
      </c>
      <c r="K510" s="35">
        <f ca="1"/>
        <v>0</v>
      </c>
      <c r="L510" s="35">
        <f ca="1"/>
        <v>1</v>
      </c>
      <c r="M510" s="35">
        <f ca="1"/>
        <v>0</v>
      </c>
      <c r="N510" s="35">
        <f ca="1"/>
        <v>0</v>
      </c>
      <c r="O510" s="35">
        <f ca="1"/>
        <v>0</v>
      </c>
      <c r="P510" s="35">
        <f ca="1"/>
        <v>168413.47614755295</v>
      </c>
      <c r="Q510" s="35">
        <f ca="1"/>
        <v>168413.47614755295</v>
      </c>
    </row>
    <row r="511" spans="8:17">
      <c r="H511" s="35">
        <v>509</v>
      </c>
      <c r="I511" s="35">
        <f ca="1"/>
        <v>0</v>
      </c>
      <c r="J511" s="35">
        <f ca="1"/>
        <v>0</v>
      </c>
      <c r="K511" s="35">
        <f ca="1"/>
        <v>0</v>
      </c>
      <c r="L511" s="35">
        <f ca="1"/>
        <v>1</v>
      </c>
      <c r="M511" s="35">
        <f ca="1"/>
        <v>0</v>
      </c>
      <c r="N511" s="35">
        <f ca="1"/>
        <v>0</v>
      </c>
      <c r="O511" s="35">
        <f ca="1"/>
        <v>0</v>
      </c>
      <c r="P511" s="35">
        <f ca="1"/>
        <v>182701.93118579252</v>
      </c>
      <c r="Q511" s="35">
        <f ca="1"/>
        <v>182701.93118579252</v>
      </c>
    </row>
    <row r="512" spans="8:17">
      <c r="H512" s="35">
        <v>510</v>
      </c>
      <c r="I512" s="35">
        <f ca="1"/>
        <v>1</v>
      </c>
      <c r="J512" s="35">
        <f ca="1"/>
        <v>1</v>
      </c>
      <c r="K512" s="35">
        <f ca="1"/>
        <v>0</v>
      </c>
      <c r="L512" s="35">
        <f ca="1"/>
        <v>1</v>
      </c>
      <c r="M512" s="35">
        <f ca="1"/>
        <v>8447.6873170051749</v>
      </c>
      <c r="N512" s="35">
        <f ca="1"/>
        <v>27302.596777978408</v>
      </c>
      <c r="O512" s="35">
        <f ca="1"/>
        <v>0</v>
      </c>
      <c r="P512" s="35">
        <f ca="1"/>
        <v>184006.17890834931</v>
      </c>
      <c r="Q512" s="35">
        <f ca="1"/>
        <v>219756.4630033329</v>
      </c>
    </row>
    <row r="513" spans="8:17">
      <c r="H513" s="35">
        <v>511</v>
      </c>
      <c r="I513" s="35">
        <f ca="1"/>
        <v>0</v>
      </c>
      <c r="J513" s="35">
        <f ca="1"/>
        <v>0</v>
      </c>
      <c r="K513" s="35">
        <f ca="1"/>
        <v>0</v>
      </c>
      <c r="L513" s="35">
        <f ca="1"/>
        <v>1</v>
      </c>
      <c r="M513" s="35">
        <f ca="1"/>
        <v>0</v>
      </c>
      <c r="N513" s="35">
        <f ca="1"/>
        <v>0</v>
      </c>
      <c r="O513" s="35">
        <f ca="1"/>
        <v>0</v>
      </c>
      <c r="P513" s="35">
        <f ca="1"/>
        <v>112053.71606583594</v>
      </c>
      <c r="Q513" s="35">
        <f ca="1"/>
        <v>112053.71606583594</v>
      </c>
    </row>
    <row r="514" spans="8:17">
      <c r="H514" s="35">
        <v>512</v>
      </c>
      <c r="I514" s="35">
        <f ca="1"/>
        <v>0</v>
      </c>
      <c r="J514" s="35">
        <f ca="1"/>
        <v>0</v>
      </c>
      <c r="K514" s="35">
        <f ca="1"/>
        <v>1</v>
      </c>
      <c r="L514" s="35">
        <f ca="1"/>
        <v>1</v>
      </c>
      <c r="M514" s="35">
        <f ca="1"/>
        <v>0</v>
      </c>
      <c r="N514" s="35">
        <f ca="1"/>
        <v>0</v>
      </c>
      <c r="O514" s="35">
        <f ca="1"/>
        <v>257.27691562119918</v>
      </c>
      <c r="P514" s="35">
        <f ca="1"/>
        <v>145681.85397215461</v>
      </c>
      <c r="Q514" s="35">
        <f ca="1"/>
        <v>145939.1308877758</v>
      </c>
    </row>
    <row r="515" spans="8:17">
      <c r="H515" s="35">
        <v>513</v>
      </c>
      <c r="I515" s="35">
        <f ca="1"/>
        <v>0</v>
      </c>
      <c r="J515" s="35">
        <f ca="1"/>
        <v>0</v>
      </c>
      <c r="K515" s="35">
        <f ca="1"/>
        <v>1</v>
      </c>
      <c r="L515" s="35">
        <f ca="1"/>
        <v>1</v>
      </c>
      <c r="M515" s="35">
        <f ca="1"/>
        <v>0</v>
      </c>
      <c r="N515" s="35">
        <f ca="1"/>
        <v>0</v>
      </c>
      <c r="O515" s="35">
        <f ca="1"/>
        <v>74.136330965991775</v>
      </c>
      <c r="P515" s="35">
        <f ca="1"/>
        <v>107805.83505613728</v>
      </c>
      <c r="Q515" s="35">
        <f ca="1"/>
        <v>107879.97138710327</v>
      </c>
    </row>
    <row r="516" spans="8:17">
      <c r="H516" s="35">
        <v>514</v>
      </c>
      <c r="I516" s="35">
        <f ca="1"/>
        <v>0</v>
      </c>
      <c r="J516" s="35">
        <f ca="1"/>
        <v>0</v>
      </c>
      <c r="K516" s="35">
        <f ca="1"/>
        <v>0</v>
      </c>
      <c r="L516" s="35">
        <f ca="1"/>
        <v>1</v>
      </c>
      <c r="M516" s="35">
        <f ca="1"/>
        <v>0</v>
      </c>
      <c r="N516" s="35">
        <f ca="1"/>
        <v>0</v>
      </c>
      <c r="O516" s="35">
        <f ca="1"/>
        <v>0</v>
      </c>
      <c r="P516" s="35">
        <f ca="1"/>
        <v>180990.46210535616</v>
      </c>
      <c r="Q516" s="35">
        <f ca="1"/>
        <v>180990.46210535616</v>
      </c>
    </row>
    <row r="517" spans="8:17">
      <c r="H517" s="35">
        <v>515</v>
      </c>
      <c r="I517" s="35">
        <f ca="1"/>
        <v>0</v>
      </c>
      <c r="J517" s="35">
        <f ca="1"/>
        <v>0</v>
      </c>
      <c r="K517" s="35">
        <f ca="1"/>
        <v>0</v>
      </c>
      <c r="L517" s="35">
        <f ca="1"/>
        <v>1</v>
      </c>
      <c r="M517" s="35">
        <f ca="1"/>
        <v>0</v>
      </c>
      <c r="N517" s="35">
        <f ca="1"/>
        <v>0</v>
      </c>
      <c r="O517" s="35">
        <f ca="1"/>
        <v>0</v>
      </c>
      <c r="P517" s="35">
        <f ca="1"/>
        <v>156983.14841318663</v>
      </c>
      <c r="Q517" s="35">
        <f ca="1"/>
        <v>156983.14841318663</v>
      </c>
    </row>
    <row r="518" spans="8:17">
      <c r="H518" s="35">
        <v>516</v>
      </c>
      <c r="I518" s="35">
        <f ca="1"/>
        <v>0</v>
      </c>
      <c r="J518" s="35">
        <f ca="1"/>
        <v>0</v>
      </c>
      <c r="K518" s="35">
        <f ca="1"/>
        <v>0</v>
      </c>
      <c r="L518" s="35">
        <f ca="1"/>
        <v>1</v>
      </c>
      <c r="M518" s="35">
        <f ca="1"/>
        <v>0</v>
      </c>
      <c r="N518" s="35">
        <f ca="1"/>
        <v>0</v>
      </c>
      <c r="O518" s="35">
        <f ca="1"/>
        <v>0</v>
      </c>
      <c r="P518" s="35">
        <f ca="1"/>
        <v>105090.86535771487</v>
      </c>
      <c r="Q518" s="35">
        <f ca="1"/>
        <v>105090.86535771487</v>
      </c>
    </row>
    <row r="519" spans="8:17">
      <c r="H519" s="35">
        <v>517</v>
      </c>
      <c r="I519" s="35">
        <f ca="1"/>
        <v>1</v>
      </c>
      <c r="J519" s="35">
        <f ca="1"/>
        <v>0</v>
      </c>
      <c r="K519" s="35">
        <f ca="1"/>
        <v>0</v>
      </c>
      <c r="L519" s="35">
        <f ca="1"/>
        <v>1</v>
      </c>
      <c r="M519" s="35">
        <f ca="1"/>
        <v>2904.5951872421538</v>
      </c>
      <c r="N519" s="35">
        <f ca="1"/>
        <v>0</v>
      </c>
      <c r="O519" s="35">
        <f ca="1"/>
        <v>0</v>
      </c>
      <c r="P519" s="35">
        <f ca="1"/>
        <v>138708.96874022644</v>
      </c>
      <c r="Q519" s="35">
        <f ca="1"/>
        <v>141613.56392746858</v>
      </c>
    </row>
    <row r="520" spans="8:17">
      <c r="H520" s="35">
        <v>518</v>
      </c>
      <c r="I520" s="35">
        <f ca="1"/>
        <v>0</v>
      </c>
      <c r="J520" s="35">
        <f ca="1"/>
        <v>0</v>
      </c>
      <c r="K520" s="35">
        <f ca="1"/>
        <v>0</v>
      </c>
      <c r="L520" s="35">
        <f ca="1"/>
        <v>1</v>
      </c>
      <c r="M520" s="35">
        <f ca="1"/>
        <v>0</v>
      </c>
      <c r="N520" s="35">
        <f ca="1"/>
        <v>0</v>
      </c>
      <c r="O520" s="35">
        <f ca="1"/>
        <v>0</v>
      </c>
      <c r="P520" s="35">
        <f ca="1"/>
        <v>108676.50430114235</v>
      </c>
      <c r="Q520" s="35">
        <f ca="1"/>
        <v>108676.50430114235</v>
      </c>
    </row>
    <row r="521" spans="8:17">
      <c r="H521" s="35">
        <v>519</v>
      </c>
      <c r="I521" s="35">
        <f ca="1"/>
        <v>1</v>
      </c>
      <c r="J521" s="35">
        <f ca="1"/>
        <v>0</v>
      </c>
      <c r="K521" s="35">
        <f ca="1"/>
        <v>0</v>
      </c>
      <c r="L521" s="35">
        <f ca="1"/>
        <v>1</v>
      </c>
      <c r="M521" s="35">
        <f ca="1"/>
        <v>7476.8504237766483</v>
      </c>
      <c r="N521" s="35">
        <f ca="1"/>
        <v>0</v>
      </c>
      <c r="O521" s="35">
        <f ca="1"/>
        <v>0</v>
      </c>
      <c r="P521" s="35">
        <f ca="1"/>
        <v>132672.48595075405</v>
      </c>
      <c r="Q521" s="35">
        <f ca="1"/>
        <v>140149.33637453071</v>
      </c>
    </row>
    <row r="522" spans="8:17">
      <c r="H522" s="35">
        <v>520</v>
      </c>
      <c r="I522" s="35">
        <f ca="1"/>
        <v>0</v>
      </c>
      <c r="J522" s="35">
        <f ca="1"/>
        <v>0</v>
      </c>
      <c r="K522" s="35">
        <f ca="1"/>
        <v>0</v>
      </c>
      <c r="L522" s="35">
        <f ca="1"/>
        <v>1</v>
      </c>
      <c r="M522" s="35">
        <f ca="1"/>
        <v>0</v>
      </c>
      <c r="N522" s="35">
        <f ca="1"/>
        <v>0</v>
      </c>
      <c r="O522" s="35">
        <f ca="1"/>
        <v>0</v>
      </c>
      <c r="P522" s="35">
        <f ca="1"/>
        <v>183293.71952296403</v>
      </c>
      <c r="Q522" s="35">
        <f ca="1"/>
        <v>183293.71952296403</v>
      </c>
    </row>
    <row r="523" spans="8:17">
      <c r="H523" s="35">
        <v>521</v>
      </c>
      <c r="I523" s="35">
        <f ca="1"/>
        <v>0</v>
      </c>
      <c r="J523" s="35">
        <f ca="1"/>
        <v>0</v>
      </c>
      <c r="K523" s="35">
        <f ca="1"/>
        <v>0</v>
      </c>
      <c r="L523" s="35">
        <f ca="1"/>
        <v>1</v>
      </c>
      <c r="M523" s="35">
        <f ca="1"/>
        <v>0</v>
      </c>
      <c r="N523" s="35">
        <f ca="1"/>
        <v>0</v>
      </c>
      <c r="O523" s="35">
        <f ca="1"/>
        <v>0</v>
      </c>
      <c r="P523" s="35">
        <f ca="1"/>
        <v>159118.19241752091</v>
      </c>
      <c r="Q523" s="35">
        <f ca="1"/>
        <v>159118.19241752091</v>
      </c>
    </row>
    <row r="524" spans="8:17">
      <c r="H524" s="35">
        <v>522</v>
      </c>
      <c r="I524" s="35">
        <f ca="1"/>
        <v>0</v>
      </c>
      <c r="J524" s="35">
        <f ca="1"/>
        <v>1</v>
      </c>
      <c r="K524" s="35">
        <f ca="1"/>
        <v>1</v>
      </c>
      <c r="L524" s="35">
        <f ca="1"/>
        <v>1</v>
      </c>
      <c r="M524" s="35">
        <f ca="1"/>
        <v>0</v>
      </c>
      <c r="N524" s="35">
        <f ca="1"/>
        <v>66909.874471293253</v>
      </c>
      <c r="O524" s="35">
        <f ca="1"/>
        <v>94.606278133752312</v>
      </c>
      <c r="P524" s="35">
        <f ca="1"/>
        <v>105855.33112298705</v>
      </c>
      <c r="Q524" s="35">
        <f ca="1"/>
        <v>172859.81187241405</v>
      </c>
    </row>
    <row r="525" spans="8:17">
      <c r="H525" s="35">
        <v>523</v>
      </c>
      <c r="I525" s="35">
        <f ca="1"/>
        <v>0</v>
      </c>
      <c r="J525" s="35">
        <f ca="1"/>
        <v>0</v>
      </c>
      <c r="K525" s="35">
        <f ca="1"/>
        <v>1</v>
      </c>
      <c r="L525" s="35">
        <f ca="1"/>
        <v>1</v>
      </c>
      <c r="M525" s="35">
        <f ca="1"/>
        <v>0</v>
      </c>
      <c r="N525" s="35">
        <f ca="1"/>
        <v>0</v>
      </c>
      <c r="O525" s="35">
        <f ca="1"/>
        <v>183.37539313521367</v>
      </c>
      <c r="P525" s="35">
        <f ca="1"/>
        <v>143063.15212623752</v>
      </c>
      <c r="Q525" s="35">
        <f ca="1"/>
        <v>143246.52751937273</v>
      </c>
    </row>
    <row r="526" spans="8:17">
      <c r="H526" s="35">
        <v>524</v>
      </c>
      <c r="I526" s="35">
        <f ca="1"/>
        <v>0</v>
      </c>
      <c r="J526" s="35">
        <f ca="1"/>
        <v>0</v>
      </c>
      <c r="K526" s="35">
        <f ca="1"/>
        <v>0</v>
      </c>
      <c r="L526" s="35">
        <f ca="1"/>
        <v>1</v>
      </c>
      <c r="M526" s="35">
        <f ca="1"/>
        <v>0</v>
      </c>
      <c r="N526" s="35">
        <f ca="1"/>
        <v>0</v>
      </c>
      <c r="O526" s="35">
        <f ca="1"/>
        <v>0</v>
      </c>
      <c r="P526" s="35">
        <f ca="1"/>
        <v>95799.511472691724</v>
      </c>
      <c r="Q526" s="35">
        <f ca="1"/>
        <v>95799.511472691724</v>
      </c>
    </row>
    <row r="527" spans="8:17">
      <c r="H527" s="35">
        <v>525</v>
      </c>
      <c r="I527" s="35">
        <f ca="1"/>
        <v>0</v>
      </c>
      <c r="J527" s="35">
        <f ca="1"/>
        <v>0</v>
      </c>
      <c r="K527" s="35">
        <f ca="1"/>
        <v>0</v>
      </c>
      <c r="L527" s="35">
        <f ca="1"/>
        <v>1</v>
      </c>
      <c r="M527" s="35">
        <f ca="1"/>
        <v>0</v>
      </c>
      <c r="N527" s="35">
        <f ca="1"/>
        <v>0</v>
      </c>
      <c r="O527" s="35">
        <f ca="1"/>
        <v>0</v>
      </c>
      <c r="P527" s="35">
        <f ca="1"/>
        <v>180238.97595083498</v>
      </c>
      <c r="Q527" s="35">
        <f ca="1"/>
        <v>180238.97595083498</v>
      </c>
    </row>
    <row r="528" spans="8:17">
      <c r="H528" s="35">
        <v>526</v>
      </c>
      <c r="I528" s="35">
        <f ca="1"/>
        <v>0</v>
      </c>
      <c r="J528" s="35">
        <f ca="1"/>
        <v>0</v>
      </c>
      <c r="K528" s="35">
        <f ca="1"/>
        <v>0</v>
      </c>
      <c r="L528" s="35">
        <f ca="1"/>
        <v>1</v>
      </c>
      <c r="M528" s="35">
        <f ca="1"/>
        <v>0</v>
      </c>
      <c r="N528" s="35">
        <f ca="1"/>
        <v>0</v>
      </c>
      <c r="O528" s="35">
        <f ca="1"/>
        <v>0</v>
      </c>
      <c r="P528" s="35">
        <f ca="1"/>
        <v>137396.87376564261</v>
      </c>
      <c r="Q528" s="35">
        <f ca="1"/>
        <v>137396.87376564261</v>
      </c>
    </row>
    <row r="529" spans="8:17">
      <c r="H529" s="35">
        <v>527</v>
      </c>
      <c r="I529" s="35">
        <f ca="1"/>
        <v>0</v>
      </c>
      <c r="J529" s="35">
        <f ca="1"/>
        <v>0</v>
      </c>
      <c r="K529" s="35">
        <f ca="1"/>
        <v>0</v>
      </c>
      <c r="L529" s="35">
        <f ca="1"/>
        <v>1</v>
      </c>
      <c r="M529" s="35">
        <f ca="1"/>
        <v>0</v>
      </c>
      <c r="N529" s="35">
        <f ca="1"/>
        <v>0</v>
      </c>
      <c r="O529" s="35">
        <f ca="1"/>
        <v>0</v>
      </c>
      <c r="P529" s="35">
        <f ca="1"/>
        <v>131788.87668711515</v>
      </c>
      <c r="Q529" s="35">
        <f ca="1"/>
        <v>131788.87668711515</v>
      </c>
    </row>
    <row r="530" spans="8:17">
      <c r="H530" s="35">
        <v>528</v>
      </c>
      <c r="I530" s="35">
        <f ca="1"/>
        <v>0</v>
      </c>
      <c r="J530" s="35">
        <f ca="1"/>
        <v>1</v>
      </c>
      <c r="K530" s="35">
        <f ca="1"/>
        <v>0</v>
      </c>
      <c r="L530" s="35">
        <f ca="1"/>
        <v>1</v>
      </c>
      <c r="M530" s="35">
        <f ca="1"/>
        <v>0</v>
      </c>
      <c r="N530" s="35">
        <f ca="1"/>
        <v>43233.06240164589</v>
      </c>
      <c r="O530" s="35">
        <f ca="1"/>
        <v>0</v>
      </c>
      <c r="P530" s="35">
        <f ca="1"/>
        <v>137485.49864170855</v>
      </c>
      <c r="Q530" s="35">
        <f ca="1"/>
        <v>180718.56104335445</v>
      </c>
    </row>
    <row r="531" spans="8:17">
      <c r="H531" s="35">
        <v>529</v>
      </c>
      <c r="I531" s="35">
        <f ca="1"/>
        <v>0</v>
      </c>
      <c r="J531" s="35">
        <f ca="1"/>
        <v>1</v>
      </c>
      <c r="K531" s="35">
        <f ca="1"/>
        <v>0</v>
      </c>
      <c r="L531" s="35">
        <f ca="1"/>
        <v>1</v>
      </c>
      <c r="M531" s="35">
        <f ca="1"/>
        <v>0</v>
      </c>
      <c r="N531" s="35">
        <f ca="1"/>
        <v>21530.515543724287</v>
      </c>
      <c r="O531" s="35">
        <f ca="1"/>
        <v>0</v>
      </c>
      <c r="P531" s="35">
        <f ca="1"/>
        <v>163352.21279424042</v>
      </c>
      <c r="Q531" s="35">
        <f ca="1"/>
        <v>184882.72833796471</v>
      </c>
    </row>
    <row r="532" spans="8:17">
      <c r="H532" s="35">
        <v>530</v>
      </c>
      <c r="I532" s="35">
        <f ca="1"/>
        <v>0</v>
      </c>
      <c r="J532" s="35">
        <f ca="1"/>
        <v>0</v>
      </c>
      <c r="K532" s="35">
        <f ca="1"/>
        <v>0</v>
      </c>
      <c r="L532" s="35">
        <f ca="1"/>
        <v>1</v>
      </c>
      <c r="M532" s="35">
        <f ca="1"/>
        <v>0</v>
      </c>
      <c r="N532" s="35">
        <f ca="1"/>
        <v>0</v>
      </c>
      <c r="O532" s="35">
        <f ca="1"/>
        <v>0</v>
      </c>
      <c r="P532" s="35">
        <f ca="1"/>
        <v>65112.51362644176</v>
      </c>
      <c r="Q532" s="35">
        <f ca="1"/>
        <v>65112.51362644176</v>
      </c>
    </row>
    <row r="533" spans="8:17">
      <c r="H533" s="35">
        <v>531</v>
      </c>
      <c r="I533" s="35">
        <f ca="1"/>
        <v>0</v>
      </c>
      <c r="J533" s="35">
        <f ca="1"/>
        <v>0</v>
      </c>
      <c r="K533" s="35">
        <f ca="1"/>
        <v>1</v>
      </c>
      <c r="L533" s="35">
        <f ca="1"/>
        <v>1</v>
      </c>
      <c r="M533" s="35">
        <f ca="1"/>
        <v>0</v>
      </c>
      <c r="N533" s="35">
        <f ca="1"/>
        <v>0</v>
      </c>
      <c r="O533" s="35">
        <f ca="1"/>
        <v>200.00638063744006</v>
      </c>
      <c r="P533" s="35">
        <f ca="1"/>
        <v>77930.806513219199</v>
      </c>
      <c r="Q533" s="35">
        <f ca="1"/>
        <v>78130.812893856637</v>
      </c>
    </row>
    <row r="534" spans="8:17">
      <c r="H534" s="35">
        <v>532</v>
      </c>
      <c r="I534" s="35">
        <f ca="1"/>
        <v>1</v>
      </c>
      <c r="J534" s="35">
        <f ca="1"/>
        <v>1</v>
      </c>
      <c r="K534" s="35">
        <f ca="1"/>
        <v>1</v>
      </c>
      <c r="L534" s="35">
        <f ca="1"/>
        <v>1</v>
      </c>
      <c r="M534" s="35">
        <f ca="1"/>
        <v>7946.8400476586621</v>
      </c>
      <c r="N534" s="35">
        <f ca="1"/>
        <v>35510.043491195021</v>
      </c>
      <c r="O534" s="35">
        <f ca="1"/>
        <v>213.00175269970171</v>
      </c>
      <c r="P534" s="35">
        <f ca="1"/>
        <v>107571.45972543341</v>
      </c>
      <c r="Q534" s="35">
        <f ca="1"/>
        <v>151241.3450169868</v>
      </c>
    </row>
    <row r="535" spans="8:17">
      <c r="H535" s="35">
        <v>533</v>
      </c>
      <c r="I535" s="35">
        <f ca="1"/>
        <v>0</v>
      </c>
      <c r="J535" s="35">
        <f ca="1"/>
        <v>0</v>
      </c>
      <c r="K535" s="35">
        <f ca="1"/>
        <v>0</v>
      </c>
      <c r="L535" s="35">
        <f ca="1"/>
        <v>1</v>
      </c>
      <c r="M535" s="35">
        <f ca="1"/>
        <v>0</v>
      </c>
      <c r="N535" s="35">
        <f ca="1"/>
        <v>0</v>
      </c>
      <c r="O535" s="35">
        <f ca="1"/>
        <v>0</v>
      </c>
      <c r="P535" s="35">
        <f ca="1"/>
        <v>118803.51372425231</v>
      </c>
      <c r="Q535" s="35">
        <f ca="1"/>
        <v>118803.51372425231</v>
      </c>
    </row>
    <row r="536" spans="8:17">
      <c r="H536" s="35">
        <v>534</v>
      </c>
      <c r="I536" s="35">
        <f ca="1"/>
        <v>0</v>
      </c>
      <c r="J536" s="35">
        <f ca="1"/>
        <v>0</v>
      </c>
      <c r="K536" s="35">
        <f ca="1"/>
        <v>1</v>
      </c>
      <c r="L536" s="35">
        <f ca="1"/>
        <v>1</v>
      </c>
      <c r="M536" s="35">
        <f ca="1"/>
        <v>0</v>
      </c>
      <c r="N536" s="35">
        <f ca="1"/>
        <v>0</v>
      </c>
      <c r="O536" s="35">
        <f ca="1"/>
        <v>175.1099481259883</v>
      </c>
      <c r="P536" s="35">
        <f ca="1"/>
        <v>181490.22369334952</v>
      </c>
      <c r="Q536" s="35">
        <f ca="1"/>
        <v>181665.3336414755</v>
      </c>
    </row>
    <row r="537" spans="8:17">
      <c r="H537" s="35">
        <v>535</v>
      </c>
      <c r="I537" s="35">
        <f ca="1"/>
        <v>0</v>
      </c>
      <c r="J537" s="35">
        <f ca="1"/>
        <v>0</v>
      </c>
      <c r="K537" s="35">
        <f ca="1"/>
        <v>0</v>
      </c>
      <c r="L537" s="35">
        <f ca="1"/>
        <v>0</v>
      </c>
      <c r="M537" s="35">
        <f ca="1"/>
        <v>0</v>
      </c>
      <c r="N537" s="35">
        <f ca="1"/>
        <v>0</v>
      </c>
      <c r="O537" s="35">
        <f ca="1"/>
        <v>0</v>
      </c>
      <c r="P537" s="35">
        <f ca="1"/>
        <v>0</v>
      </c>
      <c r="Q537" s="35">
        <f ca="1"/>
        <v>0</v>
      </c>
    </row>
    <row r="538" spans="8:17">
      <c r="H538" s="35">
        <v>536</v>
      </c>
      <c r="I538" s="35">
        <f ca="1"/>
        <v>0</v>
      </c>
      <c r="J538" s="35">
        <f ca="1"/>
        <v>0</v>
      </c>
      <c r="K538" s="35">
        <f ca="1"/>
        <v>1</v>
      </c>
      <c r="L538" s="35">
        <f ca="1"/>
        <v>1</v>
      </c>
      <c r="M538" s="35">
        <f ca="1"/>
        <v>0</v>
      </c>
      <c r="N538" s="35">
        <f ca="1"/>
        <v>0</v>
      </c>
      <c r="O538" s="35">
        <f ca="1"/>
        <v>132.64451955665342</v>
      </c>
      <c r="P538" s="35">
        <f ca="1"/>
        <v>174886.25003013611</v>
      </c>
      <c r="Q538" s="35">
        <f ca="1"/>
        <v>175018.89454969278</v>
      </c>
    </row>
    <row r="539" spans="8:17">
      <c r="H539" s="35">
        <v>537</v>
      </c>
      <c r="I539" s="35">
        <f ca="1"/>
        <v>0</v>
      </c>
      <c r="J539" s="35">
        <f ca="1"/>
        <v>1</v>
      </c>
      <c r="K539" s="35">
        <f ca="1"/>
        <v>1</v>
      </c>
      <c r="L539" s="35">
        <f ca="1"/>
        <v>1</v>
      </c>
      <c r="M539" s="35">
        <f ca="1"/>
        <v>0</v>
      </c>
      <c r="N539" s="35">
        <f ca="1"/>
        <v>15911.445672631638</v>
      </c>
      <c r="O539" s="35">
        <f ca="1"/>
        <v>457.27050456116632</v>
      </c>
      <c r="P539" s="35">
        <f ca="1"/>
        <v>152904.12901649962</v>
      </c>
      <c r="Q539" s="35">
        <f ca="1"/>
        <v>169272.84519369242</v>
      </c>
    </row>
    <row r="540" spans="8:17">
      <c r="H540" s="35">
        <v>538</v>
      </c>
      <c r="I540" s="35">
        <f ca="1"/>
        <v>1</v>
      </c>
      <c r="J540" s="35">
        <f ca="1"/>
        <v>0</v>
      </c>
      <c r="K540" s="35">
        <f ca="1"/>
        <v>0</v>
      </c>
      <c r="L540" s="35">
        <f ca="1"/>
        <v>0</v>
      </c>
      <c r="M540" s="35">
        <f ca="1"/>
        <v>7814.9558101455068</v>
      </c>
      <c r="N540" s="35">
        <f ca="1"/>
        <v>0</v>
      </c>
      <c r="O540" s="35">
        <f ca="1"/>
        <v>0</v>
      </c>
      <c r="P540" s="35">
        <f ca="1"/>
        <v>0</v>
      </c>
      <c r="Q540" s="35">
        <f ca="1"/>
        <v>7814.9558101455068</v>
      </c>
    </row>
    <row r="541" spans="8:17">
      <c r="H541" s="35">
        <v>539</v>
      </c>
      <c r="I541" s="35">
        <f ca="1"/>
        <v>1</v>
      </c>
      <c r="J541" s="35">
        <f ca="1"/>
        <v>0</v>
      </c>
      <c r="K541" s="35">
        <f ca="1"/>
        <v>0</v>
      </c>
      <c r="L541" s="35">
        <f ca="1"/>
        <v>1</v>
      </c>
      <c r="M541" s="35">
        <f ca="1"/>
        <v>5316.0080946875632</v>
      </c>
      <c r="N541" s="35">
        <f ca="1"/>
        <v>0</v>
      </c>
      <c r="O541" s="35">
        <f ca="1"/>
        <v>0</v>
      </c>
      <c r="P541" s="35">
        <f ca="1"/>
        <v>196770.1995462809</v>
      </c>
      <c r="Q541" s="35">
        <f ca="1"/>
        <v>202086.20764096847</v>
      </c>
    </row>
    <row r="542" spans="8:17">
      <c r="H542" s="35">
        <v>540</v>
      </c>
      <c r="I542" s="35">
        <f ca="1"/>
        <v>0</v>
      </c>
      <c r="J542" s="35">
        <f ca="1"/>
        <v>0</v>
      </c>
      <c r="K542" s="35">
        <f ca="1"/>
        <v>0</v>
      </c>
      <c r="L542" s="35">
        <f ca="1"/>
        <v>1</v>
      </c>
      <c r="M542" s="35">
        <f ca="1"/>
        <v>0</v>
      </c>
      <c r="N542" s="35">
        <f ca="1"/>
        <v>0</v>
      </c>
      <c r="O542" s="35">
        <f ca="1"/>
        <v>0</v>
      </c>
      <c r="P542" s="35">
        <f ca="1"/>
        <v>137211.77644962471</v>
      </c>
      <c r="Q542" s="35">
        <f ca="1"/>
        <v>137211.77644962471</v>
      </c>
    </row>
    <row r="543" spans="8:17">
      <c r="H543" s="35">
        <v>541</v>
      </c>
      <c r="I543" s="35">
        <f ca="1"/>
        <v>0</v>
      </c>
      <c r="J543" s="35">
        <f ca="1"/>
        <v>0</v>
      </c>
      <c r="K543" s="35">
        <f ca="1"/>
        <v>0</v>
      </c>
      <c r="L543" s="35">
        <f ca="1"/>
        <v>1</v>
      </c>
      <c r="M543" s="35">
        <f ca="1"/>
        <v>0</v>
      </c>
      <c r="N543" s="35">
        <f ca="1"/>
        <v>0</v>
      </c>
      <c r="O543" s="35">
        <f ca="1"/>
        <v>0</v>
      </c>
      <c r="P543" s="35">
        <f ca="1"/>
        <v>117007.86373487297</v>
      </c>
      <c r="Q543" s="35">
        <f ca="1"/>
        <v>117007.86373487297</v>
      </c>
    </row>
    <row r="544" spans="8:17">
      <c r="H544" s="35">
        <v>542</v>
      </c>
      <c r="I544" s="35">
        <f ca="1"/>
        <v>0</v>
      </c>
      <c r="J544" s="35">
        <f ca="1"/>
        <v>1</v>
      </c>
      <c r="K544" s="35">
        <f ca="1"/>
        <v>0</v>
      </c>
      <c r="L544" s="35">
        <f ca="1"/>
        <v>1</v>
      </c>
      <c r="M544" s="35">
        <f ca="1"/>
        <v>0</v>
      </c>
      <c r="N544" s="35">
        <f ca="1"/>
        <v>40095.53857695964</v>
      </c>
      <c r="O544" s="35">
        <f ca="1"/>
        <v>0</v>
      </c>
      <c r="P544" s="35">
        <f ca="1"/>
        <v>141765.06359178302</v>
      </c>
      <c r="Q544" s="35">
        <f ca="1"/>
        <v>181860.60216874265</v>
      </c>
    </row>
    <row r="545" spans="8:17">
      <c r="H545" s="35">
        <v>543</v>
      </c>
      <c r="I545" s="35">
        <f ca="1"/>
        <v>0</v>
      </c>
      <c r="J545" s="35">
        <f ca="1"/>
        <v>0</v>
      </c>
      <c r="K545" s="35">
        <f ca="1"/>
        <v>0</v>
      </c>
      <c r="L545" s="35">
        <f ca="1"/>
        <v>0</v>
      </c>
      <c r="M545" s="35">
        <f ca="1"/>
        <v>0</v>
      </c>
      <c r="N545" s="35">
        <f ca="1"/>
        <v>0</v>
      </c>
      <c r="O545" s="35">
        <f ca="1"/>
        <v>0</v>
      </c>
      <c r="P545" s="35">
        <f ca="1"/>
        <v>0</v>
      </c>
      <c r="Q545" s="35">
        <f ca="1"/>
        <v>0</v>
      </c>
    </row>
    <row r="546" spans="8:17">
      <c r="H546" s="35">
        <v>544</v>
      </c>
      <c r="I546" s="35">
        <f ca="1"/>
        <v>1</v>
      </c>
      <c r="J546" s="35">
        <f ca="1"/>
        <v>0</v>
      </c>
      <c r="K546" s="35">
        <f ca="1"/>
        <v>1</v>
      </c>
      <c r="L546" s="35">
        <f ca="1"/>
        <v>1</v>
      </c>
      <c r="M546" s="35">
        <f ca="1"/>
        <v>8575.2808273187875</v>
      </c>
      <c r="N546" s="35">
        <f ca="1"/>
        <v>0</v>
      </c>
      <c r="O546" s="35">
        <f ca="1"/>
        <v>166.68161737947028</v>
      </c>
      <c r="P546" s="35">
        <f ca="1"/>
        <v>192321.35093729253</v>
      </c>
      <c r="Q546" s="35">
        <f ca="1"/>
        <v>201063.3133819908</v>
      </c>
    </row>
    <row r="547" spans="8:17">
      <c r="H547" s="35">
        <v>545</v>
      </c>
      <c r="I547" s="35">
        <f ca="1"/>
        <v>0</v>
      </c>
      <c r="J547" s="35">
        <f ca="1"/>
        <v>0</v>
      </c>
      <c r="K547" s="35">
        <f ca="1"/>
        <v>0</v>
      </c>
      <c r="L547" s="35">
        <f ca="1"/>
        <v>1</v>
      </c>
      <c r="M547" s="35">
        <f ca="1"/>
        <v>0</v>
      </c>
      <c r="N547" s="35">
        <f ca="1"/>
        <v>0</v>
      </c>
      <c r="O547" s="35">
        <f ca="1"/>
        <v>0</v>
      </c>
      <c r="P547" s="35">
        <f ca="1"/>
        <v>170358.29343826312</v>
      </c>
      <c r="Q547" s="35">
        <f ca="1"/>
        <v>170358.29343826312</v>
      </c>
    </row>
    <row r="548" spans="8:17">
      <c r="H548" s="35">
        <v>546</v>
      </c>
      <c r="I548" s="35">
        <f ca="1"/>
        <v>1</v>
      </c>
      <c r="J548" s="35">
        <f ca="1"/>
        <v>0</v>
      </c>
      <c r="K548" s="35">
        <f ca="1"/>
        <v>0</v>
      </c>
      <c r="L548" s="35">
        <f ca="1"/>
        <v>1</v>
      </c>
      <c r="M548" s="35">
        <f ca="1"/>
        <v>13591.266646258189</v>
      </c>
      <c r="N548" s="35">
        <f ca="1"/>
        <v>0</v>
      </c>
      <c r="O548" s="35">
        <f ca="1"/>
        <v>0</v>
      </c>
      <c r="P548" s="35">
        <f ca="1"/>
        <v>170355.25131766632</v>
      </c>
      <c r="Q548" s="35">
        <f ca="1"/>
        <v>183946.5179639245</v>
      </c>
    </row>
    <row r="549" spans="8:17">
      <c r="H549" s="35">
        <v>547</v>
      </c>
      <c r="I549" s="35">
        <f ca="1"/>
        <v>0</v>
      </c>
      <c r="J549" s="35">
        <f ca="1"/>
        <v>0</v>
      </c>
      <c r="K549" s="35">
        <f ca="1"/>
        <v>0</v>
      </c>
      <c r="L549" s="35">
        <f ca="1"/>
        <v>1</v>
      </c>
      <c r="M549" s="35">
        <f ca="1"/>
        <v>0</v>
      </c>
      <c r="N549" s="35">
        <f ca="1"/>
        <v>0</v>
      </c>
      <c r="O549" s="35">
        <f ca="1"/>
        <v>0</v>
      </c>
      <c r="P549" s="35">
        <f ca="1"/>
        <v>115224.66023014506</v>
      </c>
      <c r="Q549" s="35">
        <f ca="1"/>
        <v>115224.66023014506</v>
      </c>
    </row>
    <row r="550" spans="8:17">
      <c r="H550" s="35">
        <v>548</v>
      </c>
      <c r="I550" s="35">
        <f ca="1"/>
        <v>0</v>
      </c>
      <c r="J550" s="35">
        <f ca="1"/>
        <v>0</v>
      </c>
      <c r="K550" s="35">
        <f ca="1"/>
        <v>0</v>
      </c>
      <c r="L550" s="35">
        <f ca="1"/>
        <v>0</v>
      </c>
      <c r="M550" s="35">
        <f ca="1"/>
        <v>0</v>
      </c>
      <c r="N550" s="35">
        <f ca="1"/>
        <v>0</v>
      </c>
      <c r="O550" s="35">
        <f ca="1"/>
        <v>0</v>
      </c>
      <c r="P550" s="35">
        <f ca="1"/>
        <v>0</v>
      </c>
      <c r="Q550" s="35">
        <f ca="1"/>
        <v>0</v>
      </c>
    </row>
    <row r="551" spans="8:17">
      <c r="H551" s="35">
        <v>549</v>
      </c>
      <c r="I551" s="35">
        <f ca="1"/>
        <v>0</v>
      </c>
      <c r="J551" s="35">
        <f ca="1"/>
        <v>0</v>
      </c>
      <c r="K551" s="35">
        <f ca="1"/>
        <v>0</v>
      </c>
      <c r="L551" s="35">
        <f ca="1"/>
        <v>1</v>
      </c>
      <c r="M551" s="35">
        <f ca="1"/>
        <v>0</v>
      </c>
      <c r="N551" s="35">
        <f ca="1"/>
        <v>0</v>
      </c>
      <c r="O551" s="35">
        <f ca="1"/>
        <v>0</v>
      </c>
      <c r="P551" s="35">
        <f ca="1"/>
        <v>141220.62635657861</v>
      </c>
      <c r="Q551" s="35">
        <f ca="1"/>
        <v>141220.62635657861</v>
      </c>
    </row>
    <row r="552" spans="8:17">
      <c r="H552" s="35">
        <v>550</v>
      </c>
      <c r="I552" s="35">
        <f ca="1"/>
        <v>0</v>
      </c>
      <c r="J552" s="35">
        <f ca="1"/>
        <v>1</v>
      </c>
      <c r="K552" s="35">
        <f ca="1"/>
        <v>0</v>
      </c>
      <c r="L552" s="35">
        <f ca="1"/>
        <v>1</v>
      </c>
      <c r="M552" s="35">
        <f ca="1"/>
        <v>0</v>
      </c>
      <c r="N552" s="35">
        <f ca="1"/>
        <v>45523.767887526315</v>
      </c>
      <c r="O552" s="35">
        <f ca="1"/>
        <v>0</v>
      </c>
      <c r="P552" s="35">
        <f ca="1"/>
        <v>194630.32559291541</v>
      </c>
      <c r="Q552" s="35">
        <f ca="1"/>
        <v>240154.09348044172</v>
      </c>
    </row>
    <row r="553" spans="8:17">
      <c r="H553" s="35">
        <v>551</v>
      </c>
      <c r="I553" s="35">
        <f ca="1"/>
        <v>0</v>
      </c>
      <c r="J553" s="35">
        <f ca="1"/>
        <v>1</v>
      </c>
      <c r="K553" s="35">
        <f ca="1"/>
        <v>0</v>
      </c>
      <c r="L553" s="35">
        <f ca="1"/>
        <v>1</v>
      </c>
      <c r="M553" s="35">
        <f ca="1"/>
        <v>0</v>
      </c>
      <c r="N553" s="35">
        <f ca="1"/>
        <v>34487.602534277714</v>
      </c>
      <c r="O553" s="35">
        <f ca="1"/>
        <v>0</v>
      </c>
      <c r="P553" s="35">
        <f ca="1"/>
        <v>133206.91074106429</v>
      </c>
      <c r="Q553" s="35">
        <f ca="1"/>
        <v>167694.513275342</v>
      </c>
    </row>
    <row r="554" spans="8:17">
      <c r="H554" s="35">
        <v>552</v>
      </c>
      <c r="I554" s="35">
        <f ca="1"/>
        <v>0</v>
      </c>
      <c r="J554" s="35">
        <f ca="1"/>
        <v>0</v>
      </c>
      <c r="K554" s="35">
        <f ca="1"/>
        <v>0</v>
      </c>
      <c r="L554" s="35">
        <f ca="1"/>
        <v>1</v>
      </c>
      <c r="M554" s="35">
        <f ca="1"/>
        <v>0</v>
      </c>
      <c r="N554" s="35">
        <f ca="1"/>
        <v>0</v>
      </c>
      <c r="O554" s="35">
        <f ca="1"/>
        <v>0</v>
      </c>
      <c r="P554" s="35">
        <f ca="1"/>
        <v>87719.195614678087</v>
      </c>
      <c r="Q554" s="35">
        <f ca="1"/>
        <v>87719.195614678087</v>
      </c>
    </row>
    <row r="555" spans="8:17">
      <c r="H555" s="35">
        <v>553</v>
      </c>
      <c r="I555" s="35">
        <f ca="1"/>
        <v>0</v>
      </c>
      <c r="J555" s="35">
        <f ca="1"/>
        <v>1</v>
      </c>
      <c r="K555" s="35">
        <f ca="1"/>
        <v>1</v>
      </c>
      <c r="L555" s="35">
        <f ca="1"/>
        <v>1</v>
      </c>
      <c r="M555" s="35">
        <f ca="1"/>
        <v>0</v>
      </c>
      <c r="N555" s="35">
        <f ca="1"/>
        <v>66727.217042088974</v>
      </c>
      <c r="O555" s="35">
        <f ca="1"/>
        <v>452.24853087216133</v>
      </c>
      <c r="P555" s="35">
        <f ca="1"/>
        <v>108817.73542246126</v>
      </c>
      <c r="Q555" s="35">
        <f ca="1"/>
        <v>175997.2009954224</v>
      </c>
    </row>
    <row r="556" spans="8:17">
      <c r="H556" s="35">
        <v>554</v>
      </c>
      <c r="I556" s="35">
        <f ca="1"/>
        <v>0</v>
      </c>
      <c r="J556" s="35">
        <f ca="1"/>
        <v>0</v>
      </c>
      <c r="K556" s="35">
        <f ca="1"/>
        <v>0</v>
      </c>
      <c r="L556" s="35">
        <f ca="1"/>
        <v>1</v>
      </c>
      <c r="M556" s="35">
        <f ca="1"/>
        <v>0</v>
      </c>
      <c r="N556" s="35">
        <f ca="1"/>
        <v>0</v>
      </c>
      <c r="O556" s="35">
        <f ca="1"/>
        <v>0</v>
      </c>
      <c r="P556" s="35">
        <f ca="1"/>
        <v>148527.07026132938</v>
      </c>
      <c r="Q556" s="35">
        <f ca="1"/>
        <v>148527.07026132938</v>
      </c>
    </row>
    <row r="557" spans="8:17">
      <c r="H557" s="35">
        <v>555</v>
      </c>
      <c r="I557" s="35">
        <f ca="1"/>
        <v>1</v>
      </c>
      <c r="J557" s="35">
        <f ca="1"/>
        <v>0</v>
      </c>
      <c r="K557" s="35">
        <f ca="1"/>
        <v>0</v>
      </c>
      <c r="L557" s="35">
        <f ca="1"/>
        <v>1</v>
      </c>
      <c r="M557" s="35">
        <f ca="1"/>
        <v>18430.371459107333</v>
      </c>
      <c r="N557" s="35">
        <f ca="1"/>
        <v>0</v>
      </c>
      <c r="O557" s="35">
        <f ca="1"/>
        <v>0</v>
      </c>
      <c r="P557" s="35">
        <f ca="1"/>
        <v>131079.03595137046</v>
      </c>
      <c r="Q557" s="35">
        <f ca="1"/>
        <v>149509.40741047778</v>
      </c>
    </row>
    <row r="558" spans="8:17">
      <c r="H558" s="35">
        <v>556</v>
      </c>
      <c r="I558" s="35">
        <f ca="1"/>
        <v>1</v>
      </c>
      <c r="J558" s="35">
        <f ca="1"/>
        <v>0</v>
      </c>
      <c r="K558" s="35">
        <f ca="1"/>
        <v>1</v>
      </c>
      <c r="L558" s="35">
        <f ca="1"/>
        <v>1</v>
      </c>
      <c r="M558" s="35">
        <f ca="1"/>
        <v>3953.3048726700367</v>
      </c>
      <c r="N558" s="35">
        <f ca="1"/>
        <v>0</v>
      </c>
      <c r="O558" s="35">
        <f ca="1"/>
        <v>306.66356604291843</v>
      </c>
      <c r="P558" s="35">
        <f ca="1"/>
        <v>103440.80672921453</v>
      </c>
      <c r="Q558" s="35">
        <f ca="1"/>
        <v>107700.77516792748</v>
      </c>
    </row>
    <row r="559" spans="8:17">
      <c r="H559" s="35">
        <v>557</v>
      </c>
      <c r="I559" s="35">
        <f ca="1"/>
        <v>0</v>
      </c>
      <c r="J559" s="35">
        <f ca="1"/>
        <v>0</v>
      </c>
      <c r="K559" s="35">
        <f ca="1"/>
        <v>1</v>
      </c>
      <c r="L559" s="35">
        <f ca="1"/>
        <v>1</v>
      </c>
      <c r="M559" s="35">
        <f ca="1"/>
        <v>0</v>
      </c>
      <c r="N559" s="35">
        <f ca="1"/>
        <v>0</v>
      </c>
      <c r="O559" s="35">
        <f ca="1"/>
        <v>107.20801073263478</v>
      </c>
      <c r="P559" s="35">
        <f ca="1"/>
        <v>125754.55540342862</v>
      </c>
      <c r="Q559" s="35">
        <f ca="1"/>
        <v>125861.76341416125</v>
      </c>
    </row>
    <row r="560" spans="8:17">
      <c r="H560" s="35">
        <v>558</v>
      </c>
      <c r="I560" s="35">
        <f ca="1"/>
        <v>0</v>
      </c>
      <c r="J560" s="35">
        <f ca="1"/>
        <v>0</v>
      </c>
      <c r="K560" s="35">
        <f ca="1"/>
        <v>1</v>
      </c>
      <c r="L560" s="35">
        <f ca="1"/>
        <v>1</v>
      </c>
      <c r="M560" s="35">
        <f ca="1"/>
        <v>0</v>
      </c>
      <c r="N560" s="35">
        <f ca="1"/>
        <v>0</v>
      </c>
      <c r="O560" s="35">
        <f ca="1"/>
        <v>174.51522170527269</v>
      </c>
      <c r="P560" s="35">
        <f ca="1"/>
        <v>121629.02132152436</v>
      </c>
      <c r="Q560" s="35">
        <f ca="1"/>
        <v>121803.53654322962</v>
      </c>
    </row>
    <row r="561" spans="8:17">
      <c r="H561" s="35">
        <v>559</v>
      </c>
      <c r="I561" s="35">
        <f ca="1"/>
        <v>0</v>
      </c>
      <c r="J561" s="35">
        <f ca="1"/>
        <v>0</v>
      </c>
      <c r="K561" s="35">
        <f ca="1"/>
        <v>0</v>
      </c>
      <c r="L561" s="35">
        <f ca="1"/>
        <v>1</v>
      </c>
      <c r="M561" s="35">
        <f ca="1"/>
        <v>0</v>
      </c>
      <c r="N561" s="35">
        <f ca="1"/>
        <v>0</v>
      </c>
      <c r="O561" s="35">
        <f ca="1"/>
        <v>0</v>
      </c>
      <c r="P561" s="35">
        <f ca="1"/>
        <v>173063.91929946991</v>
      </c>
      <c r="Q561" s="35">
        <f ca="1"/>
        <v>173063.91929946991</v>
      </c>
    </row>
    <row r="562" spans="8:17">
      <c r="H562" s="35">
        <v>560</v>
      </c>
      <c r="I562" s="35">
        <f ca="1"/>
        <v>0</v>
      </c>
      <c r="J562" s="35">
        <f ca="1"/>
        <v>0</v>
      </c>
      <c r="K562" s="35">
        <f ca="1"/>
        <v>0</v>
      </c>
      <c r="L562" s="35">
        <f ca="1"/>
        <v>1</v>
      </c>
      <c r="M562" s="35">
        <f ca="1"/>
        <v>0</v>
      </c>
      <c r="N562" s="35">
        <f ca="1"/>
        <v>0</v>
      </c>
      <c r="O562" s="35">
        <f ca="1"/>
        <v>0</v>
      </c>
      <c r="P562" s="35">
        <f ca="1"/>
        <v>159753.04418177847</v>
      </c>
      <c r="Q562" s="35">
        <f ca="1"/>
        <v>159753.04418177847</v>
      </c>
    </row>
    <row r="563" spans="8:17">
      <c r="H563" s="35">
        <v>561</v>
      </c>
      <c r="I563" s="35">
        <f ca="1"/>
        <v>0</v>
      </c>
      <c r="J563" s="35">
        <f ca="1"/>
        <v>0</v>
      </c>
      <c r="K563" s="35">
        <f ca="1"/>
        <v>1</v>
      </c>
      <c r="L563" s="35">
        <f ca="1"/>
        <v>0</v>
      </c>
      <c r="M563" s="35">
        <f ca="1"/>
        <v>0</v>
      </c>
      <c r="N563" s="35">
        <f ca="1"/>
        <v>0</v>
      </c>
      <c r="O563" s="35">
        <f ca="1"/>
        <v>445.63373040815122</v>
      </c>
      <c r="P563" s="35">
        <f ca="1"/>
        <v>0</v>
      </c>
      <c r="Q563" s="35">
        <f ca="1"/>
        <v>445.63373040815122</v>
      </c>
    </row>
    <row r="564" spans="8:17">
      <c r="H564" s="35">
        <v>562</v>
      </c>
      <c r="I564" s="35">
        <f ca="1"/>
        <v>0</v>
      </c>
      <c r="J564" s="35">
        <f ca="1"/>
        <v>1</v>
      </c>
      <c r="K564" s="35">
        <f ca="1"/>
        <v>0</v>
      </c>
      <c r="L564" s="35">
        <f ca="1"/>
        <v>1</v>
      </c>
      <c r="M564" s="35">
        <f ca="1"/>
        <v>0</v>
      </c>
      <c r="N564" s="35">
        <f ca="1"/>
        <v>43338.362765219674</v>
      </c>
      <c r="O564" s="35">
        <f ca="1"/>
        <v>0</v>
      </c>
      <c r="P564" s="35">
        <f ca="1"/>
        <v>134211.81438942344</v>
      </c>
      <c r="Q564" s="35">
        <f ca="1"/>
        <v>177550.17715464311</v>
      </c>
    </row>
    <row r="565" spans="8:17">
      <c r="H565" s="35">
        <v>563</v>
      </c>
      <c r="I565" s="35">
        <f ca="1"/>
        <v>0</v>
      </c>
      <c r="J565" s="35">
        <f ca="1"/>
        <v>1</v>
      </c>
      <c r="K565" s="35">
        <f ca="1"/>
        <v>0</v>
      </c>
      <c r="L565" s="35">
        <f ca="1"/>
        <v>1</v>
      </c>
      <c r="M565" s="35">
        <f ca="1"/>
        <v>0</v>
      </c>
      <c r="N565" s="35">
        <f ca="1"/>
        <v>22114.854097123316</v>
      </c>
      <c r="O565" s="35">
        <f ca="1"/>
        <v>0</v>
      </c>
      <c r="P565" s="35">
        <f ca="1"/>
        <v>107207.17346527631</v>
      </c>
      <c r="Q565" s="35">
        <f ca="1"/>
        <v>129322.02756239963</v>
      </c>
    </row>
    <row r="566" spans="8:17">
      <c r="H566" s="35">
        <v>564</v>
      </c>
      <c r="I566" s="35">
        <f ca="1"/>
        <v>0</v>
      </c>
      <c r="J566" s="35">
        <f ca="1"/>
        <v>0</v>
      </c>
      <c r="K566" s="35">
        <f ca="1"/>
        <v>0</v>
      </c>
      <c r="L566" s="35">
        <f ca="1"/>
        <v>1</v>
      </c>
      <c r="M566" s="35">
        <f ca="1"/>
        <v>0</v>
      </c>
      <c r="N566" s="35">
        <f ca="1"/>
        <v>0</v>
      </c>
      <c r="O566" s="35">
        <f ca="1"/>
        <v>0</v>
      </c>
      <c r="P566" s="35">
        <f ca="1"/>
        <v>89355.686197346731</v>
      </c>
      <c r="Q566" s="35">
        <f ca="1"/>
        <v>89355.686197346731</v>
      </c>
    </row>
    <row r="567" spans="8:17">
      <c r="H567" s="35">
        <v>565</v>
      </c>
      <c r="I567" s="35">
        <f ca="1"/>
        <v>1</v>
      </c>
      <c r="J567" s="35">
        <f ca="1"/>
        <v>0</v>
      </c>
      <c r="K567" s="35">
        <f ca="1"/>
        <v>0</v>
      </c>
      <c r="L567" s="35">
        <f ca="1"/>
        <v>1</v>
      </c>
      <c r="M567" s="35">
        <f ca="1"/>
        <v>7287.7839082899263</v>
      </c>
      <c r="N567" s="35">
        <f ca="1"/>
        <v>0</v>
      </c>
      <c r="O567" s="35">
        <f ca="1"/>
        <v>0</v>
      </c>
      <c r="P567" s="35">
        <f ca="1"/>
        <v>167763.41027102008</v>
      </c>
      <c r="Q567" s="35">
        <f ca="1"/>
        <v>175051.19417931</v>
      </c>
    </row>
    <row r="568" spans="8:17">
      <c r="H568" s="35">
        <v>566</v>
      </c>
      <c r="I568" s="35">
        <f ca="1"/>
        <v>0</v>
      </c>
      <c r="J568" s="35">
        <f ca="1"/>
        <v>0</v>
      </c>
      <c r="K568" s="35">
        <f ca="1"/>
        <v>0</v>
      </c>
      <c r="L568" s="35">
        <f ca="1"/>
        <v>1</v>
      </c>
      <c r="M568" s="35">
        <f ca="1"/>
        <v>0</v>
      </c>
      <c r="N568" s="35">
        <f ca="1"/>
        <v>0</v>
      </c>
      <c r="O568" s="35">
        <f ca="1"/>
        <v>0</v>
      </c>
      <c r="P568" s="35">
        <f ca="1"/>
        <v>82420.172905659783</v>
      </c>
      <c r="Q568" s="35">
        <f ca="1"/>
        <v>82420.172905659783</v>
      </c>
    </row>
    <row r="569" spans="8:17">
      <c r="H569" s="35">
        <v>567</v>
      </c>
      <c r="I569" s="35">
        <f ca="1"/>
        <v>1</v>
      </c>
      <c r="J569" s="35">
        <f ca="1"/>
        <v>0</v>
      </c>
      <c r="K569" s="35">
        <f ca="1"/>
        <v>0</v>
      </c>
      <c r="L569" s="35">
        <f ca="1"/>
        <v>1</v>
      </c>
      <c r="M569" s="35">
        <f ca="1"/>
        <v>10044.751796370439</v>
      </c>
      <c r="N569" s="35">
        <f ca="1"/>
        <v>0</v>
      </c>
      <c r="O569" s="35">
        <f ca="1"/>
        <v>0</v>
      </c>
      <c r="P569" s="35">
        <f ca="1"/>
        <v>130675.83159953954</v>
      </c>
      <c r="Q569" s="35">
        <f ca="1"/>
        <v>140720.58339590998</v>
      </c>
    </row>
    <row r="570" spans="8:17">
      <c r="H570" s="35">
        <v>568</v>
      </c>
      <c r="I570" s="35">
        <f ca="1"/>
        <v>0</v>
      </c>
      <c r="J570" s="35">
        <f ca="1"/>
        <v>0</v>
      </c>
      <c r="K570" s="35">
        <f ca="1"/>
        <v>0</v>
      </c>
      <c r="L570" s="35">
        <f ca="1"/>
        <v>1</v>
      </c>
      <c r="M570" s="35">
        <f ca="1"/>
        <v>0</v>
      </c>
      <c r="N570" s="35">
        <f ca="1"/>
        <v>0</v>
      </c>
      <c r="O570" s="35">
        <f ca="1"/>
        <v>0</v>
      </c>
      <c r="P570" s="35">
        <f ca="1"/>
        <v>182557.90659756411</v>
      </c>
      <c r="Q570" s="35">
        <f ca="1"/>
        <v>182557.90659756411</v>
      </c>
    </row>
    <row r="571" spans="8:17">
      <c r="H571" s="35">
        <v>569</v>
      </c>
      <c r="I571" s="35">
        <f ca="1"/>
        <v>0</v>
      </c>
      <c r="J571" s="35">
        <f ca="1"/>
        <v>0</v>
      </c>
      <c r="K571" s="35">
        <f ca="1"/>
        <v>0</v>
      </c>
      <c r="L571" s="35">
        <f ca="1"/>
        <v>1</v>
      </c>
      <c r="M571" s="35">
        <f ca="1"/>
        <v>0</v>
      </c>
      <c r="N571" s="35">
        <f ca="1"/>
        <v>0</v>
      </c>
      <c r="O571" s="35">
        <f ca="1"/>
        <v>0</v>
      </c>
      <c r="P571" s="35">
        <f ca="1"/>
        <v>94510.442993289689</v>
      </c>
      <c r="Q571" s="35">
        <f ca="1"/>
        <v>94510.442993289689</v>
      </c>
    </row>
    <row r="572" spans="8:17">
      <c r="H572" s="35">
        <v>570</v>
      </c>
      <c r="I572" s="35">
        <f ca="1"/>
        <v>0</v>
      </c>
      <c r="J572" s="35">
        <f ca="1"/>
        <v>0</v>
      </c>
      <c r="K572" s="35">
        <f ca="1"/>
        <v>0</v>
      </c>
      <c r="L572" s="35">
        <f ca="1"/>
        <v>1</v>
      </c>
      <c r="M572" s="35">
        <f ca="1"/>
        <v>0</v>
      </c>
      <c r="N572" s="35">
        <f ca="1"/>
        <v>0</v>
      </c>
      <c r="O572" s="35">
        <f ca="1"/>
        <v>0</v>
      </c>
      <c r="P572" s="35">
        <f ca="1"/>
        <v>118854.9109011055</v>
      </c>
      <c r="Q572" s="35">
        <f ca="1"/>
        <v>118854.9109011055</v>
      </c>
    </row>
    <row r="573" spans="8:17">
      <c r="H573" s="35">
        <v>571</v>
      </c>
      <c r="I573" s="35">
        <f ca="1"/>
        <v>0</v>
      </c>
      <c r="J573" s="35">
        <f ca="1"/>
        <v>0</v>
      </c>
      <c r="K573" s="35">
        <f ca="1"/>
        <v>0</v>
      </c>
      <c r="L573" s="35">
        <f ca="1"/>
        <v>1</v>
      </c>
      <c r="M573" s="35">
        <f ca="1"/>
        <v>0</v>
      </c>
      <c r="N573" s="35">
        <f ca="1"/>
        <v>0</v>
      </c>
      <c r="O573" s="35">
        <f ca="1"/>
        <v>0</v>
      </c>
      <c r="P573" s="35">
        <f ca="1"/>
        <v>162273.57423049019</v>
      </c>
      <c r="Q573" s="35">
        <f ca="1"/>
        <v>162273.57423049019</v>
      </c>
    </row>
    <row r="574" spans="8:17">
      <c r="H574" s="35">
        <v>572</v>
      </c>
      <c r="I574" s="35">
        <f ca="1"/>
        <v>0</v>
      </c>
      <c r="J574" s="35">
        <f ca="1"/>
        <v>0</v>
      </c>
      <c r="K574" s="35">
        <f ca="1"/>
        <v>1</v>
      </c>
      <c r="L574" s="35">
        <f ca="1"/>
        <v>1</v>
      </c>
      <c r="M574" s="35">
        <f ca="1"/>
        <v>0</v>
      </c>
      <c r="N574" s="35">
        <f ca="1"/>
        <v>0</v>
      </c>
      <c r="O574" s="35">
        <f ca="1"/>
        <v>446.80637188739655</v>
      </c>
      <c r="P574" s="35">
        <f ca="1"/>
        <v>163480.78637803014</v>
      </c>
      <c r="Q574" s="35">
        <f ca="1"/>
        <v>163927.59274991753</v>
      </c>
    </row>
    <row r="575" spans="8:17">
      <c r="H575" s="35">
        <v>573</v>
      </c>
      <c r="I575" s="35">
        <f ca="1"/>
        <v>0</v>
      </c>
      <c r="J575" s="35">
        <f ca="1"/>
        <v>0</v>
      </c>
      <c r="K575" s="35">
        <f ca="1"/>
        <v>0</v>
      </c>
      <c r="L575" s="35">
        <f ca="1"/>
        <v>1</v>
      </c>
      <c r="M575" s="35">
        <f ca="1"/>
        <v>0</v>
      </c>
      <c r="N575" s="35">
        <f ca="1"/>
        <v>0</v>
      </c>
      <c r="O575" s="35">
        <f ca="1"/>
        <v>0</v>
      </c>
      <c r="P575" s="35">
        <f ca="1"/>
        <v>181289.53220914296</v>
      </c>
      <c r="Q575" s="35">
        <f ca="1"/>
        <v>181289.53220914296</v>
      </c>
    </row>
    <row r="576" spans="8:17">
      <c r="H576" s="35">
        <v>574</v>
      </c>
      <c r="I576" s="35">
        <f ca="1"/>
        <v>1</v>
      </c>
      <c r="J576" s="35">
        <f ca="1"/>
        <v>0</v>
      </c>
      <c r="K576" s="35">
        <f ca="1"/>
        <v>0</v>
      </c>
      <c r="L576" s="35">
        <f ca="1"/>
        <v>1</v>
      </c>
      <c r="M576" s="35">
        <f ca="1"/>
        <v>11615.926132938934</v>
      </c>
      <c r="N576" s="35">
        <f ca="1"/>
        <v>0</v>
      </c>
      <c r="O576" s="35">
        <f ca="1"/>
        <v>0</v>
      </c>
      <c r="P576" s="35">
        <f ca="1"/>
        <v>172057.68872874955</v>
      </c>
      <c r="Q576" s="35">
        <f ca="1"/>
        <v>183673.61486168849</v>
      </c>
    </row>
    <row r="577" spans="8:17">
      <c r="H577" s="35">
        <v>575</v>
      </c>
      <c r="I577" s="35">
        <f ca="1"/>
        <v>0</v>
      </c>
      <c r="J577" s="35">
        <f ca="1"/>
        <v>0</v>
      </c>
      <c r="K577" s="35">
        <f ca="1"/>
        <v>0</v>
      </c>
      <c r="L577" s="35">
        <f ca="1"/>
        <v>1</v>
      </c>
      <c r="M577" s="35">
        <f ca="1"/>
        <v>0</v>
      </c>
      <c r="N577" s="35">
        <f ca="1"/>
        <v>0</v>
      </c>
      <c r="O577" s="35">
        <f ca="1"/>
        <v>0</v>
      </c>
      <c r="P577" s="35">
        <f ca="1"/>
        <v>149707.89304024735</v>
      </c>
      <c r="Q577" s="35">
        <f ca="1"/>
        <v>149707.89304024735</v>
      </c>
    </row>
    <row r="578" spans="8:17">
      <c r="H578" s="35">
        <v>576</v>
      </c>
      <c r="I578" s="35">
        <f ca="1"/>
        <v>0</v>
      </c>
      <c r="J578" s="35">
        <f ca="1"/>
        <v>1</v>
      </c>
      <c r="K578" s="35">
        <f ca="1"/>
        <v>0</v>
      </c>
      <c r="L578" s="35">
        <f ca="1"/>
        <v>1</v>
      </c>
      <c r="M578" s="35">
        <f ca="1"/>
        <v>0</v>
      </c>
      <c r="N578" s="35">
        <f ca="1"/>
        <v>9384.4134466064697</v>
      </c>
      <c r="O578" s="35">
        <f ca="1"/>
        <v>0</v>
      </c>
      <c r="P578" s="35">
        <f ca="1"/>
        <v>163467.47744185134</v>
      </c>
      <c r="Q578" s="35">
        <f ca="1"/>
        <v>172851.8908884578</v>
      </c>
    </row>
    <row r="579" spans="8:17">
      <c r="H579" s="35">
        <v>577</v>
      </c>
      <c r="I579" s="35">
        <f ca="1"/>
        <v>0</v>
      </c>
      <c r="J579" s="35">
        <f ca="1"/>
        <v>0</v>
      </c>
      <c r="K579" s="35">
        <f ca="1"/>
        <v>0</v>
      </c>
      <c r="L579" s="35">
        <f ca="1"/>
        <v>1</v>
      </c>
      <c r="M579" s="35">
        <f ca="1"/>
        <v>0</v>
      </c>
      <c r="N579" s="35">
        <f ca="1"/>
        <v>0</v>
      </c>
      <c r="O579" s="35">
        <f ca="1"/>
        <v>0</v>
      </c>
      <c r="P579" s="35">
        <f ca="1"/>
        <v>158081.61998485206</v>
      </c>
      <c r="Q579" s="35">
        <f ca="1"/>
        <v>158081.61998485206</v>
      </c>
    </row>
    <row r="580" spans="8:17">
      <c r="H580" s="35">
        <v>578</v>
      </c>
      <c r="I580" s="35">
        <f ca="1"/>
        <v>1</v>
      </c>
      <c r="J580" s="35">
        <f ca="1"/>
        <v>0</v>
      </c>
      <c r="K580" s="35">
        <f ca="1"/>
        <v>0</v>
      </c>
      <c r="L580" s="35">
        <f ca="1"/>
        <v>1</v>
      </c>
      <c r="M580" s="35">
        <f ca="1"/>
        <v>21928.949829391171</v>
      </c>
      <c r="N580" s="35">
        <f ca="1"/>
        <v>0</v>
      </c>
      <c r="O580" s="35">
        <f ca="1"/>
        <v>0</v>
      </c>
      <c r="P580" s="35">
        <f ca="1"/>
        <v>126520.18532547784</v>
      </c>
      <c r="Q580" s="35">
        <f ca="1"/>
        <v>148449.135154869</v>
      </c>
    </row>
    <row r="581" spans="8:17">
      <c r="H581" s="35">
        <v>579</v>
      </c>
      <c r="I581" s="35">
        <f ca="1"/>
        <v>0</v>
      </c>
      <c r="J581" s="35">
        <f ca="1"/>
        <v>1</v>
      </c>
      <c r="K581" s="35">
        <f ca="1"/>
        <v>0</v>
      </c>
      <c r="L581" s="35">
        <f ca="1"/>
        <v>1</v>
      </c>
      <c r="M581" s="35">
        <f ca="1"/>
        <v>0</v>
      </c>
      <c r="N581" s="35">
        <f ca="1"/>
        <v>24009.099585316264</v>
      </c>
      <c r="O581" s="35">
        <f ca="1"/>
        <v>0</v>
      </c>
      <c r="P581" s="35">
        <f ca="1"/>
        <v>100078.43192664361</v>
      </c>
      <c r="Q581" s="35">
        <f ca="1"/>
        <v>124087.53151195987</v>
      </c>
    </row>
    <row r="582" spans="8:17">
      <c r="H582" s="35">
        <v>580</v>
      </c>
      <c r="I582" s="35">
        <f ca="1"/>
        <v>0</v>
      </c>
      <c r="J582" s="35">
        <f ca="1"/>
        <v>1</v>
      </c>
      <c r="K582" s="35">
        <f ca="1"/>
        <v>0</v>
      </c>
      <c r="L582" s="35">
        <f ca="1"/>
        <v>1</v>
      </c>
      <c r="M582" s="35">
        <f ca="1"/>
        <v>0</v>
      </c>
      <c r="N582" s="35">
        <f ca="1"/>
        <v>18415.366379091429</v>
      </c>
      <c r="O582" s="35">
        <f ca="1"/>
        <v>0</v>
      </c>
      <c r="P582" s="35">
        <f ca="1"/>
        <v>94107.443394601461</v>
      </c>
      <c r="Q582" s="35">
        <f ca="1"/>
        <v>112522.80977369289</v>
      </c>
    </row>
    <row r="583" spans="8:17">
      <c r="H583" s="35">
        <v>581</v>
      </c>
      <c r="I583" s="35">
        <f ca="1"/>
        <v>0</v>
      </c>
      <c r="J583" s="35">
        <f ca="1"/>
        <v>1</v>
      </c>
      <c r="K583" s="35">
        <f ca="1"/>
        <v>0</v>
      </c>
      <c r="L583" s="35">
        <f ca="1"/>
        <v>1</v>
      </c>
      <c r="M583" s="35">
        <f ca="1"/>
        <v>0</v>
      </c>
      <c r="N583" s="35">
        <f ca="1"/>
        <v>42113.233678144905</v>
      </c>
      <c r="O583" s="35">
        <f ca="1"/>
        <v>0</v>
      </c>
      <c r="P583" s="35">
        <f ca="1"/>
        <v>166663.42344022961</v>
      </c>
      <c r="Q583" s="35">
        <f ca="1"/>
        <v>208776.65711837451</v>
      </c>
    </row>
    <row r="584" spans="8:17">
      <c r="H584" s="35">
        <v>582</v>
      </c>
      <c r="I584" s="35">
        <f ca="1"/>
        <v>0</v>
      </c>
      <c r="J584" s="35">
        <f ca="1"/>
        <v>0</v>
      </c>
      <c r="K584" s="35">
        <f ca="1"/>
        <v>1</v>
      </c>
      <c r="L584" s="35">
        <f ca="1"/>
        <v>1</v>
      </c>
      <c r="M584" s="35">
        <f ca="1"/>
        <v>0</v>
      </c>
      <c r="N584" s="35">
        <f ca="1"/>
        <v>0</v>
      </c>
      <c r="O584" s="35">
        <f ca="1"/>
        <v>92.956558708887954</v>
      </c>
      <c r="P584" s="35">
        <f ca="1"/>
        <v>151173.81275841023</v>
      </c>
      <c r="Q584" s="35">
        <f ca="1"/>
        <v>151266.76931711912</v>
      </c>
    </row>
    <row r="585" spans="8:17">
      <c r="H585" s="35">
        <v>583</v>
      </c>
      <c r="I585" s="35">
        <f ca="1"/>
        <v>1</v>
      </c>
      <c r="J585" s="35">
        <f ca="1"/>
        <v>0</v>
      </c>
      <c r="K585" s="35">
        <f ca="1"/>
        <v>0</v>
      </c>
      <c r="L585" s="35">
        <f ca="1"/>
        <v>1</v>
      </c>
      <c r="M585" s="35">
        <f ca="1"/>
        <v>5217.5157297130863</v>
      </c>
      <c r="N585" s="35">
        <f ca="1"/>
        <v>0</v>
      </c>
      <c r="O585" s="35">
        <f ca="1"/>
        <v>0</v>
      </c>
      <c r="P585" s="35">
        <f ca="1"/>
        <v>161848.20601832436</v>
      </c>
      <c r="Q585" s="35">
        <f ca="1"/>
        <v>167065.72174803744</v>
      </c>
    </row>
    <row r="586" spans="8:17">
      <c r="H586" s="35">
        <v>584</v>
      </c>
      <c r="I586" s="35">
        <f ca="1"/>
        <v>1</v>
      </c>
      <c r="J586" s="35">
        <f ca="1"/>
        <v>0</v>
      </c>
      <c r="K586" s="35">
        <f ca="1"/>
        <v>0</v>
      </c>
      <c r="L586" s="35">
        <f ca="1"/>
        <v>1</v>
      </c>
      <c r="M586" s="35">
        <f ca="1"/>
        <v>10121.982531201314</v>
      </c>
      <c r="N586" s="35">
        <f ca="1"/>
        <v>0</v>
      </c>
      <c r="O586" s="35">
        <f ca="1"/>
        <v>0</v>
      </c>
      <c r="P586" s="35">
        <f ca="1"/>
        <v>134416.9705416878</v>
      </c>
      <c r="Q586" s="35">
        <f ca="1"/>
        <v>144538.95307288913</v>
      </c>
    </row>
    <row r="587" spans="8:17">
      <c r="H587" s="35">
        <v>585</v>
      </c>
      <c r="I587" s="35">
        <f ca="1"/>
        <v>0</v>
      </c>
      <c r="J587" s="35">
        <f ca="1"/>
        <v>0</v>
      </c>
      <c r="K587" s="35">
        <f ca="1"/>
        <v>0</v>
      </c>
      <c r="L587" s="35">
        <f ca="1"/>
        <v>1</v>
      </c>
      <c r="M587" s="35">
        <f ca="1"/>
        <v>0</v>
      </c>
      <c r="N587" s="35">
        <f ca="1"/>
        <v>0</v>
      </c>
      <c r="O587" s="35">
        <f ca="1"/>
        <v>0</v>
      </c>
      <c r="P587" s="35">
        <f ca="1"/>
        <v>110031.85027095879</v>
      </c>
      <c r="Q587" s="35">
        <f ca="1"/>
        <v>110031.85027095879</v>
      </c>
    </row>
    <row r="588" spans="8:17">
      <c r="H588" s="35">
        <v>586</v>
      </c>
      <c r="I588" s="35">
        <f ca="1"/>
        <v>0</v>
      </c>
      <c r="J588" s="35">
        <f ca="1"/>
        <v>1</v>
      </c>
      <c r="K588" s="35">
        <f ca="1"/>
        <v>0</v>
      </c>
      <c r="L588" s="35">
        <f ca="1"/>
        <v>1</v>
      </c>
      <c r="M588" s="35">
        <f ca="1"/>
        <v>0</v>
      </c>
      <c r="N588" s="35">
        <f ca="1"/>
        <v>40167.453240531555</v>
      </c>
      <c r="O588" s="35">
        <f ca="1"/>
        <v>0</v>
      </c>
      <c r="P588" s="35">
        <f ca="1"/>
        <v>143723.6594411527</v>
      </c>
      <c r="Q588" s="35">
        <f ca="1"/>
        <v>183891.11268168426</v>
      </c>
    </row>
    <row r="589" spans="8:17">
      <c r="H589" s="35">
        <v>587</v>
      </c>
      <c r="I589" s="35">
        <f ca="1"/>
        <v>0</v>
      </c>
      <c r="J589" s="35">
        <f ca="1"/>
        <v>0</v>
      </c>
      <c r="K589" s="35">
        <f ca="1"/>
        <v>1</v>
      </c>
      <c r="L589" s="35">
        <f ca="1"/>
        <v>1</v>
      </c>
      <c r="M589" s="35">
        <f ca="1"/>
        <v>0</v>
      </c>
      <c r="N589" s="35">
        <f ca="1"/>
        <v>0</v>
      </c>
      <c r="O589" s="35">
        <f ca="1"/>
        <v>100.4200105690296</v>
      </c>
      <c r="P589" s="35">
        <f ca="1"/>
        <v>166193.48434345538</v>
      </c>
      <c r="Q589" s="35">
        <f ca="1"/>
        <v>166293.90435402442</v>
      </c>
    </row>
    <row r="590" spans="8:17">
      <c r="H590" s="35">
        <v>588</v>
      </c>
      <c r="I590" s="35">
        <f ca="1"/>
        <v>0</v>
      </c>
      <c r="J590" s="35">
        <f ca="1"/>
        <v>0</v>
      </c>
      <c r="K590" s="35">
        <f ca="1"/>
        <v>0</v>
      </c>
      <c r="L590" s="35">
        <f ca="1"/>
        <v>1</v>
      </c>
      <c r="M590" s="35">
        <f ca="1"/>
        <v>0</v>
      </c>
      <c r="N590" s="35">
        <f ca="1"/>
        <v>0</v>
      </c>
      <c r="O590" s="35">
        <f ca="1"/>
        <v>0</v>
      </c>
      <c r="P590" s="35">
        <f ca="1"/>
        <v>158539.29574007087</v>
      </c>
      <c r="Q590" s="35">
        <f ca="1"/>
        <v>158539.29574007087</v>
      </c>
    </row>
    <row r="591" spans="8:17">
      <c r="H591" s="35">
        <v>589</v>
      </c>
      <c r="I591" s="35">
        <f ca="1"/>
        <v>0</v>
      </c>
      <c r="J591" s="35">
        <f ca="1"/>
        <v>0</v>
      </c>
      <c r="K591" s="35">
        <f ca="1"/>
        <v>0</v>
      </c>
      <c r="L591" s="35">
        <f ca="1"/>
        <v>0</v>
      </c>
      <c r="M591" s="35">
        <f ca="1"/>
        <v>0</v>
      </c>
      <c r="N591" s="35">
        <f ca="1"/>
        <v>0</v>
      </c>
      <c r="O591" s="35">
        <f ca="1"/>
        <v>0</v>
      </c>
      <c r="P591" s="35">
        <f ca="1"/>
        <v>0</v>
      </c>
      <c r="Q591" s="35">
        <f ca="1"/>
        <v>0</v>
      </c>
    </row>
    <row r="592" spans="8:17">
      <c r="H592" s="35">
        <v>590</v>
      </c>
      <c r="I592" s="35">
        <f ca="1"/>
        <v>0</v>
      </c>
      <c r="J592" s="35">
        <f ca="1"/>
        <v>0</v>
      </c>
      <c r="K592" s="35">
        <f ca="1"/>
        <v>0</v>
      </c>
      <c r="L592" s="35">
        <f ca="1"/>
        <v>0</v>
      </c>
      <c r="M592" s="35">
        <f ca="1"/>
        <v>0</v>
      </c>
      <c r="N592" s="35">
        <f ca="1"/>
        <v>0</v>
      </c>
      <c r="O592" s="35">
        <f ca="1"/>
        <v>0</v>
      </c>
      <c r="P592" s="35">
        <f ca="1"/>
        <v>0</v>
      </c>
      <c r="Q592" s="35">
        <f ca="1"/>
        <v>0</v>
      </c>
    </row>
    <row r="593" spans="8:17">
      <c r="H593" s="35">
        <v>591</v>
      </c>
      <c r="I593" s="35">
        <f ca="1"/>
        <v>0</v>
      </c>
      <c r="J593" s="35">
        <f ca="1"/>
        <v>0</v>
      </c>
      <c r="K593" s="35">
        <f ca="1"/>
        <v>0</v>
      </c>
      <c r="L593" s="35">
        <f ca="1"/>
        <v>1</v>
      </c>
      <c r="M593" s="35">
        <f ca="1"/>
        <v>0</v>
      </c>
      <c r="N593" s="35">
        <f ca="1"/>
        <v>0</v>
      </c>
      <c r="O593" s="35">
        <f ca="1"/>
        <v>0</v>
      </c>
      <c r="P593" s="35">
        <f ca="1"/>
        <v>184226.14504534617</v>
      </c>
      <c r="Q593" s="35">
        <f ca="1"/>
        <v>184226.14504534617</v>
      </c>
    </row>
    <row r="594" spans="8:17">
      <c r="H594" s="35">
        <v>592</v>
      </c>
      <c r="I594" s="35">
        <f ca="1"/>
        <v>0</v>
      </c>
      <c r="J594" s="35">
        <f ca="1"/>
        <v>0</v>
      </c>
      <c r="K594" s="35">
        <f ca="1"/>
        <v>1</v>
      </c>
      <c r="L594" s="35">
        <f ca="1"/>
        <v>1</v>
      </c>
      <c r="M594" s="35">
        <f ca="1"/>
        <v>0</v>
      </c>
      <c r="N594" s="35">
        <f ca="1"/>
        <v>0</v>
      </c>
      <c r="O594" s="35">
        <f ca="1"/>
        <v>247.82523421860327</v>
      </c>
      <c r="P594" s="35">
        <f ca="1"/>
        <v>155611.49624172534</v>
      </c>
      <c r="Q594" s="35">
        <f ca="1"/>
        <v>155859.32147594396</v>
      </c>
    </row>
    <row r="595" spans="8:17">
      <c r="H595" s="35">
        <v>593</v>
      </c>
      <c r="I595" s="35">
        <f ca="1"/>
        <v>0</v>
      </c>
      <c r="J595" s="35">
        <f ca="1"/>
        <v>0</v>
      </c>
      <c r="K595" s="35">
        <f ca="1"/>
        <v>0</v>
      </c>
      <c r="L595" s="35">
        <f ca="1"/>
        <v>0</v>
      </c>
      <c r="M595" s="35">
        <f ca="1"/>
        <v>0</v>
      </c>
      <c r="N595" s="35">
        <f ca="1"/>
        <v>0</v>
      </c>
      <c r="O595" s="35">
        <f ca="1"/>
        <v>0</v>
      </c>
      <c r="P595" s="35">
        <f ca="1"/>
        <v>0</v>
      </c>
      <c r="Q595" s="35">
        <f ca="1"/>
        <v>0</v>
      </c>
    </row>
    <row r="596" spans="8:17">
      <c r="H596" s="35">
        <v>594</v>
      </c>
      <c r="I596" s="35">
        <f ca="1"/>
        <v>0</v>
      </c>
      <c r="J596" s="35">
        <f ca="1"/>
        <v>0</v>
      </c>
      <c r="K596" s="35">
        <f ca="1"/>
        <v>0</v>
      </c>
      <c r="L596" s="35">
        <f ca="1"/>
        <v>0</v>
      </c>
      <c r="M596" s="35">
        <f ca="1"/>
        <v>0</v>
      </c>
      <c r="N596" s="35">
        <f ca="1"/>
        <v>0</v>
      </c>
      <c r="O596" s="35">
        <f ca="1"/>
        <v>0</v>
      </c>
      <c r="P596" s="35">
        <f ca="1"/>
        <v>0</v>
      </c>
      <c r="Q596" s="35">
        <f ca="1"/>
        <v>0</v>
      </c>
    </row>
    <row r="597" spans="8:17">
      <c r="H597" s="35">
        <v>595</v>
      </c>
      <c r="I597" s="35">
        <f ca="1"/>
        <v>0</v>
      </c>
      <c r="J597" s="35">
        <f ca="1"/>
        <v>0</v>
      </c>
      <c r="K597" s="35">
        <f ca="1"/>
        <v>0</v>
      </c>
      <c r="L597" s="35">
        <f ca="1"/>
        <v>1</v>
      </c>
      <c r="M597" s="35">
        <f ca="1"/>
        <v>0</v>
      </c>
      <c r="N597" s="35">
        <f ca="1"/>
        <v>0</v>
      </c>
      <c r="O597" s="35">
        <f ca="1"/>
        <v>0</v>
      </c>
      <c r="P597" s="35">
        <f ca="1"/>
        <v>145854.87670248092</v>
      </c>
      <c r="Q597" s="35">
        <f ca="1"/>
        <v>145854.87670248092</v>
      </c>
    </row>
    <row r="598" spans="8:17">
      <c r="H598" s="35">
        <v>596</v>
      </c>
      <c r="I598" s="35">
        <f ca="1"/>
        <v>0</v>
      </c>
      <c r="J598" s="35">
        <f ca="1"/>
        <v>0</v>
      </c>
      <c r="K598" s="35">
        <f ca="1"/>
        <v>0</v>
      </c>
      <c r="L598" s="35">
        <f ca="1"/>
        <v>0</v>
      </c>
      <c r="M598" s="35">
        <f ca="1"/>
        <v>0</v>
      </c>
      <c r="N598" s="35">
        <f ca="1"/>
        <v>0</v>
      </c>
      <c r="O598" s="35">
        <f ca="1"/>
        <v>0</v>
      </c>
      <c r="P598" s="35">
        <f ca="1"/>
        <v>0</v>
      </c>
      <c r="Q598" s="35">
        <f ca="1"/>
        <v>0</v>
      </c>
    </row>
    <row r="599" spans="8:17">
      <c r="H599" s="35">
        <v>597</v>
      </c>
      <c r="I599" s="35">
        <f ca="1"/>
        <v>0</v>
      </c>
      <c r="J599" s="35">
        <f ca="1"/>
        <v>0</v>
      </c>
      <c r="K599" s="35">
        <f ca="1"/>
        <v>0</v>
      </c>
      <c r="L599" s="35">
        <f ca="1"/>
        <v>0</v>
      </c>
      <c r="M599" s="35">
        <f ca="1"/>
        <v>0</v>
      </c>
      <c r="N599" s="35">
        <f ca="1"/>
        <v>0</v>
      </c>
      <c r="O599" s="35">
        <f ca="1"/>
        <v>0</v>
      </c>
      <c r="P599" s="35">
        <f ca="1"/>
        <v>0</v>
      </c>
      <c r="Q599" s="35">
        <f ca="1"/>
        <v>0</v>
      </c>
    </row>
    <row r="600" spans="8:17">
      <c r="H600" s="35">
        <v>598</v>
      </c>
      <c r="I600" s="35">
        <f ca="1"/>
        <v>0</v>
      </c>
      <c r="J600" s="35">
        <f ca="1"/>
        <v>0</v>
      </c>
      <c r="K600" s="35">
        <f ca="1"/>
        <v>0</v>
      </c>
      <c r="L600" s="35">
        <f ca="1"/>
        <v>0</v>
      </c>
      <c r="M600" s="35">
        <f ca="1"/>
        <v>0</v>
      </c>
      <c r="N600" s="35">
        <f ca="1"/>
        <v>0</v>
      </c>
      <c r="O600" s="35">
        <f ca="1"/>
        <v>0</v>
      </c>
      <c r="P600" s="35">
        <f ca="1"/>
        <v>0</v>
      </c>
      <c r="Q600" s="35">
        <f ca="1"/>
        <v>0</v>
      </c>
    </row>
    <row r="601" spans="8:17">
      <c r="H601" s="35">
        <v>599</v>
      </c>
      <c r="I601" s="35">
        <f ca="1"/>
        <v>0</v>
      </c>
      <c r="J601" s="35">
        <f ca="1"/>
        <v>0</v>
      </c>
      <c r="K601" s="35">
        <f ca="1"/>
        <v>0</v>
      </c>
      <c r="L601" s="35">
        <f ca="1"/>
        <v>1</v>
      </c>
      <c r="M601" s="35">
        <f ca="1"/>
        <v>0</v>
      </c>
      <c r="N601" s="35">
        <f ca="1"/>
        <v>0</v>
      </c>
      <c r="O601" s="35">
        <f ca="1"/>
        <v>0</v>
      </c>
      <c r="P601" s="35">
        <f ca="1"/>
        <v>161046.81713803823</v>
      </c>
      <c r="Q601" s="35">
        <f ca="1"/>
        <v>161046.81713803823</v>
      </c>
    </row>
    <row r="602" spans="8:17">
      <c r="H602" s="35">
        <v>600</v>
      </c>
      <c r="I602" s="35">
        <f ca="1"/>
        <v>0</v>
      </c>
      <c r="J602" s="35">
        <f ca="1"/>
        <v>1</v>
      </c>
      <c r="K602" s="35">
        <f ca="1"/>
        <v>1</v>
      </c>
      <c r="L602" s="35">
        <f ca="1"/>
        <v>0</v>
      </c>
      <c r="M602" s="35">
        <f ca="1"/>
        <v>0</v>
      </c>
      <c r="N602" s="35">
        <f ca="1"/>
        <v>37818.07625319514</v>
      </c>
      <c r="O602" s="35">
        <f ca="1"/>
        <v>416.93339541761662</v>
      </c>
      <c r="P602" s="35">
        <f ca="1"/>
        <v>0</v>
      </c>
      <c r="Q602" s="35">
        <f ca="1"/>
        <v>38235.009648612759</v>
      </c>
    </row>
    <row r="603" spans="8:17">
      <c r="H603" s="35">
        <v>601</v>
      </c>
      <c r="I603" s="35">
        <f ca="1"/>
        <v>0</v>
      </c>
      <c r="J603" s="35">
        <f ca="1"/>
        <v>1</v>
      </c>
      <c r="K603" s="35">
        <f ca="1"/>
        <v>0</v>
      </c>
      <c r="L603" s="35">
        <f ca="1"/>
        <v>1</v>
      </c>
      <c r="M603" s="35">
        <f ca="1"/>
        <v>0</v>
      </c>
      <c r="N603" s="35">
        <f ca="1"/>
        <v>23803.490288937206</v>
      </c>
      <c r="O603" s="35">
        <f ca="1"/>
        <v>0</v>
      </c>
      <c r="P603" s="35">
        <f ca="1"/>
        <v>190649.21829359533</v>
      </c>
      <c r="Q603" s="35">
        <f ca="1"/>
        <v>214452.70858253253</v>
      </c>
    </row>
    <row r="604" spans="8:17">
      <c r="H604" s="35">
        <v>602</v>
      </c>
      <c r="I604" s="35">
        <f ca="1"/>
        <v>0</v>
      </c>
      <c r="J604" s="35">
        <f ca="1"/>
        <v>1</v>
      </c>
      <c r="K604" s="35">
        <f ca="1"/>
        <v>0</v>
      </c>
      <c r="L604" s="35">
        <f ca="1"/>
        <v>1</v>
      </c>
      <c r="M604" s="35">
        <f ca="1"/>
        <v>0</v>
      </c>
      <c r="N604" s="35">
        <f ca="1"/>
        <v>19557.204034315677</v>
      </c>
      <c r="O604" s="35">
        <f ca="1"/>
        <v>0</v>
      </c>
      <c r="P604" s="35">
        <f ca="1"/>
        <v>128665.48091254184</v>
      </c>
      <c r="Q604" s="35">
        <f ca="1"/>
        <v>148222.68494685751</v>
      </c>
    </row>
    <row r="605" spans="8:17">
      <c r="H605" s="35">
        <v>603</v>
      </c>
      <c r="I605" s="35">
        <f ca="1"/>
        <v>0</v>
      </c>
      <c r="J605" s="35">
        <f ca="1"/>
        <v>0</v>
      </c>
      <c r="K605" s="35">
        <f ca="1"/>
        <v>0</v>
      </c>
      <c r="L605" s="35">
        <f ca="1"/>
        <v>1</v>
      </c>
      <c r="M605" s="35">
        <f ca="1"/>
        <v>0</v>
      </c>
      <c r="N605" s="35">
        <f ca="1"/>
        <v>0</v>
      </c>
      <c r="O605" s="35">
        <f ca="1"/>
        <v>0</v>
      </c>
      <c r="P605" s="35">
        <f ca="1"/>
        <v>108771.13208028713</v>
      </c>
      <c r="Q605" s="35">
        <f ca="1"/>
        <v>108771.13208028713</v>
      </c>
    </row>
    <row r="606" spans="8:17">
      <c r="H606" s="35">
        <v>604</v>
      </c>
      <c r="I606" s="35">
        <f ca="1"/>
        <v>0</v>
      </c>
      <c r="J606" s="35">
        <f ca="1"/>
        <v>0</v>
      </c>
      <c r="K606" s="35">
        <f ca="1"/>
        <v>0</v>
      </c>
      <c r="L606" s="35">
        <f ca="1"/>
        <v>0</v>
      </c>
      <c r="M606" s="35">
        <f ca="1"/>
        <v>0</v>
      </c>
      <c r="N606" s="35">
        <f ca="1"/>
        <v>0</v>
      </c>
      <c r="O606" s="35">
        <f ca="1"/>
        <v>0</v>
      </c>
      <c r="P606" s="35">
        <f ca="1"/>
        <v>0</v>
      </c>
      <c r="Q606" s="35">
        <f ca="1"/>
        <v>0</v>
      </c>
    </row>
    <row r="607" spans="8:17">
      <c r="H607" s="35">
        <v>605</v>
      </c>
      <c r="I607" s="35">
        <f ca="1"/>
        <v>0</v>
      </c>
      <c r="J607" s="35">
        <f ca="1"/>
        <v>1</v>
      </c>
      <c r="K607" s="35">
        <f ca="1"/>
        <v>0</v>
      </c>
      <c r="L607" s="35">
        <f ca="1"/>
        <v>1</v>
      </c>
      <c r="M607" s="35">
        <f ca="1"/>
        <v>0</v>
      </c>
      <c r="N607" s="35">
        <f ca="1"/>
        <v>45574.147648333732</v>
      </c>
      <c r="O607" s="35">
        <f ca="1"/>
        <v>0</v>
      </c>
      <c r="P607" s="35">
        <f ca="1"/>
        <v>108455.58701089666</v>
      </c>
      <c r="Q607" s="35">
        <f ca="1"/>
        <v>154029.73465923039</v>
      </c>
    </row>
    <row r="608" spans="8:17">
      <c r="H608" s="35">
        <v>606</v>
      </c>
      <c r="I608" s="35">
        <f ca="1"/>
        <v>0</v>
      </c>
      <c r="J608" s="35">
        <f ca="1"/>
        <v>1</v>
      </c>
      <c r="K608" s="35">
        <f ca="1"/>
        <v>0</v>
      </c>
      <c r="L608" s="35">
        <f ca="1"/>
        <v>1</v>
      </c>
      <c r="M608" s="35">
        <f ca="1"/>
        <v>0</v>
      </c>
      <c r="N608" s="35">
        <f ca="1"/>
        <v>63886.351773100156</v>
      </c>
      <c r="O608" s="35">
        <f ca="1"/>
        <v>0</v>
      </c>
      <c r="P608" s="35">
        <f ca="1"/>
        <v>176716.89902021864</v>
      </c>
      <c r="Q608" s="35">
        <f ca="1"/>
        <v>240603.25079331879</v>
      </c>
    </row>
    <row r="609" spans="8:17">
      <c r="H609" s="35">
        <v>607</v>
      </c>
      <c r="I609" s="35">
        <f ca="1"/>
        <v>0</v>
      </c>
      <c r="J609" s="35">
        <f ca="1"/>
        <v>0</v>
      </c>
      <c r="K609" s="35">
        <f ca="1"/>
        <v>0</v>
      </c>
      <c r="L609" s="35">
        <f ca="1"/>
        <v>1</v>
      </c>
      <c r="M609" s="35">
        <f ca="1"/>
        <v>0</v>
      </c>
      <c r="N609" s="35">
        <f ca="1"/>
        <v>0</v>
      </c>
      <c r="O609" s="35">
        <f ca="1"/>
        <v>0</v>
      </c>
      <c r="P609" s="35">
        <f ca="1"/>
        <v>134594.93994432577</v>
      </c>
      <c r="Q609" s="35">
        <f ca="1"/>
        <v>134594.93994432577</v>
      </c>
    </row>
    <row r="610" spans="8:17">
      <c r="H610" s="35">
        <v>608</v>
      </c>
      <c r="I610" s="35">
        <f ca="1"/>
        <v>0</v>
      </c>
      <c r="J610" s="35">
        <f ca="1"/>
        <v>0</v>
      </c>
      <c r="K610" s="35">
        <f ca="1"/>
        <v>0</v>
      </c>
      <c r="L610" s="35">
        <f ca="1"/>
        <v>1</v>
      </c>
      <c r="M610" s="35">
        <f ca="1"/>
        <v>0</v>
      </c>
      <c r="N610" s="35">
        <f ca="1"/>
        <v>0</v>
      </c>
      <c r="O610" s="35">
        <f ca="1"/>
        <v>0</v>
      </c>
      <c r="P610" s="35">
        <f ca="1"/>
        <v>158181.6295726831</v>
      </c>
      <c r="Q610" s="35">
        <f ca="1"/>
        <v>158181.6295726831</v>
      </c>
    </row>
    <row r="611" spans="8:17">
      <c r="H611" s="35">
        <v>609</v>
      </c>
      <c r="I611" s="35">
        <f ca="1"/>
        <v>1</v>
      </c>
      <c r="J611" s="35">
        <f ca="1"/>
        <v>0</v>
      </c>
      <c r="K611" s="35">
        <f ca="1"/>
        <v>0</v>
      </c>
      <c r="L611" s="35">
        <f ca="1"/>
        <v>1</v>
      </c>
      <c r="M611" s="35">
        <f ca="1"/>
        <v>12532.623382031466</v>
      </c>
      <c r="N611" s="35">
        <f ca="1"/>
        <v>0</v>
      </c>
      <c r="O611" s="35">
        <f ca="1"/>
        <v>0</v>
      </c>
      <c r="P611" s="35">
        <f ca="1"/>
        <v>71969.498605237546</v>
      </c>
      <c r="Q611" s="35">
        <f ca="1"/>
        <v>84502.121987269013</v>
      </c>
    </row>
    <row r="612" spans="8:17">
      <c r="H612" s="35">
        <v>610</v>
      </c>
      <c r="I612" s="35">
        <f ca="1"/>
        <v>1</v>
      </c>
      <c r="J612" s="35">
        <f ca="1"/>
        <v>0</v>
      </c>
      <c r="K612" s="35">
        <f ca="1"/>
        <v>0</v>
      </c>
      <c r="L612" s="35">
        <f ca="1"/>
        <v>0</v>
      </c>
      <c r="M612" s="35">
        <f ca="1"/>
        <v>12115.523007467174</v>
      </c>
      <c r="N612" s="35">
        <f ca="1"/>
        <v>0</v>
      </c>
      <c r="O612" s="35">
        <f ca="1"/>
        <v>0</v>
      </c>
      <c r="P612" s="35">
        <f ca="1"/>
        <v>0</v>
      </c>
      <c r="Q612" s="35">
        <f ca="1"/>
        <v>12115.523007467174</v>
      </c>
    </row>
    <row r="613" spans="8:17">
      <c r="H613" s="35">
        <v>611</v>
      </c>
      <c r="I613" s="35">
        <f ca="1"/>
        <v>0</v>
      </c>
      <c r="J613" s="35">
        <f ca="1"/>
        <v>1</v>
      </c>
      <c r="K613" s="35">
        <f ca="1"/>
        <v>0</v>
      </c>
      <c r="L613" s="35">
        <f ca="1"/>
        <v>1</v>
      </c>
      <c r="M613" s="35">
        <f ca="1"/>
        <v>0</v>
      </c>
      <c r="N613" s="35">
        <f ca="1"/>
        <v>28372.613311125147</v>
      </c>
      <c r="O613" s="35">
        <f ca="1"/>
        <v>0</v>
      </c>
      <c r="P613" s="35">
        <f ca="1"/>
        <v>159137.64732637699</v>
      </c>
      <c r="Q613" s="35">
        <f ca="1"/>
        <v>187510.26063750213</v>
      </c>
    </row>
    <row r="614" spans="8:17">
      <c r="H614" s="35">
        <v>612</v>
      </c>
      <c r="I614" s="35">
        <f ca="1"/>
        <v>0</v>
      </c>
      <c r="J614" s="35">
        <f ca="1"/>
        <v>0</v>
      </c>
      <c r="K614" s="35">
        <f ca="1"/>
        <v>0</v>
      </c>
      <c r="L614" s="35">
        <f ca="1"/>
        <v>1</v>
      </c>
      <c r="M614" s="35">
        <f ca="1"/>
        <v>0</v>
      </c>
      <c r="N614" s="35">
        <f ca="1"/>
        <v>0</v>
      </c>
      <c r="O614" s="35">
        <f ca="1"/>
        <v>0</v>
      </c>
      <c r="P614" s="35">
        <f ca="1"/>
        <v>70224.931672774386</v>
      </c>
      <c r="Q614" s="35">
        <f ca="1"/>
        <v>70224.931672774386</v>
      </c>
    </row>
    <row r="615" spans="8:17">
      <c r="H615" s="35">
        <v>613</v>
      </c>
      <c r="I615" s="35">
        <f ca="1"/>
        <v>0</v>
      </c>
      <c r="J615" s="35">
        <f ca="1"/>
        <v>0</v>
      </c>
      <c r="K615" s="35">
        <f ca="1"/>
        <v>0</v>
      </c>
      <c r="L615" s="35">
        <f ca="1"/>
        <v>1</v>
      </c>
      <c r="M615" s="35">
        <f ca="1"/>
        <v>0</v>
      </c>
      <c r="N615" s="35">
        <f ca="1"/>
        <v>0</v>
      </c>
      <c r="O615" s="35">
        <f ca="1"/>
        <v>0</v>
      </c>
      <c r="P615" s="35">
        <f ca="1"/>
        <v>161836.76687510722</v>
      </c>
      <c r="Q615" s="35">
        <f ca="1"/>
        <v>161836.76687510722</v>
      </c>
    </row>
    <row r="616" spans="8:17">
      <c r="H616" s="35">
        <v>614</v>
      </c>
      <c r="I616" s="35">
        <f ca="1"/>
        <v>1</v>
      </c>
      <c r="J616" s="35">
        <f ca="1"/>
        <v>0</v>
      </c>
      <c r="K616" s="35">
        <f ca="1"/>
        <v>0</v>
      </c>
      <c r="L616" s="35">
        <f ca="1"/>
        <v>1</v>
      </c>
      <c r="M616" s="35">
        <f ca="1"/>
        <v>5540.1621464941918</v>
      </c>
      <c r="N616" s="35">
        <f ca="1"/>
        <v>0</v>
      </c>
      <c r="O616" s="35">
        <f ca="1"/>
        <v>0</v>
      </c>
      <c r="P616" s="35">
        <f ca="1"/>
        <v>179455.28503328323</v>
      </c>
      <c r="Q616" s="35">
        <f ca="1"/>
        <v>184995.44717977743</v>
      </c>
    </row>
    <row r="617" spans="8:17">
      <c r="H617" s="35">
        <v>615</v>
      </c>
      <c r="I617" s="35">
        <f ca="1"/>
        <v>0</v>
      </c>
      <c r="J617" s="35">
        <f ca="1"/>
        <v>0</v>
      </c>
      <c r="K617" s="35">
        <f ca="1"/>
        <v>1</v>
      </c>
      <c r="L617" s="35">
        <f ca="1"/>
        <v>0</v>
      </c>
      <c r="M617" s="35">
        <f ca="1"/>
        <v>0</v>
      </c>
      <c r="N617" s="35">
        <f ca="1"/>
        <v>0</v>
      </c>
      <c r="O617" s="35">
        <f ca="1"/>
        <v>252.31881445986548</v>
      </c>
      <c r="P617" s="35">
        <f ca="1"/>
        <v>0</v>
      </c>
      <c r="Q617" s="35">
        <f ca="1"/>
        <v>252.31881445986548</v>
      </c>
    </row>
    <row r="618" spans="8:17">
      <c r="H618" s="35">
        <v>616</v>
      </c>
      <c r="I618" s="35">
        <f ca="1"/>
        <v>0</v>
      </c>
      <c r="J618" s="35">
        <f ca="1"/>
        <v>1</v>
      </c>
      <c r="K618" s="35">
        <f ca="1"/>
        <v>0</v>
      </c>
      <c r="L618" s="35">
        <f ca="1"/>
        <v>1</v>
      </c>
      <c r="M618" s="35">
        <f ca="1"/>
        <v>0</v>
      </c>
      <c r="N618" s="35">
        <f ca="1"/>
        <v>15642.13007708881</v>
      </c>
      <c r="O618" s="35">
        <f ca="1"/>
        <v>0</v>
      </c>
      <c r="P618" s="35">
        <f ca="1"/>
        <v>113730.7553672112</v>
      </c>
      <c r="Q618" s="35">
        <f ca="1"/>
        <v>129372.8854443</v>
      </c>
    </row>
    <row r="619" spans="8:17">
      <c r="H619" s="35">
        <v>617</v>
      </c>
      <c r="I619" s="35">
        <f ca="1"/>
        <v>0</v>
      </c>
      <c r="J619" s="35">
        <f ca="1"/>
        <v>0</v>
      </c>
      <c r="K619" s="35">
        <f ca="1"/>
        <v>0</v>
      </c>
      <c r="L619" s="35">
        <f ca="1"/>
        <v>0</v>
      </c>
      <c r="M619" s="35">
        <f ca="1"/>
        <v>0</v>
      </c>
      <c r="N619" s="35">
        <f ca="1"/>
        <v>0</v>
      </c>
      <c r="O619" s="35">
        <f ca="1"/>
        <v>0</v>
      </c>
      <c r="P619" s="35">
        <f ca="1"/>
        <v>0</v>
      </c>
      <c r="Q619" s="35">
        <f ca="1"/>
        <v>0</v>
      </c>
    </row>
    <row r="620" spans="8:17">
      <c r="H620" s="35">
        <v>618</v>
      </c>
      <c r="I620" s="35">
        <f ca="1"/>
        <v>0</v>
      </c>
      <c r="J620" s="35">
        <f ca="1"/>
        <v>0</v>
      </c>
      <c r="K620" s="35">
        <f ca="1"/>
        <v>1</v>
      </c>
      <c r="L620" s="35">
        <f ca="1"/>
        <v>1</v>
      </c>
      <c r="M620" s="35">
        <f ca="1"/>
        <v>0</v>
      </c>
      <c r="N620" s="35">
        <f ca="1"/>
        <v>0</v>
      </c>
      <c r="O620" s="35">
        <f ca="1"/>
        <v>216.56557157464238</v>
      </c>
      <c r="P620" s="35">
        <f ca="1"/>
        <v>134048.3571687385</v>
      </c>
      <c r="Q620" s="35">
        <f ca="1"/>
        <v>134264.92274031314</v>
      </c>
    </row>
    <row r="621" spans="8:17">
      <c r="H621" s="35">
        <v>619</v>
      </c>
      <c r="I621" s="35">
        <f ca="1"/>
        <v>1</v>
      </c>
      <c r="J621" s="35">
        <f ca="1"/>
        <v>0</v>
      </c>
      <c r="K621" s="35">
        <f ca="1"/>
        <v>0</v>
      </c>
      <c r="L621" s="35">
        <f ca="1"/>
        <v>1</v>
      </c>
      <c r="M621" s="35">
        <f ca="1"/>
        <v>2627.0205763527401</v>
      </c>
      <c r="N621" s="35">
        <f ca="1"/>
        <v>0</v>
      </c>
      <c r="O621" s="35">
        <f ca="1"/>
        <v>0</v>
      </c>
      <c r="P621" s="35">
        <f ca="1"/>
        <v>113006.83476796257</v>
      </c>
      <c r="Q621" s="35">
        <f ca="1"/>
        <v>115633.85534431531</v>
      </c>
    </row>
    <row r="622" spans="8:17">
      <c r="H622" s="35">
        <v>620</v>
      </c>
      <c r="I622" s="35">
        <f ca="1"/>
        <v>1</v>
      </c>
      <c r="J622" s="35">
        <f ca="1"/>
        <v>0</v>
      </c>
      <c r="K622" s="35">
        <f ca="1"/>
        <v>0</v>
      </c>
      <c r="L622" s="35">
        <f ca="1"/>
        <v>1</v>
      </c>
      <c r="M622" s="35">
        <f ca="1"/>
        <v>9090.3496178433579</v>
      </c>
      <c r="N622" s="35">
        <f ca="1"/>
        <v>0</v>
      </c>
      <c r="O622" s="35">
        <f ca="1"/>
        <v>0</v>
      </c>
      <c r="P622" s="35">
        <f ca="1"/>
        <v>140651.87830320615</v>
      </c>
      <c r="Q622" s="35">
        <f ca="1"/>
        <v>149742.22792104952</v>
      </c>
    </row>
    <row r="623" spans="8:17">
      <c r="H623" s="35">
        <v>621</v>
      </c>
      <c r="I623" s="35">
        <f ca="1"/>
        <v>0</v>
      </c>
      <c r="J623" s="35">
        <f ca="1"/>
        <v>0</v>
      </c>
      <c r="K623" s="35">
        <f ca="1"/>
        <v>0</v>
      </c>
      <c r="L623" s="35">
        <f ca="1"/>
        <v>1</v>
      </c>
      <c r="M623" s="35">
        <f ca="1"/>
        <v>0</v>
      </c>
      <c r="N623" s="35">
        <f ca="1"/>
        <v>0</v>
      </c>
      <c r="O623" s="35">
        <f ca="1"/>
        <v>0</v>
      </c>
      <c r="P623" s="35">
        <f ca="1"/>
        <v>61910.227611830975</v>
      </c>
      <c r="Q623" s="35">
        <f ca="1"/>
        <v>61910.227611830975</v>
      </c>
    </row>
    <row r="624" spans="8:17">
      <c r="H624" s="35">
        <v>622</v>
      </c>
      <c r="I624" s="35">
        <f ca="1"/>
        <v>1</v>
      </c>
      <c r="J624" s="35">
        <f ca="1"/>
        <v>0</v>
      </c>
      <c r="K624" s="35">
        <f ca="1"/>
        <v>0</v>
      </c>
      <c r="L624" s="35">
        <f ca="1"/>
        <v>1</v>
      </c>
      <c r="M624" s="35">
        <f ca="1"/>
        <v>6609.6210755248603</v>
      </c>
      <c r="N624" s="35">
        <f ca="1"/>
        <v>0</v>
      </c>
      <c r="O624" s="35">
        <f ca="1"/>
        <v>0</v>
      </c>
      <c r="P624" s="35">
        <f ca="1"/>
        <v>174834.87240546389</v>
      </c>
      <c r="Q624" s="35">
        <f ca="1"/>
        <v>181444.49348098875</v>
      </c>
    </row>
    <row r="625" spans="8:17">
      <c r="H625" s="35">
        <v>623</v>
      </c>
      <c r="I625" s="35">
        <f ca="1"/>
        <v>1</v>
      </c>
      <c r="J625" s="35">
        <f ca="1"/>
        <v>1</v>
      </c>
      <c r="K625" s="35">
        <f ca="1"/>
        <v>1</v>
      </c>
      <c r="L625" s="35">
        <f ca="1"/>
        <v>1</v>
      </c>
      <c r="M625" s="35">
        <f ca="1"/>
        <v>8270.4720605097446</v>
      </c>
      <c r="N625" s="35">
        <f ca="1"/>
        <v>29011.574136685798</v>
      </c>
      <c r="O625" s="35">
        <f ca="1"/>
        <v>300.11614788164229</v>
      </c>
      <c r="P625" s="35">
        <f ca="1"/>
        <v>38129.777217233466</v>
      </c>
      <c r="Q625" s="35">
        <f ca="1"/>
        <v>75711.939562310654</v>
      </c>
    </row>
    <row r="626" spans="8:17">
      <c r="H626" s="35">
        <v>624</v>
      </c>
      <c r="I626" s="35">
        <f ca="1"/>
        <v>1</v>
      </c>
      <c r="J626" s="35">
        <f ca="1"/>
        <v>0</v>
      </c>
      <c r="K626" s="35">
        <f ca="1"/>
        <v>1</v>
      </c>
      <c r="L626" s="35">
        <f ca="1"/>
        <v>1</v>
      </c>
      <c r="M626" s="35">
        <f ca="1"/>
        <v>7050.8364387130296</v>
      </c>
      <c r="N626" s="35">
        <f ca="1"/>
        <v>0</v>
      </c>
      <c r="O626" s="35">
        <f ca="1"/>
        <v>189.21921135330936</v>
      </c>
      <c r="P626" s="35">
        <f ca="1"/>
        <v>160347.52884727364</v>
      </c>
      <c r="Q626" s="35">
        <f ca="1"/>
        <v>167587.58449733999</v>
      </c>
    </row>
    <row r="627" spans="8:17">
      <c r="H627" s="35">
        <v>625</v>
      </c>
      <c r="I627" s="35">
        <f ca="1"/>
        <v>0</v>
      </c>
      <c r="J627" s="35">
        <f ca="1"/>
        <v>0</v>
      </c>
      <c r="K627" s="35">
        <f ca="1"/>
        <v>0</v>
      </c>
      <c r="L627" s="35">
        <f ca="1"/>
        <v>1</v>
      </c>
      <c r="M627" s="35">
        <f ca="1"/>
        <v>0</v>
      </c>
      <c r="N627" s="35">
        <f ca="1"/>
        <v>0</v>
      </c>
      <c r="O627" s="35">
        <f ca="1"/>
        <v>0</v>
      </c>
      <c r="P627" s="35">
        <f ca="1"/>
        <v>74585.54724085948</v>
      </c>
      <c r="Q627" s="35">
        <f ca="1"/>
        <v>74585.54724085948</v>
      </c>
    </row>
    <row r="628" spans="8:17">
      <c r="H628" s="35">
        <v>626</v>
      </c>
      <c r="I628" s="35">
        <f ca="1"/>
        <v>0</v>
      </c>
      <c r="J628" s="35">
        <f ca="1"/>
        <v>1</v>
      </c>
      <c r="K628" s="35">
        <f ca="1"/>
        <v>0</v>
      </c>
      <c r="L628" s="35">
        <f ca="1"/>
        <v>1</v>
      </c>
      <c r="M628" s="35">
        <f ca="1"/>
        <v>0</v>
      </c>
      <c r="N628" s="35">
        <f ca="1"/>
        <v>14319.874951798081</v>
      </c>
      <c r="O628" s="35">
        <f ca="1"/>
        <v>0</v>
      </c>
      <c r="P628" s="35">
        <f ca="1"/>
        <v>202171.46226929416</v>
      </c>
      <c r="Q628" s="35">
        <f ca="1"/>
        <v>216491.33722109225</v>
      </c>
    </row>
    <row r="629" spans="8:17">
      <c r="H629" s="35">
        <v>627</v>
      </c>
      <c r="I629" s="35">
        <f ca="1"/>
        <v>0</v>
      </c>
      <c r="J629" s="35">
        <f ca="1"/>
        <v>0</v>
      </c>
      <c r="K629" s="35">
        <f ca="1"/>
        <v>0</v>
      </c>
      <c r="L629" s="35">
        <f ca="1"/>
        <v>0</v>
      </c>
      <c r="M629" s="35">
        <f ca="1"/>
        <v>0</v>
      </c>
      <c r="N629" s="35">
        <f ca="1"/>
        <v>0</v>
      </c>
      <c r="O629" s="35">
        <f ca="1"/>
        <v>0</v>
      </c>
      <c r="P629" s="35">
        <f ca="1"/>
        <v>0</v>
      </c>
      <c r="Q629" s="35">
        <f ca="1"/>
        <v>0</v>
      </c>
    </row>
    <row r="630" spans="8:17">
      <c r="H630" s="35">
        <v>628</v>
      </c>
      <c r="I630" s="35">
        <f ca="1"/>
        <v>0</v>
      </c>
      <c r="J630" s="35">
        <f ca="1"/>
        <v>1</v>
      </c>
      <c r="K630" s="35">
        <f ca="1"/>
        <v>0</v>
      </c>
      <c r="L630" s="35">
        <f ca="1"/>
        <v>1</v>
      </c>
      <c r="M630" s="35">
        <f ca="1"/>
        <v>0</v>
      </c>
      <c r="N630" s="35">
        <f ca="1"/>
        <v>44171.515855663332</v>
      </c>
      <c r="O630" s="35">
        <f ca="1"/>
        <v>0</v>
      </c>
      <c r="P630" s="35">
        <f ca="1"/>
        <v>67721.515219579873</v>
      </c>
      <c r="Q630" s="35">
        <f ca="1"/>
        <v>111893.0310752432</v>
      </c>
    </row>
    <row r="631" spans="8:17">
      <c r="H631" s="35">
        <v>629</v>
      </c>
      <c r="I631" s="35">
        <f ca="1"/>
        <v>0</v>
      </c>
      <c r="J631" s="35">
        <f ca="1"/>
        <v>1</v>
      </c>
      <c r="K631" s="35">
        <f ca="1"/>
        <v>0</v>
      </c>
      <c r="L631" s="35">
        <f ca="1"/>
        <v>0</v>
      </c>
      <c r="M631" s="35">
        <f ca="1"/>
        <v>0</v>
      </c>
      <c r="N631" s="35">
        <f ca="1"/>
        <v>51964.587243968235</v>
      </c>
      <c r="O631" s="35">
        <f ca="1"/>
        <v>0</v>
      </c>
      <c r="P631" s="35">
        <f ca="1"/>
        <v>0</v>
      </c>
      <c r="Q631" s="35">
        <f ca="1"/>
        <v>51964.587243968235</v>
      </c>
    </row>
    <row r="632" spans="8:17">
      <c r="H632" s="35">
        <v>630</v>
      </c>
      <c r="I632" s="35">
        <f ca="1"/>
        <v>0</v>
      </c>
      <c r="J632" s="35">
        <f ca="1"/>
        <v>1</v>
      </c>
      <c r="K632" s="35">
        <f ca="1"/>
        <v>0</v>
      </c>
      <c r="L632" s="35">
        <f ca="1"/>
        <v>1</v>
      </c>
      <c r="M632" s="35">
        <f ca="1"/>
        <v>0</v>
      </c>
      <c r="N632" s="35">
        <f ca="1"/>
        <v>25061.680997727377</v>
      </c>
      <c r="O632" s="35">
        <f ca="1"/>
        <v>0</v>
      </c>
      <c r="P632" s="35">
        <f ca="1"/>
        <v>139933.83911582938</v>
      </c>
      <c r="Q632" s="35">
        <f ca="1"/>
        <v>164995.52011355676</v>
      </c>
    </row>
    <row r="633" spans="8:17">
      <c r="H633" s="35">
        <v>631</v>
      </c>
      <c r="I633" s="35">
        <f ca="1"/>
        <v>0</v>
      </c>
      <c r="J633" s="35">
        <f ca="1"/>
        <v>0</v>
      </c>
      <c r="K633" s="35">
        <f ca="1"/>
        <v>0</v>
      </c>
      <c r="L633" s="35">
        <f ca="1"/>
        <v>1</v>
      </c>
      <c r="M633" s="35">
        <f ca="1"/>
        <v>0</v>
      </c>
      <c r="N633" s="35">
        <f ca="1"/>
        <v>0</v>
      </c>
      <c r="O633" s="35">
        <f ca="1"/>
        <v>0</v>
      </c>
      <c r="P633" s="35">
        <f ca="1"/>
        <v>211944.79651119292</v>
      </c>
      <c r="Q633" s="35">
        <f ca="1"/>
        <v>211944.79651119292</v>
      </c>
    </row>
    <row r="634" spans="8:17">
      <c r="H634" s="35">
        <v>632</v>
      </c>
      <c r="I634" s="35">
        <f ca="1"/>
        <v>0</v>
      </c>
      <c r="J634" s="35">
        <f ca="1"/>
        <v>0</v>
      </c>
      <c r="K634" s="35">
        <f ca="1"/>
        <v>0</v>
      </c>
      <c r="L634" s="35">
        <f ca="1"/>
        <v>1</v>
      </c>
      <c r="M634" s="35">
        <f ca="1"/>
        <v>0</v>
      </c>
      <c r="N634" s="35">
        <f ca="1"/>
        <v>0</v>
      </c>
      <c r="O634" s="35">
        <f ca="1"/>
        <v>0</v>
      </c>
      <c r="P634" s="35">
        <f ca="1"/>
        <v>128407.20196306656</v>
      </c>
      <c r="Q634" s="35">
        <f ca="1"/>
        <v>128407.20196306656</v>
      </c>
    </row>
    <row r="635" spans="8:17">
      <c r="H635" s="35">
        <v>633</v>
      </c>
      <c r="I635" s="35">
        <f ca="1"/>
        <v>0</v>
      </c>
      <c r="J635" s="35">
        <f ca="1"/>
        <v>0</v>
      </c>
      <c r="K635" s="35">
        <f ca="1"/>
        <v>0</v>
      </c>
      <c r="L635" s="35">
        <f ca="1"/>
        <v>0</v>
      </c>
      <c r="M635" s="35">
        <f ca="1"/>
        <v>0</v>
      </c>
      <c r="N635" s="35">
        <f ca="1"/>
        <v>0</v>
      </c>
      <c r="O635" s="35">
        <f ca="1"/>
        <v>0</v>
      </c>
      <c r="P635" s="35">
        <f ca="1"/>
        <v>0</v>
      </c>
      <c r="Q635" s="35">
        <f ca="1"/>
        <v>0</v>
      </c>
    </row>
    <row r="636" spans="8:17">
      <c r="H636" s="35">
        <v>634</v>
      </c>
      <c r="I636" s="35">
        <f ca="1"/>
        <v>0</v>
      </c>
      <c r="J636" s="35">
        <f ca="1"/>
        <v>0</v>
      </c>
      <c r="K636" s="35">
        <f ca="1"/>
        <v>0</v>
      </c>
      <c r="L636" s="35">
        <f ca="1"/>
        <v>1</v>
      </c>
      <c r="M636" s="35">
        <f ca="1"/>
        <v>0</v>
      </c>
      <c r="N636" s="35">
        <f ca="1"/>
        <v>0</v>
      </c>
      <c r="O636" s="35">
        <f ca="1"/>
        <v>0</v>
      </c>
      <c r="P636" s="35">
        <f ca="1"/>
        <v>131890.4856502726</v>
      </c>
      <c r="Q636" s="35">
        <f ca="1"/>
        <v>131890.4856502726</v>
      </c>
    </row>
    <row r="637" spans="8:17">
      <c r="H637" s="35">
        <v>635</v>
      </c>
      <c r="I637" s="35">
        <f ca="1"/>
        <v>1</v>
      </c>
      <c r="J637" s="35">
        <f ca="1"/>
        <v>0</v>
      </c>
      <c r="K637" s="35">
        <f ca="1"/>
        <v>0</v>
      </c>
      <c r="L637" s="35">
        <f ca="1"/>
        <v>1</v>
      </c>
      <c r="M637" s="35">
        <f ca="1"/>
        <v>17956.642927434677</v>
      </c>
      <c r="N637" s="35">
        <f ca="1"/>
        <v>0</v>
      </c>
      <c r="O637" s="35">
        <f ca="1"/>
        <v>0</v>
      </c>
      <c r="P637" s="35">
        <f ca="1"/>
        <v>136453.12660162247</v>
      </c>
      <c r="Q637" s="35">
        <f ca="1"/>
        <v>154409.76952905714</v>
      </c>
    </row>
    <row r="638" spans="8:17">
      <c r="H638" s="35">
        <v>636</v>
      </c>
      <c r="I638" s="35">
        <f ca="1"/>
        <v>0</v>
      </c>
      <c r="J638" s="35">
        <f ca="1"/>
        <v>0</v>
      </c>
      <c r="K638" s="35">
        <f ca="1"/>
        <v>0</v>
      </c>
      <c r="L638" s="35">
        <f ca="1"/>
        <v>0</v>
      </c>
      <c r="M638" s="35">
        <f ca="1"/>
        <v>0</v>
      </c>
      <c r="N638" s="35">
        <f ca="1"/>
        <v>0</v>
      </c>
      <c r="O638" s="35">
        <f ca="1"/>
        <v>0</v>
      </c>
      <c r="P638" s="35">
        <f ca="1"/>
        <v>0</v>
      </c>
      <c r="Q638" s="35">
        <f ca="1"/>
        <v>0</v>
      </c>
    </row>
    <row r="639" spans="8:17">
      <c r="H639" s="35">
        <v>637</v>
      </c>
      <c r="I639" s="35">
        <f ca="1"/>
        <v>0</v>
      </c>
      <c r="J639" s="35">
        <f ca="1"/>
        <v>1</v>
      </c>
      <c r="K639" s="35">
        <f ca="1"/>
        <v>0</v>
      </c>
      <c r="L639" s="35">
        <f ca="1"/>
        <v>1</v>
      </c>
      <c r="M639" s="35">
        <f ca="1"/>
        <v>0</v>
      </c>
      <c r="N639" s="35">
        <f ca="1"/>
        <v>47438.609814858501</v>
      </c>
      <c r="O639" s="35">
        <f ca="1"/>
        <v>0</v>
      </c>
      <c r="P639" s="35">
        <f ca="1"/>
        <v>133272.75162196462</v>
      </c>
      <c r="Q639" s="35">
        <f ca="1"/>
        <v>180711.36143682312</v>
      </c>
    </row>
    <row r="640" spans="8:17">
      <c r="H640" s="35">
        <v>638</v>
      </c>
      <c r="I640" s="35">
        <f ca="1"/>
        <v>0</v>
      </c>
      <c r="J640" s="35">
        <f ca="1"/>
        <v>0</v>
      </c>
      <c r="K640" s="35">
        <f ca="1"/>
        <v>1</v>
      </c>
      <c r="L640" s="35">
        <f ca="1"/>
        <v>0</v>
      </c>
      <c r="M640" s="35">
        <f ca="1"/>
        <v>0</v>
      </c>
      <c r="N640" s="35">
        <f ca="1"/>
        <v>0</v>
      </c>
      <c r="O640" s="35">
        <f ca="1"/>
        <v>235.92633711454366</v>
      </c>
      <c r="P640" s="35">
        <f ca="1"/>
        <v>0</v>
      </c>
      <c r="Q640" s="35">
        <f ca="1"/>
        <v>235.92633711454366</v>
      </c>
    </row>
    <row r="641" spans="8:17">
      <c r="H641" s="35">
        <v>639</v>
      </c>
      <c r="I641" s="35">
        <f ca="1"/>
        <v>0</v>
      </c>
      <c r="J641" s="35">
        <f ca="1"/>
        <v>1</v>
      </c>
      <c r="K641" s="35">
        <f ca="1"/>
        <v>0</v>
      </c>
      <c r="L641" s="35">
        <f ca="1"/>
        <v>1</v>
      </c>
      <c r="M641" s="35">
        <f ca="1"/>
        <v>0</v>
      </c>
      <c r="N641" s="35">
        <f ca="1"/>
        <v>49759.503496213329</v>
      </c>
      <c r="O641" s="35">
        <f ca="1"/>
        <v>0</v>
      </c>
      <c r="P641" s="35">
        <f ca="1"/>
        <v>187027.3194912122</v>
      </c>
      <c r="Q641" s="35">
        <f ca="1"/>
        <v>236786.82298742552</v>
      </c>
    </row>
    <row r="642" spans="8:17">
      <c r="H642" s="35">
        <v>640</v>
      </c>
      <c r="I642" s="35">
        <f ca="1"/>
        <v>1</v>
      </c>
      <c r="J642" s="35">
        <f ca="1"/>
        <v>0</v>
      </c>
      <c r="K642" s="35">
        <f ca="1"/>
        <v>0</v>
      </c>
      <c r="L642" s="35">
        <f ca="1"/>
        <v>1</v>
      </c>
      <c r="M642" s="35">
        <f ca="1"/>
        <v>19700.420408735041</v>
      </c>
      <c r="N642" s="35">
        <f ca="1"/>
        <v>0</v>
      </c>
      <c r="O642" s="35">
        <f ca="1"/>
        <v>0</v>
      </c>
      <c r="P642" s="35">
        <f ca="1"/>
        <v>153624.20596592556</v>
      </c>
      <c r="Q642" s="35">
        <f ca="1"/>
        <v>173324.62637466061</v>
      </c>
    </row>
    <row r="643" spans="8:17">
      <c r="H643" s="35">
        <v>641</v>
      </c>
      <c r="I643" s="35">
        <f ca="1"/>
        <v>0</v>
      </c>
      <c r="J643" s="35">
        <f ca="1"/>
        <v>0</v>
      </c>
      <c r="K643" s="35">
        <f ca="1"/>
        <v>0</v>
      </c>
      <c r="L643" s="35">
        <f ca="1"/>
        <v>1</v>
      </c>
      <c r="M643" s="35">
        <f ca="1"/>
        <v>0</v>
      </c>
      <c r="N643" s="35">
        <f ca="1"/>
        <v>0</v>
      </c>
      <c r="O643" s="35">
        <f ca="1"/>
        <v>0</v>
      </c>
      <c r="P643" s="35">
        <f ca="1"/>
        <v>187743.69978184806</v>
      </c>
      <c r="Q643" s="35">
        <f ca="1"/>
        <v>187743.69978184806</v>
      </c>
    </row>
    <row r="644" spans="8:17">
      <c r="H644" s="35">
        <v>642</v>
      </c>
      <c r="I644" s="35">
        <f ca="1"/>
        <v>0</v>
      </c>
      <c r="J644" s="35">
        <f ca="1"/>
        <v>0</v>
      </c>
      <c r="K644" s="35">
        <f ca="1"/>
        <v>0</v>
      </c>
      <c r="L644" s="35">
        <f ca="1"/>
        <v>1</v>
      </c>
      <c r="M644" s="35">
        <f ca="1"/>
        <v>0</v>
      </c>
      <c r="N644" s="35">
        <f ca="1"/>
        <v>0</v>
      </c>
      <c r="O644" s="35">
        <f ca="1"/>
        <v>0</v>
      </c>
      <c r="P644" s="35">
        <f ca="1"/>
        <v>103021.17147623195</v>
      </c>
      <c r="Q644" s="35">
        <f ca="1"/>
        <v>103021.17147623195</v>
      </c>
    </row>
    <row r="645" spans="8:17">
      <c r="H645" s="35">
        <v>643</v>
      </c>
      <c r="I645" s="35">
        <f ca="1"/>
        <v>0</v>
      </c>
      <c r="J645" s="35">
        <f ca="1"/>
        <v>0</v>
      </c>
      <c r="K645" s="35">
        <f ca="1"/>
        <v>0</v>
      </c>
      <c r="L645" s="35">
        <f ca="1"/>
        <v>1</v>
      </c>
      <c r="M645" s="35">
        <f ca="1"/>
        <v>0</v>
      </c>
      <c r="N645" s="35">
        <f ca="1"/>
        <v>0</v>
      </c>
      <c r="O645" s="35">
        <f ca="1"/>
        <v>0</v>
      </c>
      <c r="P645" s="35">
        <f ca="1"/>
        <v>152001.69291180585</v>
      </c>
      <c r="Q645" s="35">
        <f ca="1"/>
        <v>152001.69291180585</v>
      </c>
    </row>
    <row r="646" spans="8:17">
      <c r="H646" s="35">
        <v>644</v>
      </c>
      <c r="I646" s="35">
        <f ca="1"/>
        <v>0</v>
      </c>
      <c r="J646" s="35">
        <f ca="1"/>
        <v>0</v>
      </c>
      <c r="K646" s="35">
        <f ca="1"/>
        <v>0</v>
      </c>
      <c r="L646" s="35">
        <f ca="1"/>
        <v>0</v>
      </c>
      <c r="M646" s="35">
        <f ca="1"/>
        <v>0</v>
      </c>
      <c r="N646" s="35">
        <f ca="1"/>
        <v>0</v>
      </c>
      <c r="O646" s="35">
        <f ca="1"/>
        <v>0</v>
      </c>
      <c r="P646" s="35">
        <f ca="1"/>
        <v>0</v>
      </c>
      <c r="Q646" s="35">
        <f ca="1"/>
        <v>0</v>
      </c>
    </row>
    <row r="647" spans="8:17">
      <c r="H647" s="35">
        <v>645</v>
      </c>
      <c r="I647" s="35">
        <f ca="1"/>
        <v>0</v>
      </c>
      <c r="J647" s="35">
        <f ca="1"/>
        <v>0</v>
      </c>
      <c r="K647" s="35">
        <f ca="1"/>
        <v>1</v>
      </c>
      <c r="L647" s="35">
        <f ca="1"/>
        <v>0</v>
      </c>
      <c r="M647" s="35">
        <f ca="1"/>
        <v>0</v>
      </c>
      <c r="N647" s="35">
        <f ca="1"/>
        <v>0</v>
      </c>
      <c r="O647" s="35">
        <f ca="1"/>
        <v>446.44756093216603</v>
      </c>
      <c r="P647" s="35">
        <f ca="1"/>
        <v>0</v>
      </c>
      <c r="Q647" s="35">
        <f ca="1"/>
        <v>446.44756093216603</v>
      </c>
    </row>
    <row r="648" spans="8:17">
      <c r="H648" s="35">
        <v>646</v>
      </c>
      <c r="I648" s="35">
        <f ca="1"/>
        <v>0</v>
      </c>
      <c r="J648" s="35">
        <f ca="1"/>
        <v>0</v>
      </c>
      <c r="K648" s="35">
        <f ca="1"/>
        <v>1</v>
      </c>
      <c r="L648" s="35">
        <f ca="1"/>
        <v>1</v>
      </c>
      <c r="M648" s="35">
        <f ca="1"/>
        <v>0</v>
      </c>
      <c r="N648" s="35">
        <f ca="1"/>
        <v>0</v>
      </c>
      <c r="O648" s="35">
        <f ca="1"/>
        <v>168.64711197883926</v>
      </c>
      <c r="P648" s="35">
        <f ca="1"/>
        <v>159776.61546156384</v>
      </c>
      <c r="Q648" s="35">
        <f ca="1"/>
        <v>159945.26257354268</v>
      </c>
    </row>
    <row r="649" spans="8:17">
      <c r="H649" s="35">
        <v>647</v>
      </c>
      <c r="I649" s="35">
        <f ca="1"/>
        <v>0</v>
      </c>
      <c r="J649" s="35">
        <f ca="1"/>
        <v>0</v>
      </c>
      <c r="K649" s="35">
        <f ca="1"/>
        <v>1</v>
      </c>
      <c r="L649" s="35">
        <f ca="1"/>
        <v>1</v>
      </c>
      <c r="M649" s="35">
        <f ca="1"/>
        <v>0</v>
      </c>
      <c r="N649" s="35">
        <f ca="1"/>
        <v>0</v>
      </c>
      <c r="O649" s="35">
        <f ca="1"/>
        <v>96.31219365582875</v>
      </c>
      <c r="P649" s="35">
        <f ca="1"/>
        <v>123723.13149532571</v>
      </c>
      <c r="Q649" s="35">
        <f ca="1"/>
        <v>123819.44368898154</v>
      </c>
    </row>
    <row r="650" spans="8:17">
      <c r="H650" s="35">
        <v>648</v>
      </c>
      <c r="I650" s="35">
        <f ca="1"/>
        <v>0</v>
      </c>
      <c r="J650" s="35">
        <f ca="1"/>
        <v>0</v>
      </c>
      <c r="K650" s="35">
        <f ca="1"/>
        <v>1</v>
      </c>
      <c r="L650" s="35">
        <f ca="1"/>
        <v>0</v>
      </c>
      <c r="M650" s="35">
        <f ca="1"/>
        <v>0</v>
      </c>
      <c r="N650" s="35">
        <f ca="1"/>
        <v>0</v>
      </c>
      <c r="O650" s="35">
        <f ca="1"/>
        <v>697.35708379232017</v>
      </c>
      <c r="P650" s="35">
        <f ca="1"/>
        <v>0</v>
      </c>
      <c r="Q650" s="35">
        <f ca="1"/>
        <v>697.35708379232017</v>
      </c>
    </row>
    <row r="651" spans="8:17">
      <c r="H651" s="35">
        <v>649</v>
      </c>
      <c r="I651" s="35">
        <f ca="1"/>
        <v>0</v>
      </c>
      <c r="J651" s="35">
        <f ca="1"/>
        <v>0</v>
      </c>
      <c r="K651" s="35">
        <f ca="1"/>
        <v>0</v>
      </c>
      <c r="L651" s="35">
        <f ca="1"/>
        <v>1</v>
      </c>
      <c r="M651" s="35">
        <f ca="1"/>
        <v>0</v>
      </c>
      <c r="N651" s="35">
        <f ca="1"/>
        <v>0</v>
      </c>
      <c r="O651" s="35">
        <f ca="1"/>
        <v>0</v>
      </c>
      <c r="P651" s="35">
        <f ca="1"/>
        <v>96953.313038567532</v>
      </c>
      <c r="Q651" s="35">
        <f ca="1"/>
        <v>96953.313038567532</v>
      </c>
    </row>
    <row r="652" spans="8:17">
      <c r="H652" s="35">
        <v>650</v>
      </c>
      <c r="I652" s="35">
        <f ca="1"/>
        <v>0</v>
      </c>
      <c r="J652" s="35">
        <f ca="1"/>
        <v>0</v>
      </c>
      <c r="K652" s="35">
        <f ca="1"/>
        <v>0</v>
      </c>
      <c r="L652" s="35">
        <f ca="1"/>
        <v>1</v>
      </c>
      <c r="M652" s="35">
        <f ca="1"/>
        <v>0</v>
      </c>
      <c r="N652" s="35">
        <f ca="1"/>
        <v>0</v>
      </c>
      <c r="O652" s="35">
        <f ca="1"/>
        <v>0</v>
      </c>
      <c r="P652" s="35">
        <f ca="1"/>
        <v>166327.37356057006</v>
      </c>
      <c r="Q652" s="35">
        <f ca="1"/>
        <v>166327.37356057006</v>
      </c>
    </row>
    <row r="653" spans="8:17">
      <c r="H653" s="35">
        <v>651</v>
      </c>
      <c r="I653" s="35">
        <f ca="1"/>
        <v>0</v>
      </c>
      <c r="J653" s="35">
        <f ca="1"/>
        <v>0</v>
      </c>
      <c r="K653" s="35">
        <f ca="1"/>
        <v>0</v>
      </c>
      <c r="L653" s="35">
        <f ca="1"/>
        <v>1</v>
      </c>
      <c r="M653" s="35">
        <f ca="1"/>
        <v>0</v>
      </c>
      <c r="N653" s="35">
        <f ca="1"/>
        <v>0</v>
      </c>
      <c r="O653" s="35">
        <f ca="1"/>
        <v>0</v>
      </c>
      <c r="P653" s="35">
        <f ca="1"/>
        <v>224061.11893015698</v>
      </c>
      <c r="Q653" s="35">
        <f ca="1"/>
        <v>224061.11893015698</v>
      </c>
    </row>
    <row r="654" spans="8:17">
      <c r="H654" s="35">
        <v>652</v>
      </c>
      <c r="I654" s="35">
        <f ca="1"/>
        <v>0</v>
      </c>
      <c r="J654" s="35">
        <f ca="1"/>
        <v>0</v>
      </c>
      <c r="K654" s="35">
        <f ca="1"/>
        <v>0</v>
      </c>
      <c r="L654" s="35">
        <f ca="1"/>
        <v>0</v>
      </c>
      <c r="M654" s="35">
        <f ca="1"/>
        <v>0</v>
      </c>
      <c r="N654" s="35">
        <f ca="1"/>
        <v>0</v>
      </c>
      <c r="O654" s="35">
        <f ca="1"/>
        <v>0</v>
      </c>
      <c r="P654" s="35">
        <f ca="1"/>
        <v>0</v>
      </c>
      <c r="Q654" s="35">
        <f ca="1"/>
        <v>0</v>
      </c>
    </row>
    <row r="655" spans="8:17">
      <c r="H655" s="35">
        <v>653</v>
      </c>
      <c r="I655" s="35">
        <f ca="1"/>
        <v>0</v>
      </c>
      <c r="J655" s="35">
        <f ca="1"/>
        <v>0</v>
      </c>
      <c r="K655" s="35">
        <f ca="1"/>
        <v>0</v>
      </c>
      <c r="L655" s="35">
        <f ca="1"/>
        <v>1</v>
      </c>
      <c r="M655" s="35">
        <f ca="1"/>
        <v>0</v>
      </c>
      <c r="N655" s="35">
        <f ca="1"/>
        <v>0</v>
      </c>
      <c r="O655" s="35">
        <f ca="1"/>
        <v>0</v>
      </c>
      <c r="P655" s="35">
        <f ca="1"/>
        <v>109544.65820581002</v>
      </c>
      <c r="Q655" s="35">
        <f ca="1"/>
        <v>109544.65820581002</v>
      </c>
    </row>
    <row r="656" spans="8:17">
      <c r="H656" s="35">
        <v>654</v>
      </c>
      <c r="I656" s="35">
        <f ca="1"/>
        <v>0</v>
      </c>
      <c r="J656" s="35">
        <f ca="1"/>
        <v>0</v>
      </c>
      <c r="K656" s="35">
        <f ca="1"/>
        <v>1</v>
      </c>
      <c r="L656" s="35">
        <f ca="1"/>
        <v>1</v>
      </c>
      <c r="M656" s="35">
        <f ca="1"/>
        <v>0</v>
      </c>
      <c r="N656" s="35">
        <f ca="1"/>
        <v>0</v>
      </c>
      <c r="O656" s="35">
        <f ca="1"/>
        <v>199.75411119011287</v>
      </c>
      <c r="P656" s="35">
        <f ca="1"/>
        <v>170502.78191298575</v>
      </c>
      <c r="Q656" s="35">
        <f ca="1"/>
        <v>170702.53602417588</v>
      </c>
    </row>
    <row r="657" spans="8:17">
      <c r="H657" s="35">
        <v>655</v>
      </c>
      <c r="I657" s="35">
        <f ca="1"/>
        <v>0</v>
      </c>
      <c r="J657" s="35">
        <f ca="1"/>
        <v>0</v>
      </c>
      <c r="K657" s="35">
        <f ca="1"/>
        <v>1</v>
      </c>
      <c r="L657" s="35">
        <f ca="1"/>
        <v>1</v>
      </c>
      <c r="M657" s="35">
        <f ca="1"/>
        <v>0</v>
      </c>
      <c r="N657" s="35">
        <f ca="1"/>
        <v>0</v>
      </c>
      <c r="O657" s="35">
        <f ca="1"/>
        <v>325.40260603713858</v>
      </c>
      <c r="P657" s="35">
        <f ca="1"/>
        <v>165418.62956495248</v>
      </c>
      <c r="Q657" s="35">
        <f ca="1"/>
        <v>165744.03217098961</v>
      </c>
    </row>
    <row r="658" spans="8:17">
      <c r="H658" s="35">
        <v>656</v>
      </c>
      <c r="I658" s="35">
        <f ca="1"/>
        <v>0</v>
      </c>
      <c r="J658" s="35">
        <f ca="1"/>
        <v>0</v>
      </c>
      <c r="K658" s="35">
        <f ca="1"/>
        <v>0</v>
      </c>
      <c r="L658" s="35">
        <f ca="1"/>
        <v>1</v>
      </c>
      <c r="M658" s="35">
        <f ca="1"/>
        <v>0</v>
      </c>
      <c r="N658" s="35">
        <f ca="1"/>
        <v>0</v>
      </c>
      <c r="O658" s="35">
        <f ca="1"/>
        <v>0</v>
      </c>
      <c r="P658" s="35">
        <f ca="1"/>
        <v>75987.986655731918</v>
      </c>
      <c r="Q658" s="35">
        <f ca="1"/>
        <v>75987.986655731918</v>
      </c>
    </row>
    <row r="659" spans="8:17">
      <c r="H659" s="35">
        <v>657</v>
      </c>
      <c r="I659" s="35">
        <f ca="1"/>
        <v>0</v>
      </c>
      <c r="J659" s="35">
        <f ca="1"/>
        <v>1</v>
      </c>
      <c r="K659" s="35">
        <f ca="1"/>
        <v>0</v>
      </c>
      <c r="L659" s="35">
        <f ca="1"/>
        <v>1</v>
      </c>
      <c r="M659" s="35">
        <f ca="1"/>
        <v>0</v>
      </c>
      <c r="N659" s="35">
        <f ca="1"/>
        <v>19531.60458479925</v>
      </c>
      <c r="O659" s="35">
        <f ca="1"/>
        <v>0</v>
      </c>
      <c r="P659" s="35">
        <f ca="1"/>
        <v>127113.86407368162</v>
      </c>
      <c r="Q659" s="35">
        <f ca="1"/>
        <v>146645.46865848085</v>
      </c>
    </row>
    <row r="660" spans="8:17">
      <c r="H660" s="35">
        <v>658</v>
      </c>
      <c r="I660" s="35">
        <f ca="1"/>
        <v>0</v>
      </c>
      <c r="J660" s="35">
        <f ca="1"/>
        <v>0</v>
      </c>
      <c r="K660" s="35">
        <f ca="1"/>
        <v>1</v>
      </c>
      <c r="L660" s="35">
        <f ca="1"/>
        <v>1</v>
      </c>
      <c r="M660" s="35">
        <f ca="1"/>
        <v>0</v>
      </c>
      <c r="N660" s="35">
        <f ca="1"/>
        <v>0</v>
      </c>
      <c r="O660" s="35">
        <f ca="1"/>
        <v>75.754466031695785</v>
      </c>
      <c r="P660" s="35">
        <f ca="1"/>
        <v>185550.28200629621</v>
      </c>
      <c r="Q660" s="35">
        <f ca="1"/>
        <v>185626.03647232792</v>
      </c>
    </row>
    <row r="661" spans="8:17">
      <c r="H661" s="35">
        <v>659</v>
      </c>
      <c r="I661" s="35">
        <f ca="1"/>
        <v>0</v>
      </c>
      <c r="J661" s="35">
        <f ca="1"/>
        <v>0</v>
      </c>
      <c r="K661" s="35">
        <f ca="1"/>
        <v>0</v>
      </c>
      <c r="L661" s="35">
        <f ca="1"/>
        <v>1</v>
      </c>
      <c r="M661" s="35">
        <f ca="1"/>
        <v>0</v>
      </c>
      <c r="N661" s="35">
        <f ca="1"/>
        <v>0</v>
      </c>
      <c r="O661" s="35">
        <f ca="1"/>
        <v>0</v>
      </c>
      <c r="P661" s="35">
        <f ca="1"/>
        <v>133484.42680955512</v>
      </c>
      <c r="Q661" s="35">
        <f ca="1"/>
        <v>133484.42680955512</v>
      </c>
    </row>
    <row r="662" spans="8:17">
      <c r="H662" s="35">
        <v>660</v>
      </c>
      <c r="I662" s="35">
        <f ca="1"/>
        <v>0</v>
      </c>
      <c r="J662" s="35">
        <f ca="1"/>
        <v>0</v>
      </c>
      <c r="K662" s="35">
        <f ca="1"/>
        <v>0</v>
      </c>
      <c r="L662" s="35">
        <f ca="1"/>
        <v>1</v>
      </c>
      <c r="M662" s="35">
        <f ca="1"/>
        <v>0</v>
      </c>
      <c r="N662" s="35">
        <f ca="1"/>
        <v>0</v>
      </c>
      <c r="O662" s="35">
        <f ca="1"/>
        <v>0</v>
      </c>
      <c r="P662" s="35">
        <f ca="1"/>
        <v>209139.42378484833</v>
      </c>
      <c r="Q662" s="35">
        <f ca="1"/>
        <v>209139.42378484833</v>
      </c>
    </row>
    <row r="663" spans="8:17">
      <c r="H663" s="35">
        <v>661</v>
      </c>
      <c r="I663" s="35">
        <f ca="1"/>
        <v>0</v>
      </c>
      <c r="J663" s="35">
        <f ca="1"/>
        <v>0</v>
      </c>
      <c r="K663" s="35">
        <f ca="1"/>
        <v>1</v>
      </c>
      <c r="L663" s="35">
        <f ca="1"/>
        <v>1</v>
      </c>
      <c r="M663" s="35">
        <f ca="1"/>
        <v>0</v>
      </c>
      <c r="N663" s="35">
        <f ca="1"/>
        <v>0</v>
      </c>
      <c r="O663" s="35">
        <f ca="1"/>
        <v>488.43728537781396</v>
      </c>
      <c r="P663" s="35">
        <f ca="1"/>
        <v>188069.78163761942</v>
      </c>
      <c r="Q663" s="35">
        <f ca="1"/>
        <v>188558.21892299724</v>
      </c>
    </row>
    <row r="664" spans="8:17">
      <c r="H664" s="35">
        <v>662</v>
      </c>
      <c r="I664" s="35">
        <f ca="1"/>
        <v>0</v>
      </c>
      <c r="J664" s="35">
        <f ca="1"/>
        <v>1</v>
      </c>
      <c r="K664" s="35">
        <f ca="1"/>
        <v>0</v>
      </c>
      <c r="L664" s="35">
        <f ca="1"/>
        <v>1</v>
      </c>
      <c r="M664" s="35">
        <f ca="1"/>
        <v>0</v>
      </c>
      <c r="N664" s="35">
        <f ca="1"/>
        <v>44212.548700395404</v>
      </c>
      <c r="O664" s="35">
        <f ca="1"/>
        <v>0</v>
      </c>
      <c r="P664" s="35">
        <f ca="1"/>
        <v>158969.1984128879</v>
      </c>
      <c r="Q664" s="35">
        <f ca="1"/>
        <v>203181.74711328332</v>
      </c>
    </row>
    <row r="665" spans="8:17">
      <c r="H665" s="35">
        <v>663</v>
      </c>
      <c r="I665" s="35">
        <f ca="1"/>
        <v>0</v>
      </c>
      <c r="J665" s="35">
        <f ca="1"/>
        <v>0</v>
      </c>
      <c r="K665" s="35">
        <f ca="1"/>
        <v>0</v>
      </c>
      <c r="L665" s="35">
        <f ca="1"/>
        <v>0</v>
      </c>
      <c r="M665" s="35">
        <f ca="1"/>
        <v>0</v>
      </c>
      <c r="N665" s="35">
        <f ca="1"/>
        <v>0</v>
      </c>
      <c r="O665" s="35">
        <f ca="1"/>
        <v>0</v>
      </c>
      <c r="P665" s="35">
        <f ca="1"/>
        <v>0</v>
      </c>
      <c r="Q665" s="35">
        <f ca="1"/>
        <v>0</v>
      </c>
    </row>
    <row r="666" spans="8:17">
      <c r="H666" s="35">
        <v>664</v>
      </c>
      <c r="I666" s="35">
        <f ca="1"/>
        <v>0</v>
      </c>
      <c r="J666" s="35">
        <f ca="1"/>
        <v>1</v>
      </c>
      <c r="K666" s="35">
        <f ca="1"/>
        <v>1</v>
      </c>
      <c r="L666" s="35">
        <f ca="1"/>
        <v>0</v>
      </c>
      <c r="M666" s="35">
        <f ca="1"/>
        <v>0</v>
      </c>
      <c r="N666" s="35">
        <f ca="1"/>
        <v>51684.819477897559</v>
      </c>
      <c r="O666" s="35">
        <f ca="1"/>
        <v>204.77398504753012</v>
      </c>
      <c r="P666" s="35">
        <f ca="1"/>
        <v>0</v>
      </c>
      <c r="Q666" s="35">
        <f ca="1"/>
        <v>51889.593462945093</v>
      </c>
    </row>
    <row r="667" spans="8:17">
      <c r="H667" s="35">
        <v>665</v>
      </c>
      <c r="I667" s="35">
        <f ca="1"/>
        <v>0</v>
      </c>
      <c r="J667" s="35">
        <f ca="1"/>
        <v>0</v>
      </c>
      <c r="K667" s="35">
        <f ca="1"/>
        <v>1</v>
      </c>
      <c r="L667" s="35">
        <f ca="1"/>
        <v>0</v>
      </c>
      <c r="M667" s="35">
        <f ca="1"/>
        <v>0</v>
      </c>
      <c r="N667" s="35">
        <f ca="1"/>
        <v>0</v>
      </c>
      <c r="O667" s="35">
        <f ca="1"/>
        <v>35.30969266403207</v>
      </c>
      <c r="P667" s="35">
        <f ca="1"/>
        <v>0</v>
      </c>
      <c r="Q667" s="35">
        <f ca="1"/>
        <v>35.30969266403207</v>
      </c>
    </row>
    <row r="668" spans="8:17">
      <c r="H668" s="35">
        <v>666</v>
      </c>
      <c r="I668" s="35">
        <f ca="1"/>
        <v>0</v>
      </c>
      <c r="J668" s="35">
        <f ca="1"/>
        <v>0</v>
      </c>
      <c r="K668" s="35">
        <f ca="1"/>
        <v>0</v>
      </c>
      <c r="L668" s="35">
        <f ca="1"/>
        <v>1</v>
      </c>
      <c r="M668" s="35">
        <f ca="1"/>
        <v>0</v>
      </c>
      <c r="N668" s="35">
        <f ca="1"/>
        <v>0</v>
      </c>
      <c r="O668" s="35">
        <f ca="1"/>
        <v>0</v>
      </c>
      <c r="P668" s="35">
        <f ca="1"/>
        <v>131861.71079500424</v>
      </c>
      <c r="Q668" s="35">
        <f ca="1"/>
        <v>131861.71079500424</v>
      </c>
    </row>
    <row r="669" spans="8:17">
      <c r="H669" s="35">
        <v>667</v>
      </c>
      <c r="I669" s="35">
        <f ca="1"/>
        <v>0</v>
      </c>
      <c r="J669" s="35">
        <f ca="1"/>
        <v>0</v>
      </c>
      <c r="K669" s="35">
        <f ca="1"/>
        <v>0</v>
      </c>
      <c r="L669" s="35">
        <f ca="1"/>
        <v>0</v>
      </c>
      <c r="M669" s="35">
        <f ca="1"/>
        <v>0</v>
      </c>
      <c r="N669" s="35">
        <f ca="1"/>
        <v>0</v>
      </c>
      <c r="O669" s="35">
        <f ca="1"/>
        <v>0</v>
      </c>
      <c r="P669" s="35">
        <f ca="1"/>
        <v>0</v>
      </c>
      <c r="Q669" s="35">
        <f ca="1"/>
        <v>0</v>
      </c>
    </row>
    <row r="670" spans="8:17">
      <c r="H670" s="35">
        <v>668</v>
      </c>
      <c r="I670" s="35">
        <f ca="1"/>
        <v>0</v>
      </c>
      <c r="J670" s="35">
        <f ca="1"/>
        <v>0</v>
      </c>
      <c r="K670" s="35">
        <f ca="1"/>
        <v>0</v>
      </c>
      <c r="L670" s="35">
        <f ca="1"/>
        <v>0</v>
      </c>
      <c r="M670" s="35">
        <f ca="1"/>
        <v>0</v>
      </c>
      <c r="N670" s="35">
        <f ca="1"/>
        <v>0</v>
      </c>
      <c r="O670" s="35">
        <f ca="1"/>
        <v>0</v>
      </c>
      <c r="P670" s="35">
        <f ca="1"/>
        <v>0</v>
      </c>
      <c r="Q670" s="35">
        <f ca="1"/>
        <v>0</v>
      </c>
    </row>
    <row r="671" spans="8:17">
      <c r="H671" s="35">
        <v>669</v>
      </c>
      <c r="I671" s="35">
        <f ca="1"/>
        <v>0</v>
      </c>
      <c r="J671" s="35">
        <f ca="1"/>
        <v>0</v>
      </c>
      <c r="K671" s="35">
        <f ca="1"/>
        <v>0</v>
      </c>
      <c r="L671" s="35">
        <f ca="1"/>
        <v>1</v>
      </c>
      <c r="M671" s="35">
        <f ca="1"/>
        <v>0</v>
      </c>
      <c r="N671" s="35">
        <f ca="1"/>
        <v>0</v>
      </c>
      <c r="O671" s="35">
        <f ca="1"/>
        <v>0</v>
      </c>
      <c r="P671" s="35">
        <f ca="1"/>
        <v>177952.80923793148</v>
      </c>
      <c r="Q671" s="35">
        <f ca="1"/>
        <v>177952.80923793148</v>
      </c>
    </row>
    <row r="672" spans="8:17">
      <c r="H672" s="35">
        <v>670</v>
      </c>
      <c r="I672" s="35">
        <f ca="1"/>
        <v>0</v>
      </c>
      <c r="J672" s="35">
        <f ca="1"/>
        <v>0</v>
      </c>
      <c r="K672" s="35">
        <f ca="1"/>
        <v>0</v>
      </c>
      <c r="L672" s="35">
        <f ca="1"/>
        <v>1</v>
      </c>
      <c r="M672" s="35">
        <f ca="1"/>
        <v>0</v>
      </c>
      <c r="N672" s="35">
        <f ca="1"/>
        <v>0</v>
      </c>
      <c r="O672" s="35">
        <f ca="1"/>
        <v>0</v>
      </c>
      <c r="P672" s="35">
        <f ca="1"/>
        <v>148265.0537794499</v>
      </c>
      <c r="Q672" s="35">
        <f ca="1"/>
        <v>148265.0537794499</v>
      </c>
    </row>
    <row r="673" spans="8:17">
      <c r="H673" s="35">
        <v>671</v>
      </c>
      <c r="I673" s="35">
        <f ca="1"/>
        <v>1</v>
      </c>
      <c r="J673" s="35">
        <f ca="1"/>
        <v>0</v>
      </c>
      <c r="K673" s="35">
        <f ca="1"/>
        <v>0</v>
      </c>
      <c r="L673" s="35">
        <f ca="1"/>
        <v>1</v>
      </c>
      <c r="M673" s="35">
        <f ca="1"/>
        <v>7828.1735609931548</v>
      </c>
      <c r="N673" s="35">
        <f ca="1"/>
        <v>0</v>
      </c>
      <c r="O673" s="35">
        <f ca="1"/>
        <v>0</v>
      </c>
      <c r="P673" s="35">
        <f ca="1"/>
        <v>116180.77010951824</v>
      </c>
      <c r="Q673" s="35">
        <f ca="1"/>
        <v>124008.94367051139</v>
      </c>
    </row>
    <row r="674" spans="8:17">
      <c r="H674" s="35">
        <v>672</v>
      </c>
      <c r="I674" s="35">
        <f ca="1"/>
        <v>0</v>
      </c>
      <c r="J674" s="35">
        <f ca="1"/>
        <v>0</v>
      </c>
      <c r="K674" s="35">
        <f ca="1"/>
        <v>0</v>
      </c>
      <c r="L674" s="35">
        <f ca="1"/>
        <v>1</v>
      </c>
      <c r="M674" s="35">
        <f ca="1"/>
        <v>0</v>
      </c>
      <c r="N674" s="35">
        <f ca="1"/>
        <v>0</v>
      </c>
      <c r="O674" s="35">
        <f ca="1"/>
        <v>0</v>
      </c>
      <c r="P674" s="35">
        <f ca="1"/>
        <v>132758.96890136605</v>
      </c>
      <c r="Q674" s="35">
        <f ca="1"/>
        <v>132758.96890136605</v>
      </c>
    </row>
    <row r="675" spans="8:17">
      <c r="H675" s="35">
        <v>673</v>
      </c>
      <c r="I675" s="35">
        <f ca="1"/>
        <v>0</v>
      </c>
      <c r="J675" s="35">
        <f ca="1"/>
        <v>0</v>
      </c>
      <c r="K675" s="35">
        <f ca="1"/>
        <v>1</v>
      </c>
      <c r="L675" s="35">
        <f ca="1"/>
        <v>1</v>
      </c>
      <c r="M675" s="35">
        <f ca="1"/>
        <v>0</v>
      </c>
      <c r="N675" s="35">
        <f ca="1"/>
        <v>0</v>
      </c>
      <c r="O675" s="35">
        <f ca="1"/>
        <v>128.04155742914949</v>
      </c>
      <c r="P675" s="35">
        <f ca="1"/>
        <v>199064.59169776025</v>
      </c>
      <c r="Q675" s="35">
        <f ca="1"/>
        <v>199192.6332551894</v>
      </c>
    </row>
    <row r="676" spans="8:17">
      <c r="H676" s="35">
        <v>674</v>
      </c>
      <c r="I676" s="35">
        <f ca="1"/>
        <v>0</v>
      </c>
      <c r="J676" s="35">
        <f ca="1"/>
        <v>0</v>
      </c>
      <c r="K676" s="35">
        <f ca="1"/>
        <v>0</v>
      </c>
      <c r="L676" s="35">
        <f ca="1"/>
        <v>1</v>
      </c>
      <c r="M676" s="35">
        <f ca="1"/>
        <v>0</v>
      </c>
      <c r="N676" s="35">
        <f ca="1"/>
        <v>0</v>
      </c>
      <c r="O676" s="35">
        <f ca="1"/>
        <v>0</v>
      </c>
      <c r="P676" s="35">
        <f ca="1"/>
        <v>144518.91367756631</v>
      </c>
      <c r="Q676" s="35">
        <f ca="1"/>
        <v>144518.91367756631</v>
      </c>
    </row>
    <row r="677" spans="8:17">
      <c r="H677" s="35">
        <v>675</v>
      </c>
      <c r="I677" s="35">
        <f ca="1"/>
        <v>1</v>
      </c>
      <c r="J677" s="35">
        <f ca="1"/>
        <v>1</v>
      </c>
      <c r="K677" s="35">
        <f ca="1"/>
        <v>0</v>
      </c>
      <c r="L677" s="35">
        <f ca="1"/>
        <v>1</v>
      </c>
      <c r="M677" s="35">
        <f ca="1"/>
        <v>12388.728096300181</v>
      </c>
      <c r="N677" s="35">
        <f ca="1"/>
        <v>64372.212058016434</v>
      </c>
      <c r="O677" s="35">
        <f ca="1"/>
        <v>0</v>
      </c>
      <c r="P677" s="35">
        <f ca="1"/>
        <v>130505.06684882205</v>
      </c>
      <c r="Q677" s="35">
        <f ca="1"/>
        <v>207266.00700313866</v>
      </c>
    </row>
    <row r="678" spans="8:17">
      <c r="H678" s="35">
        <v>676</v>
      </c>
      <c r="I678" s="35">
        <f ca="1"/>
        <v>0</v>
      </c>
      <c r="J678" s="35">
        <f ca="1"/>
        <v>0</v>
      </c>
      <c r="K678" s="35">
        <f ca="1"/>
        <v>0</v>
      </c>
      <c r="L678" s="35">
        <f ca="1"/>
        <v>1</v>
      </c>
      <c r="M678" s="35">
        <f ca="1"/>
        <v>0</v>
      </c>
      <c r="N678" s="35">
        <f ca="1"/>
        <v>0</v>
      </c>
      <c r="O678" s="35">
        <f ca="1"/>
        <v>0</v>
      </c>
      <c r="P678" s="35">
        <f ca="1"/>
        <v>175852.34019208996</v>
      </c>
      <c r="Q678" s="35">
        <f ca="1"/>
        <v>175852.34019208996</v>
      </c>
    </row>
    <row r="679" spans="8:17">
      <c r="H679" s="35">
        <v>677</v>
      </c>
      <c r="I679" s="35">
        <f ca="1"/>
        <v>1</v>
      </c>
      <c r="J679" s="35">
        <f ca="1"/>
        <v>0</v>
      </c>
      <c r="K679" s="35">
        <f ca="1"/>
        <v>0</v>
      </c>
      <c r="L679" s="35">
        <f ca="1"/>
        <v>1</v>
      </c>
      <c r="M679" s="35">
        <f ca="1"/>
        <v>9032.1353640115831</v>
      </c>
      <c r="N679" s="35">
        <f ca="1"/>
        <v>0</v>
      </c>
      <c r="O679" s="35">
        <f ca="1"/>
        <v>0</v>
      </c>
      <c r="P679" s="35">
        <f ca="1"/>
        <v>152930.63840595639</v>
      </c>
      <c r="Q679" s="35">
        <f ca="1"/>
        <v>161962.77376996796</v>
      </c>
    </row>
    <row r="680" spans="8:17">
      <c r="H680" s="35">
        <v>678</v>
      </c>
      <c r="I680" s="35">
        <f ca="1"/>
        <v>0</v>
      </c>
      <c r="J680" s="35">
        <f ca="1"/>
        <v>0</v>
      </c>
      <c r="K680" s="35">
        <f ca="1"/>
        <v>0</v>
      </c>
      <c r="L680" s="35">
        <f ca="1"/>
        <v>1</v>
      </c>
      <c r="M680" s="35">
        <f ca="1"/>
        <v>0</v>
      </c>
      <c r="N680" s="35">
        <f ca="1"/>
        <v>0</v>
      </c>
      <c r="O680" s="35">
        <f ca="1"/>
        <v>0</v>
      </c>
      <c r="P680" s="35">
        <f ca="1"/>
        <v>166504.2443560333</v>
      </c>
      <c r="Q680" s="35">
        <f ca="1"/>
        <v>166504.2443560333</v>
      </c>
    </row>
    <row r="681" spans="8:17">
      <c r="H681" s="35">
        <v>679</v>
      </c>
      <c r="I681" s="35">
        <f ca="1"/>
        <v>1</v>
      </c>
      <c r="J681" s="35">
        <f ca="1"/>
        <v>1</v>
      </c>
      <c r="K681" s="35">
        <f ca="1"/>
        <v>1</v>
      </c>
      <c r="L681" s="35">
        <f ca="1"/>
        <v>1</v>
      </c>
      <c r="M681" s="35">
        <f ca="1"/>
        <v>13120.932042633178</v>
      </c>
      <c r="N681" s="35">
        <f ca="1"/>
        <v>13645.525951367859</v>
      </c>
      <c r="O681" s="35">
        <f ca="1"/>
        <v>176.39938449267419</v>
      </c>
      <c r="P681" s="35">
        <f ca="1"/>
        <v>159354.35608019494</v>
      </c>
      <c r="Q681" s="35">
        <f ca="1"/>
        <v>186297.21345868864</v>
      </c>
    </row>
    <row r="682" spans="8:17">
      <c r="H682" s="35">
        <v>680</v>
      </c>
      <c r="I682" s="35">
        <f ca="1"/>
        <v>0</v>
      </c>
      <c r="J682" s="35">
        <f ca="1"/>
        <v>0</v>
      </c>
      <c r="K682" s="35">
        <f ca="1"/>
        <v>0</v>
      </c>
      <c r="L682" s="35">
        <f ca="1"/>
        <v>1</v>
      </c>
      <c r="M682" s="35">
        <f ca="1"/>
        <v>0</v>
      </c>
      <c r="N682" s="35">
        <f ca="1"/>
        <v>0</v>
      </c>
      <c r="O682" s="35">
        <f ca="1"/>
        <v>0</v>
      </c>
      <c r="P682" s="35">
        <f ca="1"/>
        <v>195165.32451163194</v>
      </c>
      <c r="Q682" s="35">
        <f ca="1"/>
        <v>195165.32451163194</v>
      </c>
    </row>
    <row r="683" spans="8:17">
      <c r="H683" s="35">
        <v>681</v>
      </c>
      <c r="I683" s="35">
        <f ca="1"/>
        <v>0</v>
      </c>
      <c r="J683" s="35">
        <f ca="1"/>
        <v>0</v>
      </c>
      <c r="K683" s="35">
        <f ca="1"/>
        <v>0</v>
      </c>
      <c r="L683" s="35">
        <f ca="1"/>
        <v>1</v>
      </c>
      <c r="M683" s="35">
        <f ca="1"/>
        <v>0</v>
      </c>
      <c r="N683" s="35">
        <f ca="1"/>
        <v>0</v>
      </c>
      <c r="O683" s="35">
        <f ca="1"/>
        <v>0</v>
      </c>
      <c r="P683" s="35">
        <f ca="1"/>
        <v>148806.21909093458</v>
      </c>
      <c r="Q683" s="35">
        <f ca="1"/>
        <v>148806.21909093458</v>
      </c>
    </row>
    <row r="684" spans="8:17">
      <c r="H684" s="35">
        <v>682</v>
      </c>
      <c r="I684" s="35">
        <f ca="1"/>
        <v>0</v>
      </c>
      <c r="J684" s="35">
        <f ca="1"/>
        <v>0</v>
      </c>
      <c r="K684" s="35">
        <f ca="1"/>
        <v>0</v>
      </c>
      <c r="L684" s="35">
        <f ca="1"/>
        <v>1</v>
      </c>
      <c r="M684" s="35">
        <f ca="1"/>
        <v>0</v>
      </c>
      <c r="N684" s="35">
        <f ca="1"/>
        <v>0</v>
      </c>
      <c r="O684" s="35">
        <f ca="1"/>
        <v>0</v>
      </c>
      <c r="P684" s="35">
        <f ca="1"/>
        <v>78677.881401143299</v>
      </c>
      <c r="Q684" s="35">
        <f ca="1"/>
        <v>78677.881401143299</v>
      </c>
    </row>
    <row r="685" spans="8:17">
      <c r="H685" s="35">
        <v>683</v>
      </c>
      <c r="I685" s="35">
        <f ca="1"/>
        <v>0</v>
      </c>
      <c r="J685" s="35">
        <f ca="1"/>
        <v>1</v>
      </c>
      <c r="K685" s="35">
        <f ca="1"/>
        <v>0</v>
      </c>
      <c r="L685" s="35">
        <f ca="1"/>
        <v>1</v>
      </c>
      <c r="M685" s="35">
        <f ca="1"/>
        <v>0</v>
      </c>
      <c r="N685" s="35">
        <f ca="1"/>
        <v>53625.421244708967</v>
      </c>
      <c r="O685" s="35">
        <f ca="1"/>
        <v>0</v>
      </c>
      <c r="P685" s="35">
        <f ca="1"/>
        <v>119722.9067126672</v>
      </c>
      <c r="Q685" s="35">
        <f ca="1"/>
        <v>173348.32795737617</v>
      </c>
    </row>
    <row r="686" spans="8:17">
      <c r="H686" s="35">
        <v>684</v>
      </c>
      <c r="I686" s="35">
        <f ca="1"/>
        <v>0</v>
      </c>
      <c r="J686" s="35">
        <f ca="1"/>
        <v>0</v>
      </c>
      <c r="K686" s="35">
        <f ca="1"/>
        <v>0</v>
      </c>
      <c r="L686" s="35">
        <f ca="1"/>
        <v>1</v>
      </c>
      <c r="M686" s="35">
        <f ca="1"/>
        <v>0</v>
      </c>
      <c r="N686" s="35">
        <f ca="1"/>
        <v>0</v>
      </c>
      <c r="O686" s="35">
        <f ca="1"/>
        <v>0</v>
      </c>
      <c r="P686" s="35">
        <f ca="1"/>
        <v>153855.96293175197</v>
      </c>
      <c r="Q686" s="35">
        <f ca="1"/>
        <v>153855.96293175197</v>
      </c>
    </row>
    <row r="687" spans="8:17">
      <c r="H687" s="35">
        <v>685</v>
      </c>
      <c r="I687" s="35">
        <f ca="1"/>
        <v>0</v>
      </c>
      <c r="J687" s="35">
        <f ca="1"/>
        <v>0</v>
      </c>
      <c r="K687" s="35">
        <f ca="1"/>
        <v>0</v>
      </c>
      <c r="L687" s="35">
        <f ca="1"/>
        <v>1</v>
      </c>
      <c r="M687" s="35">
        <f ca="1"/>
        <v>0</v>
      </c>
      <c r="N687" s="35">
        <f ca="1"/>
        <v>0</v>
      </c>
      <c r="O687" s="35">
        <f ca="1"/>
        <v>0</v>
      </c>
      <c r="P687" s="35">
        <f ca="1"/>
        <v>158803.977677938</v>
      </c>
      <c r="Q687" s="35">
        <f ca="1"/>
        <v>158803.977677938</v>
      </c>
    </row>
    <row r="688" spans="8:17">
      <c r="H688" s="35">
        <v>686</v>
      </c>
      <c r="I688" s="35">
        <f ca="1"/>
        <v>0</v>
      </c>
      <c r="J688" s="35">
        <f ca="1"/>
        <v>0</v>
      </c>
      <c r="K688" s="35">
        <f ca="1"/>
        <v>1</v>
      </c>
      <c r="L688" s="35">
        <f ca="1"/>
        <v>1</v>
      </c>
      <c r="M688" s="35">
        <f ca="1"/>
        <v>0</v>
      </c>
      <c r="N688" s="35">
        <f ca="1"/>
        <v>0</v>
      </c>
      <c r="O688" s="35">
        <f ca="1"/>
        <v>178.98208479360292</v>
      </c>
      <c r="P688" s="35">
        <f ca="1"/>
        <v>143498.19587989437</v>
      </c>
      <c r="Q688" s="35">
        <f ca="1"/>
        <v>143677.17796468796</v>
      </c>
    </row>
    <row r="689" spans="8:17">
      <c r="H689" s="35">
        <v>687</v>
      </c>
      <c r="I689" s="35">
        <f ca="1"/>
        <v>0</v>
      </c>
      <c r="J689" s="35">
        <f ca="1"/>
        <v>1</v>
      </c>
      <c r="K689" s="35">
        <f ca="1"/>
        <v>0</v>
      </c>
      <c r="L689" s="35">
        <f ca="1"/>
        <v>0</v>
      </c>
      <c r="M689" s="35">
        <f ca="1"/>
        <v>0</v>
      </c>
      <c r="N689" s="35">
        <f ca="1"/>
        <v>21823.707129825303</v>
      </c>
      <c r="O689" s="35">
        <f ca="1"/>
        <v>0</v>
      </c>
      <c r="P689" s="35">
        <f ca="1"/>
        <v>0</v>
      </c>
      <c r="Q689" s="35">
        <f ca="1"/>
        <v>21823.707129825303</v>
      </c>
    </row>
    <row r="690" spans="8:17">
      <c r="H690" s="35">
        <v>688</v>
      </c>
      <c r="I690" s="35">
        <f ca="1"/>
        <v>0</v>
      </c>
      <c r="J690" s="35">
        <f ca="1"/>
        <v>1</v>
      </c>
      <c r="K690" s="35">
        <f ca="1"/>
        <v>0</v>
      </c>
      <c r="L690" s="35">
        <f ca="1"/>
        <v>1</v>
      </c>
      <c r="M690" s="35">
        <f ca="1"/>
        <v>0</v>
      </c>
      <c r="N690" s="35">
        <f ca="1"/>
        <v>35846.326112212846</v>
      </c>
      <c r="O690" s="35">
        <f ca="1"/>
        <v>0</v>
      </c>
      <c r="P690" s="35">
        <f ca="1"/>
        <v>204638.55031096732</v>
      </c>
      <c r="Q690" s="35">
        <f ca="1"/>
        <v>240484.87642318016</v>
      </c>
    </row>
    <row r="691" spans="8:17">
      <c r="H691" s="35">
        <v>689</v>
      </c>
      <c r="I691" s="35">
        <f ca="1"/>
        <v>0</v>
      </c>
      <c r="J691" s="35">
        <f ca="1"/>
        <v>0</v>
      </c>
      <c r="K691" s="35">
        <f ca="1"/>
        <v>0</v>
      </c>
      <c r="L691" s="35">
        <f ca="1"/>
        <v>1</v>
      </c>
      <c r="M691" s="35">
        <f ca="1"/>
        <v>0</v>
      </c>
      <c r="N691" s="35">
        <f ca="1"/>
        <v>0</v>
      </c>
      <c r="O691" s="35">
        <f ca="1"/>
        <v>0</v>
      </c>
      <c r="P691" s="35">
        <f ca="1"/>
        <v>165933.5715696752</v>
      </c>
      <c r="Q691" s="35">
        <f ca="1"/>
        <v>165933.5715696752</v>
      </c>
    </row>
    <row r="692" spans="8:17">
      <c r="H692" s="35">
        <v>690</v>
      </c>
      <c r="I692" s="35">
        <f ca="1"/>
        <v>0</v>
      </c>
      <c r="J692" s="35">
        <f ca="1"/>
        <v>0</v>
      </c>
      <c r="K692" s="35">
        <f ca="1"/>
        <v>0</v>
      </c>
      <c r="L692" s="35">
        <f ca="1"/>
        <v>1</v>
      </c>
      <c r="M692" s="35">
        <f ca="1"/>
        <v>0</v>
      </c>
      <c r="N692" s="35">
        <f ca="1"/>
        <v>0</v>
      </c>
      <c r="O692" s="35">
        <f ca="1"/>
        <v>0</v>
      </c>
      <c r="P692" s="35">
        <f ca="1"/>
        <v>120018.09046009819</v>
      </c>
      <c r="Q692" s="35">
        <f ca="1"/>
        <v>120018.09046009819</v>
      </c>
    </row>
    <row r="693" spans="8:17">
      <c r="H693" s="35">
        <v>691</v>
      </c>
      <c r="I693" s="35">
        <f ca="1"/>
        <v>0</v>
      </c>
      <c r="J693" s="35">
        <f ca="1"/>
        <v>0</v>
      </c>
      <c r="K693" s="35">
        <f ca="1"/>
        <v>0</v>
      </c>
      <c r="L693" s="35">
        <f ca="1"/>
        <v>1</v>
      </c>
      <c r="M693" s="35">
        <f ca="1"/>
        <v>0</v>
      </c>
      <c r="N693" s="35">
        <f ca="1"/>
        <v>0</v>
      </c>
      <c r="O693" s="35">
        <f ca="1"/>
        <v>0</v>
      </c>
      <c r="P693" s="35">
        <f ca="1"/>
        <v>167296.01968994076</v>
      </c>
      <c r="Q693" s="35">
        <f ca="1"/>
        <v>167296.01968994076</v>
      </c>
    </row>
    <row r="694" spans="8:17">
      <c r="H694" s="35">
        <v>692</v>
      </c>
      <c r="I694" s="35">
        <f ca="1"/>
        <v>0</v>
      </c>
      <c r="J694" s="35">
        <f ca="1"/>
        <v>1</v>
      </c>
      <c r="K694" s="35">
        <f ca="1"/>
        <v>0</v>
      </c>
      <c r="L694" s="35">
        <f ca="1"/>
        <v>1</v>
      </c>
      <c r="M694" s="35">
        <f ca="1"/>
        <v>0</v>
      </c>
      <c r="N694" s="35">
        <f ca="1"/>
        <v>61230.92744415698</v>
      </c>
      <c r="O694" s="35">
        <f ca="1"/>
        <v>0</v>
      </c>
      <c r="P694" s="35">
        <f ca="1"/>
        <v>155991.24476961463</v>
      </c>
      <c r="Q694" s="35">
        <f ca="1"/>
        <v>217222.17221377161</v>
      </c>
    </row>
    <row r="695" spans="8:17">
      <c r="H695" s="35">
        <v>693</v>
      </c>
      <c r="I695" s="35">
        <f ca="1"/>
        <v>1</v>
      </c>
      <c r="J695" s="35">
        <f ca="1"/>
        <v>0</v>
      </c>
      <c r="K695" s="35">
        <f ca="1"/>
        <v>0</v>
      </c>
      <c r="L695" s="35">
        <f ca="1"/>
        <v>1</v>
      </c>
      <c r="M695" s="35">
        <f ca="1"/>
        <v>13247.66146485663</v>
      </c>
      <c r="N695" s="35">
        <f ca="1"/>
        <v>0</v>
      </c>
      <c r="O695" s="35">
        <f ca="1"/>
        <v>0</v>
      </c>
      <c r="P695" s="35">
        <f ca="1"/>
        <v>180993.05255121845</v>
      </c>
      <c r="Q695" s="35">
        <f ca="1"/>
        <v>194240.71401607507</v>
      </c>
    </row>
    <row r="696" spans="8:17">
      <c r="H696" s="35">
        <v>694</v>
      </c>
      <c r="I696" s="35">
        <f ca="1"/>
        <v>0</v>
      </c>
      <c r="J696" s="35">
        <f ca="1"/>
        <v>0</v>
      </c>
      <c r="K696" s="35">
        <f ca="1"/>
        <v>0</v>
      </c>
      <c r="L696" s="35">
        <f ca="1"/>
        <v>1</v>
      </c>
      <c r="M696" s="35">
        <f ca="1"/>
        <v>0</v>
      </c>
      <c r="N696" s="35">
        <f ca="1"/>
        <v>0</v>
      </c>
      <c r="O696" s="35">
        <f ca="1"/>
        <v>0</v>
      </c>
      <c r="P696" s="35">
        <f ca="1"/>
        <v>128917.64882784853</v>
      </c>
      <c r="Q696" s="35">
        <f ca="1"/>
        <v>128917.64882784853</v>
      </c>
    </row>
    <row r="697" spans="8:17">
      <c r="H697" s="35">
        <v>695</v>
      </c>
      <c r="I697" s="35">
        <f ca="1"/>
        <v>0</v>
      </c>
      <c r="J697" s="35">
        <f ca="1"/>
        <v>0</v>
      </c>
      <c r="K697" s="35">
        <f ca="1"/>
        <v>0</v>
      </c>
      <c r="L697" s="35">
        <f ca="1"/>
        <v>1</v>
      </c>
      <c r="M697" s="35">
        <f ca="1"/>
        <v>0</v>
      </c>
      <c r="N697" s="35">
        <f ca="1"/>
        <v>0</v>
      </c>
      <c r="O697" s="35">
        <f ca="1"/>
        <v>0</v>
      </c>
      <c r="P697" s="35">
        <f ca="1"/>
        <v>134075.8039189672</v>
      </c>
      <c r="Q697" s="35">
        <f ca="1"/>
        <v>134075.8039189672</v>
      </c>
    </row>
    <row r="698" spans="8:17">
      <c r="H698" s="35">
        <v>696</v>
      </c>
      <c r="I698" s="35">
        <f ca="1"/>
        <v>0</v>
      </c>
      <c r="J698" s="35">
        <f ca="1"/>
        <v>0</v>
      </c>
      <c r="K698" s="35">
        <f ca="1"/>
        <v>0</v>
      </c>
      <c r="L698" s="35">
        <f ca="1"/>
        <v>0</v>
      </c>
      <c r="M698" s="35">
        <f ca="1"/>
        <v>0</v>
      </c>
      <c r="N698" s="35">
        <f ca="1"/>
        <v>0</v>
      </c>
      <c r="O698" s="35">
        <f ca="1"/>
        <v>0</v>
      </c>
      <c r="P698" s="35">
        <f ca="1"/>
        <v>0</v>
      </c>
      <c r="Q698" s="35">
        <f ca="1"/>
        <v>0</v>
      </c>
    </row>
    <row r="699" spans="8:17">
      <c r="H699" s="35">
        <v>697</v>
      </c>
      <c r="I699" s="35">
        <f ca="1"/>
        <v>0</v>
      </c>
      <c r="J699" s="35">
        <f ca="1"/>
        <v>0</v>
      </c>
      <c r="K699" s="35">
        <f ca="1"/>
        <v>1</v>
      </c>
      <c r="L699" s="35">
        <f ca="1"/>
        <v>1</v>
      </c>
      <c r="M699" s="35">
        <f ca="1"/>
        <v>0</v>
      </c>
      <c r="N699" s="35">
        <f ca="1"/>
        <v>0</v>
      </c>
      <c r="O699" s="35">
        <f ca="1"/>
        <v>216.15143547419825</v>
      </c>
      <c r="P699" s="35">
        <f ca="1"/>
        <v>54726.291041165408</v>
      </c>
      <c r="Q699" s="35">
        <f ca="1"/>
        <v>54942.442476639604</v>
      </c>
    </row>
    <row r="700" spans="8:17">
      <c r="H700" s="35">
        <v>698</v>
      </c>
      <c r="I700" s="35">
        <f ca="1"/>
        <v>1</v>
      </c>
      <c r="J700" s="35">
        <f ca="1"/>
        <v>0</v>
      </c>
      <c r="K700" s="35">
        <f ca="1"/>
        <v>0</v>
      </c>
      <c r="L700" s="35">
        <f ca="1"/>
        <v>0</v>
      </c>
      <c r="M700" s="35">
        <f ca="1"/>
        <v>2595.8433276782634</v>
      </c>
      <c r="N700" s="35">
        <f ca="1"/>
        <v>0</v>
      </c>
      <c r="O700" s="35">
        <f ca="1"/>
        <v>0</v>
      </c>
      <c r="P700" s="35">
        <f ca="1"/>
        <v>0</v>
      </c>
      <c r="Q700" s="35">
        <f ca="1"/>
        <v>2595.8433276782634</v>
      </c>
    </row>
    <row r="701" spans="8:17">
      <c r="H701" s="35">
        <v>699</v>
      </c>
      <c r="I701" s="35">
        <f ca="1"/>
        <v>0</v>
      </c>
      <c r="J701" s="35">
        <f ca="1"/>
        <v>0</v>
      </c>
      <c r="K701" s="35">
        <f ca="1"/>
        <v>0</v>
      </c>
      <c r="L701" s="35">
        <f ca="1"/>
        <v>1</v>
      </c>
      <c r="M701" s="35">
        <f ca="1"/>
        <v>0</v>
      </c>
      <c r="N701" s="35">
        <f ca="1"/>
        <v>0</v>
      </c>
      <c r="O701" s="35">
        <f ca="1"/>
        <v>0</v>
      </c>
      <c r="P701" s="35">
        <f ca="1"/>
        <v>79830.975041960512</v>
      </c>
      <c r="Q701" s="35">
        <f ca="1"/>
        <v>79830.975041960512</v>
      </c>
    </row>
    <row r="702" spans="8:17">
      <c r="H702" s="35">
        <v>700</v>
      </c>
      <c r="I702" s="35">
        <f ca="1"/>
        <v>0</v>
      </c>
      <c r="J702" s="35">
        <f ca="1"/>
        <v>1</v>
      </c>
      <c r="K702" s="35">
        <f ca="1"/>
        <v>0</v>
      </c>
      <c r="L702" s="35">
        <f ca="1"/>
        <v>1</v>
      </c>
      <c r="M702" s="35">
        <f ca="1"/>
        <v>0</v>
      </c>
      <c r="N702" s="35">
        <f ca="1"/>
        <v>13672.589396810261</v>
      </c>
      <c r="O702" s="35">
        <f ca="1"/>
        <v>0</v>
      </c>
      <c r="P702" s="35">
        <f ca="1"/>
        <v>112163.11452634486</v>
      </c>
      <c r="Q702" s="35">
        <f ca="1"/>
        <v>125835.70392315512</v>
      </c>
    </row>
    <row r="703" spans="8:17">
      <c r="H703" s="35">
        <v>701</v>
      </c>
      <c r="I703" s="35">
        <f ca="1"/>
        <v>0</v>
      </c>
      <c r="J703" s="35">
        <f ca="1"/>
        <v>0</v>
      </c>
      <c r="K703" s="35">
        <f ca="1"/>
        <v>0</v>
      </c>
      <c r="L703" s="35">
        <f ca="1"/>
        <v>1</v>
      </c>
      <c r="M703" s="35">
        <f ca="1"/>
        <v>0</v>
      </c>
      <c r="N703" s="35">
        <f ca="1"/>
        <v>0</v>
      </c>
      <c r="O703" s="35">
        <f ca="1"/>
        <v>0</v>
      </c>
      <c r="P703" s="35">
        <f ca="1"/>
        <v>178293.50312946877</v>
      </c>
      <c r="Q703" s="35">
        <f ca="1"/>
        <v>178293.50312946877</v>
      </c>
    </row>
    <row r="704" spans="8:17">
      <c r="H704" s="35">
        <v>702</v>
      </c>
      <c r="I704" s="35">
        <f ca="1"/>
        <v>0</v>
      </c>
      <c r="J704" s="35">
        <f ca="1"/>
        <v>0</v>
      </c>
      <c r="K704" s="35">
        <f ca="1"/>
        <v>0</v>
      </c>
      <c r="L704" s="35">
        <f ca="1"/>
        <v>1</v>
      </c>
      <c r="M704" s="35">
        <f ca="1"/>
        <v>0</v>
      </c>
      <c r="N704" s="35">
        <f ca="1"/>
        <v>0</v>
      </c>
      <c r="O704" s="35">
        <f ca="1"/>
        <v>0</v>
      </c>
      <c r="P704" s="35">
        <f ca="1"/>
        <v>166744.63255827967</v>
      </c>
      <c r="Q704" s="35">
        <f ca="1"/>
        <v>166744.63255827967</v>
      </c>
    </row>
    <row r="705" spans="8:17">
      <c r="H705" s="35">
        <v>703</v>
      </c>
      <c r="I705" s="35">
        <f ca="1"/>
        <v>1</v>
      </c>
      <c r="J705" s="35">
        <f ca="1"/>
        <v>1</v>
      </c>
      <c r="K705" s="35">
        <f ca="1"/>
        <v>0</v>
      </c>
      <c r="L705" s="35">
        <f ca="1"/>
        <v>1</v>
      </c>
      <c r="M705" s="35">
        <f ca="1"/>
        <v>11407.509358906684</v>
      </c>
      <c r="N705" s="35">
        <f ca="1"/>
        <v>33492.582262519907</v>
      </c>
      <c r="O705" s="35">
        <f ca="1"/>
        <v>0</v>
      </c>
      <c r="P705" s="35">
        <f ca="1"/>
        <v>221111.40627211181</v>
      </c>
      <c r="Q705" s="35">
        <f ca="1"/>
        <v>266011.49789353838</v>
      </c>
    </row>
    <row r="706" spans="8:17">
      <c r="H706" s="35">
        <v>704</v>
      </c>
      <c r="I706" s="35">
        <f ca="1"/>
        <v>0</v>
      </c>
      <c r="J706" s="35">
        <f ca="1"/>
        <v>0</v>
      </c>
      <c r="K706" s="35">
        <f ca="1"/>
        <v>0</v>
      </c>
      <c r="L706" s="35">
        <f ca="1"/>
        <v>0</v>
      </c>
      <c r="M706" s="35">
        <f ca="1"/>
        <v>0</v>
      </c>
      <c r="N706" s="35">
        <f ca="1"/>
        <v>0</v>
      </c>
      <c r="O706" s="35">
        <f ca="1"/>
        <v>0</v>
      </c>
      <c r="P706" s="35">
        <f ca="1"/>
        <v>0</v>
      </c>
      <c r="Q706" s="35">
        <f ca="1"/>
        <v>0</v>
      </c>
    </row>
    <row r="707" spans="8:17">
      <c r="H707" s="35">
        <v>705</v>
      </c>
      <c r="I707" s="35">
        <f ca="1"/>
        <v>0</v>
      </c>
      <c r="J707" s="35">
        <f ca="1"/>
        <v>1</v>
      </c>
      <c r="K707" s="35">
        <f ca="1"/>
        <v>1</v>
      </c>
      <c r="L707" s="35">
        <f ca="1"/>
        <v>1</v>
      </c>
      <c r="M707" s="35">
        <f ca="1"/>
        <v>0</v>
      </c>
      <c r="N707" s="35">
        <f ca="1"/>
        <v>33615.352425892183</v>
      </c>
      <c r="O707" s="35">
        <f ca="1"/>
        <v>278.4316429040955</v>
      </c>
      <c r="P707" s="35">
        <f ca="1"/>
        <v>95787.483651012328</v>
      </c>
      <c r="Q707" s="35">
        <f ca="1"/>
        <v>129681.2677198086</v>
      </c>
    </row>
    <row r="708" spans="8:17">
      <c r="H708" s="35">
        <v>706</v>
      </c>
      <c r="I708" s="35">
        <f ca="1"/>
        <v>0</v>
      </c>
      <c r="J708" s="35">
        <f ca="1"/>
        <v>0</v>
      </c>
      <c r="K708" s="35">
        <f ca="1"/>
        <v>0</v>
      </c>
      <c r="L708" s="35">
        <f ca="1"/>
        <v>1</v>
      </c>
      <c r="M708" s="35">
        <f ca="1"/>
        <v>0</v>
      </c>
      <c r="N708" s="35">
        <f ca="1"/>
        <v>0</v>
      </c>
      <c r="O708" s="35">
        <f ca="1"/>
        <v>0</v>
      </c>
      <c r="P708" s="35">
        <f ca="1"/>
        <v>120449.43320441589</v>
      </c>
      <c r="Q708" s="35">
        <f ca="1"/>
        <v>120449.43320441589</v>
      </c>
    </row>
    <row r="709" spans="8:17">
      <c r="H709" s="35">
        <v>707</v>
      </c>
      <c r="I709" s="35">
        <f ca="1"/>
        <v>0</v>
      </c>
      <c r="J709" s="35">
        <f ca="1"/>
        <v>0</v>
      </c>
      <c r="K709" s="35">
        <f ca="1"/>
        <v>0</v>
      </c>
      <c r="L709" s="35">
        <f ca="1"/>
        <v>1</v>
      </c>
      <c r="M709" s="35">
        <f ca="1"/>
        <v>0</v>
      </c>
      <c r="N709" s="35">
        <f ca="1"/>
        <v>0</v>
      </c>
      <c r="O709" s="35">
        <f ca="1"/>
        <v>0</v>
      </c>
      <c r="P709" s="35">
        <f ca="1"/>
        <v>155729.22413418436</v>
      </c>
      <c r="Q709" s="35">
        <f ca="1"/>
        <v>155729.22413418436</v>
      </c>
    </row>
    <row r="710" spans="8:17">
      <c r="H710" s="35">
        <v>708</v>
      </c>
      <c r="I710" s="35">
        <f ca="1"/>
        <v>1</v>
      </c>
      <c r="J710" s="35">
        <f ca="1"/>
        <v>0</v>
      </c>
      <c r="K710" s="35">
        <f ca="1"/>
        <v>0</v>
      </c>
      <c r="L710" s="35">
        <f ca="1"/>
        <v>0</v>
      </c>
      <c r="M710" s="35">
        <f ca="1"/>
        <v>13692.945917865964</v>
      </c>
      <c r="N710" s="35">
        <f ca="1"/>
        <v>0</v>
      </c>
      <c r="O710" s="35">
        <f ca="1"/>
        <v>0</v>
      </c>
      <c r="P710" s="35">
        <f ca="1"/>
        <v>0</v>
      </c>
      <c r="Q710" s="35">
        <f ca="1"/>
        <v>13692.945917865964</v>
      </c>
    </row>
    <row r="711" spans="8:17">
      <c r="H711" s="35">
        <v>709</v>
      </c>
      <c r="I711" s="35">
        <f ca="1"/>
        <v>0</v>
      </c>
      <c r="J711" s="35">
        <f ca="1"/>
        <v>0</v>
      </c>
      <c r="K711" s="35">
        <f ca="1"/>
        <v>0</v>
      </c>
      <c r="L711" s="35">
        <f ca="1"/>
        <v>1</v>
      </c>
      <c r="M711" s="35">
        <f ca="1"/>
        <v>0</v>
      </c>
      <c r="N711" s="35">
        <f ca="1"/>
        <v>0</v>
      </c>
      <c r="O711" s="35">
        <f ca="1"/>
        <v>0</v>
      </c>
      <c r="P711" s="35">
        <f ca="1"/>
        <v>100732.27272219687</v>
      </c>
      <c r="Q711" s="35">
        <f ca="1"/>
        <v>100732.27272219687</v>
      </c>
    </row>
    <row r="712" spans="8:17">
      <c r="H712" s="35">
        <v>710</v>
      </c>
      <c r="I712" s="35">
        <f ca="1"/>
        <v>1</v>
      </c>
      <c r="J712" s="35">
        <f ca="1"/>
        <v>1</v>
      </c>
      <c r="K712" s="35">
        <f ca="1"/>
        <v>0</v>
      </c>
      <c r="L712" s="35">
        <f ca="1"/>
        <v>1</v>
      </c>
      <c r="M712" s="35">
        <f ca="1"/>
        <v>12417.273296763813</v>
      </c>
      <c r="N712" s="35">
        <f ca="1"/>
        <v>26382.547891025257</v>
      </c>
      <c r="O712" s="35">
        <f ca="1"/>
        <v>0</v>
      </c>
      <c r="P712" s="35">
        <f ca="1"/>
        <v>157709.31133684877</v>
      </c>
      <c r="Q712" s="35">
        <f ca="1"/>
        <v>196509.13252463785</v>
      </c>
    </row>
    <row r="713" spans="8:17">
      <c r="H713" s="35">
        <v>711</v>
      </c>
      <c r="I713" s="35">
        <f ca="1"/>
        <v>0</v>
      </c>
      <c r="J713" s="35">
        <f ca="1"/>
        <v>0</v>
      </c>
      <c r="K713" s="35">
        <f ca="1"/>
        <v>0</v>
      </c>
      <c r="L713" s="35">
        <f ca="1"/>
        <v>1</v>
      </c>
      <c r="M713" s="35">
        <f ca="1"/>
        <v>0</v>
      </c>
      <c r="N713" s="35">
        <f ca="1"/>
        <v>0</v>
      </c>
      <c r="O713" s="35">
        <f ca="1"/>
        <v>0</v>
      </c>
      <c r="P713" s="35">
        <f ca="1"/>
        <v>130453.89976927634</v>
      </c>
      <c r="Q713" s="35">
        <f ca="1"/>
        <v>130453.89976927634</v>
      </c>
    </row>
    <row r="714" spans="8:17">
      <c r="H714" s="35">
        <v>712</v>
      </c>
      <c r="I714" s="35">
        <f ca="1"/>
        <v>1</v>
      </c>
      <c r="J714" s="35">
        <f ca="1"/>
        <v>0</v>
      </c>
      <c r="K714" s="35">
        <f ca="1"/>
        <v>0</v>
      </c>
      <c r="L714" s="35">
        <f ca="1"/>
        <v>1</v>
      </c>
      <c r="M714" s="35">
        <f ca="1"/>
        <v>14817.178264498043</v>
      </c>
      <c r="N714" s="35">
        <f ca="1"/>
        <v>0</v>
      </c>
      <c r="O714" s="35">
        <f ca="1"/>
        <v>0</v>
      </c>
      <c r="P714" s="35">
        <f ca="1"/>
        <v>154227.69189326421</v>
      </c>
      <c r="Q714" s="35">
        <f ca="1"/>
        <v>169044.87015776226</v>
      </c>
    </row>
    <row r="715" spans="8:17">
      <c r="H715" s="35">
        <v>713</v>
      </c>
      <c r="I715" s="35">
        <f ca="1"/>
        <v>0</v>
      </c>
      <c r="J715" s="35">
        <f ca="1"/>
        <v>0</v>
      </c>
      <c r="K715" s="35">
        <f ca="1"/>
        <v>0</v>
      </c>
      <c r="L715" s="35">
        <f ca="1"/>
        <v>1</v>
      </c>
      <c r="M715" s="35">
        <f ca="1"/>
        <v>0</v>
      </c>
      <c r="N715" s="35">
        <f ca="1"/>
        <v>0</v>
      </c>
      <c r="O715" s="35">
        <f ca="1"/>
        <v>0</v>
      </c>
      <c r="P715" s="35">
        <f ca="1"/>
        <v>194438.14737965446</v>
      </c>
      <c r="Q715" s="35">
        <f ca="1"/>
        <v>194438.14737965446</v>
      </c>
    </row>
    <row r="716" spans="8:17">
      <c r="H716" s="35">
        <v>714</v>
      </c>
      <c r="I716" s="35">
        <f ca="1"/>
        <v>0</v>
      </c>
      <c r="J716" s="35">
        <f ca="1"/>
        <v>0</v>
      </c>
      <c r="K716" s="35">
        <f ca="1"/>
        <v>1</v>
      </c>
      <c r="L716" s="35">
        <f ca="1"/>
        <v>1</v>
      </c>
      <c r="M716" s="35">
        <f ca="1"/>
        <v>0</v>
      </c>
      <c r="N716" s="35">
        <f ca="1"/>
        <v>0</v>
      </c>
      <c r="O716" s="35">
        <f ca="1"/>
        <v>441.82690570550079</v>
      </c>
      <c r="P716" s="35">
        <f ca="1"/>
        <v>87022.798353556471</v>
      </c>
      <c r="Q716" s="35">
        <f ca="1"/>
        <v>87464.625259261971</v>
      </c>
    </row>
    <row r="717" spans="8:17">
      <c r="H717" s="35">
        <v>715</v>
      </c>
      <c r="I717" s="35">
        <f ca="1"/>
        <v>0</v>
      </c>
      <c r="J717" s="35">
        <f ca="1"/>
        <v>0</v>
      </c>
      <c r="K717" s="35">
        <f ca="1"/>
        <v>0</v>
      </c>
      <c r="L717" s="35">
        <f ca="1"/>
        <v>1</v>
      </c>
      <c r="M717" s="35">
        <f ca="1"/>
        <v>0</v>
      </c>
      <c r="N717" s="35">
        <f ca="1"/>
        <v>0</v>
      </c>
      <c r="O717" s="35">
        <f ca="1"/>
        <v>0</v>
      </c>
      <c r="P717" s="35">
        <f ca="1"/>
        <v>206088.360270151</v>
      </c>
      <c r="Q717" s="35">
        <f ca="1"/>
        <v>206088.360270151</v>
      </c>
    </row>
    <row r="718" spans="8:17">
      <c r="H718" s="35">
        <v>716</v>
      </c>
      <c r="I718" s="35">
        <f ca="1"/>
        <v>0</v>
      </c>
      <c r="J718" s="35">
        <f ca="1"/>
        <v>1</v>
      </c>
      <c r="K718" s="35">
        <f ca="1"/>
        <v>0</v>
      </c>
      <c r="L718" s="35">
        <f ca="1"/>
        <v>1</v>
      </c>
      <c r="M718" s="35">
        <f ca="1"/>
        <v>0</v>
      </c>
      <c r="N718" s="35">
        <f ca="1"/>
        <v>42216.304697240645</v>
      </c>
      <c r="O718" s="35">
        <f ca="1"/>
        <v>0</v>
      </c>
      <c r="P718" s="35">
        <f ca="1"/>
        <v>106403.19832129858</v>
      </c>
      <c r="Q718" s="35">
        <f ca="1"/>
        <v>148619.50301853922</v>
      </c>
    </row>
    <row r="719" spans="8:17">
      <c r="H719" s="35">
        <v>717</v>
      </c>
      <c r="I719" s="35">
        <f ca="1"/>
        <v>0</v>
      </c>
      <c r="J719" s="35">
        <f ca="1"/>
        <v>1</v>
      </c>
      <c r="K719" s="35">
        <f ca="1"/>
        <v>0</v>
      </c>
      <c r="L719" s="35">
        <f ca="1"/>
        <v>1</v>
      </c>
      <c r="M719" s="35">
        <f ca="1"/>
        <v>0</v>
      </c>
      <c r="N719" s="35">
        <f ca="1"/>
        <v>24477.967750617303</v>
      </c>
      <c r="O719" s="35">
        <f ca="1"/>
        <v>0</v>
      </c>
      <c r="P719" s="35">
        <f ca="1"/>
        <v>156127.46200015506</v>
      </c>
      <c r="Q719" s="35">
        <f ca="1"/>
        <v>180605.42975077237</v>
      </c>
    </row>
    <row r="720" spans="8:17">
      <c r="H720" s="35">
        <v>718</v>
      </c>
      <c r="I720" s="35">
        <f ca="1"/>
        <v>0</v>
      </c>
      <c r="J720" s="35">
        <f ca="1"/>
        <v>1</v>
      </c>
      <c r="K720" s="35">
        <f ca="1"/>
        <v>0</v>
      </c>
      <c r="L720" s="35">
        <f ca="1"/>
        <v>1</v>
      </c>
      <c r="M720" s="35">
        <f ca="1"/>
        <v>0</v>
      </c>
      <c r="N720" s="35">
        <f ca="1"/>
        <v>45066.052950309757</v>
      </c>
      <c r="O720" s="35">
        <f ca="1"/>
        <v>0</v>
      </c>
      <c r="P720" s="35">
        <f ca="1"/>
        <v>94330.181642060226</v>
      </c>
      <c r="Q720" s="35">
        <f ca="1"/>
        <v>139396.23459236999</v>
      </c>
    </row>
    <row r="721" spans="8:17">
      <c r="H721" s="35">
        <v>719</v>
      </c>
      <c r="I721" s="35">
        <f ca="1"/>
        <v>0</v>
      </c>
      <c r="J721" s="35">
        <f ca="1"/>
        <v>0</v>
      </c>
      <c r="K721" s="35">
        <f ca="1"/>
        <v>0</v>
      </c>
      <c r="L721" s="35">
        <f ca="1"/>
        <v>1</v>
      </c>
      <c r="M721" s="35">
        <f ca="1"/>
        <v>0</v>
      </c>
      <c r="N721" s="35">
        <f ca="1"/>
        <v>0</v>
      </c>
      <c r="O721" s="35">
        <f ca="1"/>
        <v>0</v>
      </c>
      <c r="P721" s="35">
        <f ca="1"/>
        <v>117571.207529133</v>
      </c>
      <c r="Q721" s="35">
        <f ca="1"/>
        <v>117571.207529133</v>
      </c>
    </row>
    <row r="722" spans="8:17">
      <c r="H722" s="35">
        <v>720</v>
      </c>
      <c r="I722" s="35">
        <f ca="1"/>
        <v>0</v>
      </c>
      <c r="J722" s="35">
        <f ca="1"/>
        <v>0</v>
      </c>
      <c r="K722" s="35">
        <f ca="1"/>
        <v>0</v>
      </c>
      <c r="L722" s="35">
        <f ca="1"/>
        <v>1</v>
      </c>
      <c r="M722" s="35">
        <f ca="1"/>
        <v>0</v>
      </c>
      <c r="N722" s="35">
        <f ca="1"/>
        <v>0</v>
      </c>
      <c r="O722" s="35">
        <f ca="1"/>
        <v>0</v>
      </c>
      <c r="P722" s="35">
        <f ca="1"/>
        <v>148435.22928912457</v>
      </c>
      <c r="Q722" s="35">
        <f ca="1"/>
        <v>148435.22928912457</v>
      </c>
    </row>
    <row r="723" spans="8:17">
      <c r="H723" s="35">
        <v>721</v>
      </c>
      <c r="I723" s="35">
        <f ca="1"/>
        <v>0</v>
      </c>
      <c r="J723" s="35">
        <f ca="1"/>
        <v>1</v>
      </c>
      <c r="K723" s="35">
        <f ca="1"/>
        <v>0</v>
      </c>
      <c r="L723" s="35">
        <f ca="1"/>
        <v>1</v>
      </c>
      <c r="M723" s="35">
        <f ca="1"/>
        <v>0</v>
      </c>
      <c r="N723" s="35">
        <f ca="1"/>
        <v>40671.803772106818</v>
      </c>
      <c r="O723" s="35">
        <f ca="1"/>
        <v>0</v>
      </c>
      <c r="P723" s="35">
        <f ca="1"/>
        <v>170481.9532030535</v>
      </c>
      <c r="Q723" s="35">
        <f ca="1"/>
        <v>211153.75697516033</v>
      </c>
    </row>
    <row r="724" spans="8:17">
      <c r="H724" s="35">
        <v>722</v>
      </c>
      <c r="I724" s="35">
        <f ca="1"/>
        <v>0</v>
      </c>
      <c r="J724" s="35">
        <f ca="1"/>
        <v>0</v>
      </c>
      <c r="K724" s="35">
        <f ca="1"/>
        <v>0</v>
      </c>
      <c r="L724" s="35">
        <f ca="1"/>
        <v>1</v>
      </c>
      <c r="M724" s="35">
        <f ca="1"/>
        <v>0</v>
      </c>
      <c r="N724" s="35">
        <f ca="1"/>
        <v>0</v>
      </c>
      <c r="O724" s="35">
        <f ca="1"/>
        <v>0</v>
      </c>
      <c r="P724" s="35">
        <f ca="1"/>
        <v>150524.50954328451</v>
      </c>
      <c r="Q724" s="35">
        <f ca="1"/>
        <v>150524.50954328451</v>
      </c>
    </row>
    <row r="725" spans="8:17">
      <c r="H725" s="35">
        <v>723</v>
      </c>
      <c r="I725" s="35">
        <f ca="1"/>
        <v>0</v>
      </c>
      <c r="J725" s="35">
        <f ca="1"/>
        <v>0</v>
      </c>
      <c r="K725" s="35">
        <f ca="1"/>
        <v>1</v>
      </c>
      <c r="L725" s="35">
        <f ca="1"/>
        <v>0</v>
      </c>
      <c r="M725" s="35">
        <f ca="1"/>
        <v>0</v>
      </c>
      <c r="N725" s="35">
        <f ca="1"/>
        <v>0</v>
      </c>
      <c r="O725" s="35">
        <f ca="1"/>
        <v>236.56773692577008</v>
      </c>
      <c r="P725" s="35">
        <f ca="1"/>
        <v>0</v>
      </c>
      <c r="Q725" s="35">
        <f ca="1"/>
        <v>236.56773692577008</v>
      </c>
    </row>
    <row r="726" spans="8:17">
      <c r="H726" s="35">
        <v>724</v>
      </c>
      <c r="I726" s="35">
        <f ca="1"/>
        <v>0</v>
      </c>
      <c r="J726" s="35">
        <f ca="1"/>
        <v>0</v>
      </c>
      <c r="K726" s="35">
        <f ca="1"/>
        <v>1</v>
      </c>
      <c r="L726" s="35">
        <f ca="1"/>
        <v>1</v>
      </c>
      <c r="M726" s="35">
        <f ca="1"/>
        <v>0</v>
      </c>
      <c r="N726" s="35">
        <f ca="1"/>
        <v>0</v>
      </c>
      <c r="O726" s="35">
        <f ca="1"/>
        <v>80.632968542745104</v>
      </c>
      <c r="P726" s="35">
        <f ca="1"/>
        <v>205766.84592768311</v>
      </c>
      <c r="Q726" s="35">
        <f ca="1"/>
        <v>205847.47889622586</v>
      </c>
    </row>
    <row r="727" spans="8:17">
      <c r="H727" s="35">
        <v>725</v>
      </c>
      <c r="I727" s="35">
        <f ca="1"/>
        <v>0</v>
      </c>
      <c r="J727" s="35">
        <f ca="1"/>
        <v>0</v>
      </c>
      <c r="K727" s="35">
        <f ca="1"/>
        <v>0</v>
      </c>
      <c r="L727" s="35">
        <f ca="1"/>
        <v>1</v>
      </c>
      <c r="M727" s="35">
        <f ca="1"/>
        <v>0</v>
      </c>
      <c r="N727" s="35">
        <f ca="1"/>
        <v>0</v>
      </c>
      <c r="O727" s="35">
        <f ca="1"/>
        <v>0</v>
      </c>
      <c r="P727" s="35">
        <f ca="1"/>
        <v>99034.620559921779</v>
      </c>
      <c r="Q727" s="35">
        <f ca="1"/>
        <v>99034.620559921779</v>
      </c>
    </row>
    <row r="728" spans="8:17">
      <c r="H728" s="35">
        <v>726</v>
      </c>
      <c r="I728" s="35">
        <f ca="1"/>
        <v>0</v>
      </c>
      <c r="J728" s="35">
        <f ca="1"/>
        <v>0</v>
      </c>
      <c r="K728" s="35">
        <f ca="1"/>
        <v>0</v>
      </c>
      <c r="L728" s="35">
        <f ca="1"/>
        <v>1</v>
      </c>
      <c r="M728" s="35">
        <f ca="1"/>
        <v>0</v>
      </c>
      <c r="N728" s="35">
        <f ca="1"/>
        <v>0</v>
      </c>
      <c r="O728" s="35">
        <f ca="1"/>
        <v>0</v>
      </c>
      <c r="P728" s="35">
        <f ca="1"/>
        <v>83304.42634028841</v>
      </c>
      <c r="Q728" s="35">
        <f ca="1"/>
        <v>83304.42634028841</v>
      </c>
    </row>
    <row r="729" spans="8:17">
      <c r="H729" s="35">
        <v>727</v>
      </c>
      <c r="I729" s="35">
        <f ca="1"/>
        <v>0</v>
      </c>
      <c r="J729" s="35">
        <f ca="1"/>
        <v>0</v>
      </c>
      <c r="K729" s="35">
        <f ca="1"/>
        <v>1</v>
      </c>
      <c r="L729" s="35">
        <f ca="1"/>
        <v>1</v>
      </c>
      <c r="M729" s="35">
        <f ca="1"/>
        <v>0</v>
      </c>
      <c r="N729" s="35">
        <f ca="1"/>
        <v>0</v>
      </c>
      <c r="O729" s="35">
        <f ca="1"/>
        <v>87.204549174433836</v>
      </c>
      <c r="P729" s="35">
        <f ca="1"/>
        <v>140257.30161609108</v>
      </c>
      <c r="Q729" s="35">
        <f ca="1"/>
        <v>140344.50616526551</v>
      </c>
    </row>
    <row r="730" spans="8:17">
      <c r="H730" s="35">
        <v>728</v>
      </c>
      <c r="I730" s="35">
        <f ca="1"/>
        <v>0</v>
      </c>
      <c r="J730" s="35">
        <f ca="1"/>
        <v>1</v>
      </c>
      <c r="K730" s="35">
        <f ca="1"/>
        <v>0</v>
      </c>
      <c r="L730" s="35">
        <f ca="1"/>
        <v>0</v>
      </c>
      <c r="M730" s="35">
        <f ca="1"/>
        <v>0</v>
      </c>
      <c r="N730" s="35">
        <f ca="1"/>
        <v>19168.650375107583</v>
      </c>
      <c r="O730" s="35">
        <f ca="1"/>
        <v>0</v>
      </c>
      <c r="P730" s="35">
        <f ca="1"/>
        <v>0</v>
      </c>
      <c r="Q730" s="35">
        <f ca="1"/>
        <v>19168.650375107583</v>
      </c>
    </row>
    <row r="731" spans="8:17">
      <c r="H731" s="35">
        <v>729</v>
      </c>
      <c r="I731" s="35">
        <f ca="1"/>
        <v>0</v>
      </c>
      <c r="J731" s="35">
        <f ca="1"/>
        <v>0</v>
      </c>
      <c r="K731" s="35">
        <f ca="1"/>
        <v>1</v>
      </c>
      <c r="L731" s="35">
        <f ca="1"/>
        <v>1</v>
      </c>
      <c r="M731" s="35">
        <f ca="1"/>
        <v>0</v>
      </c>
      <c r="N731" s="35">
        <f ca="1"/>
        <v>0</v>
      </c>
      <c r="O731" s="35">
        <f ca="1"/>
        <v>299.16803531549277</v>
      </c>
      <c r="P731" s="35">
        <f ca="1"/>
        <v>121859.3419537951</v>
      </c>
      <c r="Q731" s="35">
        <f ca="1"/>
        <v>122158.50998911059</v>
      </c>
    </row>
    <row r="732" spans="8:17">
      <c r="H732" s="35">
        <v>730</v>
      </c>
      <c r="I732" s="35">
        <f ca="1"/>
        <v>0</v>
      </c>
      <c r="J732" s="35">
        <f ca="1"/>
        <v>0</v>
      </c>
      <c r="K732" s="35">
        <f ca="1"/>
        <v>0</v>
      </c>
      <c r="L732" s="35">
        <f ca="1"/>
        <v>1</v>
      </c>
      <c r="M732" s="35">
        <f ca="1"/>
        <v>0</v>
      </c>
      <c r="N732" s="35">
        <f ca="1"/>
        <v>0</v>
      </c>
      <c r="O732" s="35">
        <f ca="1"/>
        <v>0</v>
      </c>
      <c r="P732" s="35">
        <f ca="1"/>
        <v>197621.28230823472</v>
      </c>
      <c r="Q732" s="35">
        <f ca="1"/>
        <v>197621.28230823472</v>
      </c>
    </row>
    <row r="733" spans="8:17">
      <c r="H733" s="35">
        <v>731</v>
      </c>
      <c r="I733" s="35">
        <f ca="1"/>
        <v>0</v>
      </c>
      <c r="J733" s="35">
        <f ca="1"/>
        <v>0</v>
      </c>
      <c r="K733" s="35">
        <f ca="1"/>
        <v>1</v>
      </c>
      <c r="L733" s="35">
        <f ca="1"/>
        <v>1</v>
      </c>
      <c r="M733" s="35">
        <f ca="1"/>
        <v>0</v>
      </c>
      <c r="N733" s="35">
        <f ca="1"/>
        <v>0</v>
      </c>
      <c r="O733" s="35">
        <f ca="1"/>
        <v>31.38305387533342</v>
      </c>
      <c r="P733" s="35">
        <f ca="1"/>
        <v>110143.6848521357</v>
      </c>
      <c r="Q733" s="35">
        <f ca="1"/>
        <v>110175.06790601104</v>
      </c>
    </row>
    <row r="734" spans="8:17">
      <c r="H734" s="35">
        <v>732</v>
      </c>
      <c r="I734" s="35">
        <f ca="1"/>
        <v>0</v>
      </c>
      <c r="J734" s="35">
        <f ca="1"/>
        <v>1</v>
      </c>
      <c r="K734" s="35">
        <f ca="1"/>
        <v>0</v>
      </c>
      <c r="L734" s="35">
        <f ca="1"/>
        <v>1</v>
      </c>
      <c r="M734" s="35">
        <f ca="1"/>
        <v>0</v>
      </c>
      <c r="N734" s="35">
        <f ca="1"/>
        <v>73569.868232512192</v>
      </c>
      <c r="O734" s="35">
        <f ca="1"/>
        <v>0</v>
      </c>
      <c r="P734" s="35">
        <f ca="1"/>
        <v>180623.41622136033</v>
      </c>
      <c r="Q734" s="35">
        <f ca="1"/>
        <v>254193.28445387253</v>
      </c>
    </row>
    <row r="735" spans="8:17">
      <c r="H735" s="35">
        <v>733</v>
      </c>
      <c r="I735" s="35">
        <f ca="1"/>
        <v>0</v>
      </c>
      <c r="J735" s="35">
        <f ca="1"/>
        <v>1</v>
      </c>
      <c r="K735" s="35">
        <f ca="1"/>
        <v>1</v>
      </c>
      <c r="L735" s="35">
        <f ca="1"/>
        <v>0</v>
      </c>
      <c r="M735" s="35">
        <f ca="1"/>
        <v>0</v>
      </c>
      <c r="N735" s="35">
        <f ca="1"/>
        <v>30850.155687462833</v>
      </c>
      <c r="O735" s="35">
        <f ca="1"/>
        <v>451.17398487750984</v>
      </c>
      <c r="P735" s="35">
        <f ca="1"/>
        <v>0</v>
      </c>
      <c r="Q735" s="35">
        <f ca="1"/>
        <v>31301.329672340344</v>
      </c>
    </row>
    <row r="736" spans="8:17">
      <c r="H736" s="35">
        <v>734</v>
      </c>
      <c r="I736" s="35">
        <f ca="1"/>
        <v>1</v>
      </c>
      <c r="J736" s="35">
        <f ca="1"/>
        <v>0</v>
      </c>
      <c r="K736" s="35">
        <f ca="1"/>
        <v>0</v>
      </c>
      <c r="L736" s="35">
        <f ca="1"/>
        <v>1</v>
      </c>
      <c r="M736" s="35">
        <f ca="1"/>
        <v>10775.63135988571</v>
      </c>
      <c r="N736" s="35">
        <f ca="1"/>
        <v>0</v>
      </c>
      <c r="O736" s="35">
        <f ca="1"/>
        <v>0</v>
      </c>
      <c r="P736" s="35">
        <f ca="1"/>
        <v>172135.86013587136</v>
      </c>
      <c r="Q736" s="35">
        <f ca="1"/>
        <v>182911.49149575707</v>
      </c>
    </row>
    <row r="737" spans="8:17">
      <c r="H737" s="35">
        <v>735</v>
      </c>
      <c r="I737" s="35">
        <f ca="1"/>
        <v>0</v>
      </c>
      <c r="J737" s="35">
        <f ca="1"/>
        <v>0</v>
      </c>
      <c r="K737" s="35">
        <f ca="1"/>
        <v>0</v>
      </c>
      <c r="L737" s="35">
        <f ca="1"/>
        <v>1</v>
      </c>
      <c r="M737" s="35">
        <f ca="1"/>
        <v>0</v>
      </c>
      <c r="N737" s="35">
        <f ca="1"/>
        <v>0</v>
      </c>
      <c r="O737" s="35">
        <f ca="1"/>
        <v>0</v>
      </c>
      <c r="P737" s="35">
        <f ca="1"/>
        <v>180010.90031773021</v>
      </c>
      <c r="Q737" s="35">
        <f ca="1"/>
        <v>180010.90031773021</v>
      </c>
    </row>
    <row r="738" spans="8:17">
      <c r="H738" s="35">
        <v>736</v>
      </c>
      <c r="I738" s="35">
        <f ca="1"/>
        <v>0</v>
      </c>
      <c r="J738" s="35">
        <f ca="1"/>
        <v>0</v>
      </c>
      <c r="K738" s="35">
        <f ca="1"/>
        <v>1</v>
      </c>
      <c r="L738" s="35">
        <f ca="1"/>
        <v>1</v>
      </c>
      <c r="M738" s="35">
        <f ca="1"/>
        <v>0</v>
      </c>
      <c r="N738" s="35">
        <f ca="1"/>
        <v>0</v>
      </c>
      <c r="O738" s="35">
        <f ca="1"/>
        <v>150.40117650629952</v>
      </c>
      <c r="P738" s="35">
        <f ca="1"/>
        <v>113744.8534375801</v>
      </c>
      <c r="Q738" s="35">
        <f ca="1"/>
        <v>113895.2546140864</v>
      </c>
    </row>
    <row r="739" spans="8:17">
      <c r="H739" s="35">
        <v>737</v>
      </c>
      <c r="I739" s="35">
        <f ca="1"/>
        <v>0</v>
      </c>
      <c r="J739" s="35">
        <f ca="1"/>
        <v>0</v>
      </c>
      <c r="K739" s="35">
        <f ca="1"/>
        <v>1</v>
      </c>
      <c r="L739" s="35">
        <f ca="1"/>
        <v>0</v>
      </c>
      <c r="M739" s="35">
        <f ca="1"/>
        <v>0</v>
      </c>
      <c r="N739" s="35">
        <f ca="1"/>
        <v>0</v>
      </c>
      <c r="O739" s="35">
        <f ca="1"/>
        <v>405.49161056580397</v>
      </c>
      <c r="P739" s="35">
        <f ca="1"/>
        <v>0</v>
      </c>
      <c r="Q739" s="35">
        <f ca="1"/>
        <v>405.49161056580397</v>
      </c>
    </row>
    <row r="740" spans="8:17">
      <c r="H740" s="35">
        <v>738</v>
      </c>
      <c r="I740" s="35">
        <f ca="1"/>
        <v>0</v>
      </c>
      <c r="J740" s="35">
        <f ca="1"/>
        <v>0</v>
      </c>
      <c r="K740" s="35">
        <f ca="1"/>
        <v>1</v>
      </c>
      <c r="L740" s="35">
        <f ca="1"/>
        <v>0</v>
      </c>
      <c r="M740" s="35">
        <f ca="1"/>
        <v>0</v>
      </c>
      <c r="N740" s="35">
        <f ca="1"/>
        <v>0</v>
      </c>
      <c r="O740" s="35">
        <f ca="1"/>
        <v>166.87524798666368</v>
      </c>
      <c r="P740" s="35">
        <f ca="1"/>
        <v>0</v>
      </c>
      <c r="Q740" s="35">
        <f ca="1"/>
        <v>166.87524798666368</v>
      </c>
    </row>
    <row r="741" spans="8:17">
      <c r="H741" s="35">
        <v>739</v>
      </c>
      <c r="I741" s="35">
        <f ca="1"/>
        <v>1</v>
      </c>
      <c r="J741" s="35">
        <f ca="1"/>
        <v>0</v>
      </c>
      <c r="K741" s="35">
        <f ca="1"/>
        <v>0</v>
      </c>
      <c r="L741" s="35">
        <f ca="1"/>
        <v>1</v>
      </c>
      <c r="M741" s="35">
        <f ca="1"/>
        <v>12434.634701094401</v>
      </c>
      <c r="N741" s="35">
        <f ca="1"/>
        <v>0</v>
      </c>
      <c r="O741" s="35">
        <f ca="1"/>
        <v>0</v>
      </c>
      <c r="P741" s="35">
        <f ca="1"/>
        <v>152494.77581096726</v>
      </c>
      <c r="Q741" s="35">
        <f ca="1"/>
        <v>164929.41051206167</v>
      </c>
    </row>
    <row r="742" spans="8:17">
      <c r="H742" s="35">
        <v>740</v>
      </c>
      <c r="I742" s="35">
        <f ca="1"/>
        <v>0</v>
      </c>
      <c r="J742" s="35">
        <f ca="1"/>
        <v>1</v>
      </c>
      <c r="K742" s="35">
        <f ca="1"/>
        <v>0</v>
      </c>
      <c r="L742" s="35">
        <f ca="1"/>
        <v>1</v>
      </c>
      <c r="M742" s="35">
        <f ca="1"/>
        <v>0</v>
      </c>
      <c r="N742" s="35">
        <f ca="1"/>
        <v>35594.589956952885</v>
      </c>
      <c r="O742" s="35">
        <f ca="1"/>
        <v>0</v>
      </c>
      <c r="P742" s="35">
        <f ca="1"/>
        <v>86352.529858289621</v>
      </c>
      <c r="Q742" s="35">
        <f ca="1"/>
        <v>121947.11981524251</v>
      </c>
    </row>
    <row r="743" spans="8:17">
      <c r="H743" s="35">
        <v>741</v>
      </c>
      <c r="I743" s="35">
        <f ca="1"/>
        <v>1</v>
      </c>
      <c r="J743" s="35">
        <f ca="1"/>
        <v>0</v>
      </c>
      <c r="K743" s="35">
        <f ca="1"/>
        <v>0</v>
      </c>
      <c r="L743" s="35">
        <f ca="1"/>
        <v>0</v>
      </c>
      <c r="M743" s="35">
        <f ca="1"/>
        <v>2554.2543611165688</v>
      </c>
      <c r="N743" s="35">
        <f ca="1"/>
        <v>0</v>
      </c>
      <c r="O743" s="35">
        <f ca="1"/>
        <v>0</v>
      </c>
      <c r="P743" s="35">
        <f ca="1"/>
        <v>0</v>
      </c>
      <c r="Q743" s="35">
        <f ca="1"/>
        <v>2554.2543611165688</v>
      </c>
    </row>
    <row r="744" spans="8:17">
      <c r="H744" s="35">
        <v>742</v>
      </c>
      <c r="I744" s="35">
        <f ca="1"/>
        <v>0</v>
      </c>
      <c r="J744" s="35">
        <f ca="1"/>
        <v>0</v>
      </c>
      <c r="K744" s="35">
        <f ca="1"/>
        <v>0</v>
      </c>
      <c r="L744" s="35">
        <f ca="1"/>
        <v>0</v>
      </c>
      <c r="M744" s="35">
        <f ca="1"/>
        <v>0</v>
      </c>
      <c r="N744" s="35">
        <f ca="1"/>
        <v>0</v>
      </c>
      <c r="O744" s="35">
        <f ca="1"/>
        <v>0</v>
      </c>
      <c r="P744" s="35">
        <f ca="1"/>
        <v>0</v>
      </c>
      <c r="Q744" s="35">
        <f ca="1"/>
        <v>0</v>
      </c>
    </row>
    <row r="745" spans="8:17">
      <c r="H745" s="35">
        <v>743</v>
      </c>
      <c r="I745" s="35">
        <f ca="1"/>
        <v>0</v>
      </c>
      <c r="J745" s="35">
        <f ca="1"/>
        <v>0</v>
      </c>
      <c r="K745" s="35">
        <f ca="1"/>
        <v>1</v>
      </c>
      <c r="L745" s="35">
        <f ca="1"/>
        <v>1</v>
      </c>
      <c r="M745" s="35">
        <f ca="1"/>
        <v>0</v>
      </c>
      <c r="N745" s="35">
        <f ca="1"/>
        <v>0</v>
      </c>
      <c r="O745" s="35">
        <f ca="1"/>
        <v>269.42531744918466</v>
      </c>
      <c r="P745" s="35">
        <f ca="1"/>
        <v>175291.73058599242</v>
      </c>
      <c r="Q745" s="35">
        <f ca="1"/>
        <v>175561.1559034416</v>
      </c>
    </row>
    <row r="746" spans="8:17">
      <c r="H746" s="35">
        <v>744</v>
      </c>
      <c r="I746" s="35">
        <f ca="1"/>
        <v>0</v>
      </c>
      <c r="J746" s="35">
        <f ca="1"/>
        <v>0</v>
      </c>
      <c r="K746" s="35">
        <f ca="1"/>
        <v>0</v>
      </c>
      <c r="L746" s="35">
        <f ca="1"/>
        <v>1</v>
      </c>
      <c r="M746" s="35">
        <f ca="1"/>
        <v>0</v>
      </c>
      <c r="N746" s="35">
        <f ca="1"/>
        <v>0</v>
      </c>
      <c r="O746" s="35">
        <f ca="1"/>
        <v>0</v>
      </c>
      <c r="P746" s="35">
        <f ca="1"/>
        <v>141522.90287459097</v>
      </c>
      <c r="Q746" s="35">
        <f ca="1"/>
        <v>141522.90287459097</v>
      </c>
    </row>
    <row r="747" spans="8:17">
      <c r="H747" s="35">
        <v>745</v>
      </c>
      <c r="I747" s="35">
        <f ca="1"/>
        <v>0</v>
      </c>
      <c r="J747" s="35">
        <f ca="1"/>
        <v>0</v>
      </c>
      <c r="K747" s="35">
        <f ca="1"/>
        <v>0</v>
      </c>
      <c r="L747" s="35">
        <f ca="1"/>
        <v>1</v>
      </c>
      <c r="M747" s="35">
        <f ca="1"/>
        <v>0</v>
      </c>
      <c r="N747" s="35">
        <f ca="1"/>
        <v>0</v>
      </c>
      <c r="O747" s="35">
        <f ca="1"/>
        <v>0</v>
      </c>
      <c r="P747" s="35">
        <f ca="1"/>
        <v>156484.13478529768</v>
      </c>
      <c r="Q747" s="35">
        <f ca="1"/>
        <v>156484.13478529768</v>
      </c>
    </row>
    <row r="748" spans="8:17">
      <c r="H748" s="35">
        <v>746</v>
      </c>
      <c r="I748" s="35">
        <f ca="1"/>
        <v>0</v>
      </c>
      <c r="J748" s="35">
        <f ca="1"/>
        <v>0</v>
      </c>
      <c r="K748" s="35">
        <f ca="1"/>
        <v>0</v>
      </c>
      <c r="L748" s="35">
        <f ca="1"/>
        <v>1</v>
      </c>
      <c r="M748" s="35">
        <f ca="1"/>
        <v>0</v>
      </c>
      <c r="N748" s="35">
        <f ca="1"/>
        <v>0</v>
      </c>
      <c r="O748" s="35">
        <f ca="1"/>
        <v>0</v>
      </c>
      <c r="P748" s="35">
        <f ca="1"/>
        <v>196842.57368459768</v>
      </c>
      <c r="Q748" s="35">
        <f ca="1"/>
        <v>196842.57368459768</v>
      </c>
    </row>
    <row r="749" spans="8:17">
      <c r="H749" s="35">
        <v>747</v>
      </c>
      <c r="I749" s="35">
        <f ca="1"/>
        <v>1</v>
      </c>
      <c r="J749" s="35">
        <f ca="1"/>
        <v>0</v>
      </c>
      <c r="K749" s="35">
        <f ca="1"/>
        <v>0</v>
      </c>
      <c r="L749" s="35">
        <f ca="1"/>
        <v>1</v>
      </c>
      <c r="M749" s="35">
        <f ca="1"/>
        <v>12912.630570016892</v>
      </c>
      <c r="N749" s="35">
        <f ca="1"/>
        <v>0</v>
      </c>
      <c r="O749" s="35">
        <f ca="1"/>
        <v>0</v>
      </c>
      <c r="P749" s="35">
        <f ca="1"/>
        <v>180136.86379654182</v>
      </c>
      <c r="Q749" s="35">
        <f ca="1"/>
        <v>193049.49436655871</v>
      </c>
    </row>
    <row r="750" spans="8:17">
      <c r="H750" s="35">
        <v>748</v>
      </c>
      <c r="I750" s="35">
        <f ca="1"/>
        <v>1</v>
      </c>
      <c r="J750" s="35">
        <f ca="1"/>
        <v>0</v>
      </c>
      <c r="K750" s="35">
        <f ca="1"/>
        <v>0</v>
      </c>
      <c r="L750" s="35">
        <f ca="1"/>
        <v>1</v>
      </c>
      <c r="M750" s="35">
        <f ca="1"/>
        <v>4904.6019803779163</v>
      </c>
      <c r="N750" s="35">
        <f ca="1"/>
        <v>0</v>
      </c>
      <c r="O750" s="35">
        <f ca="1"/>
        <v>0</v>
      </c>
      <c r="P750" s="35">
        <f ca="1"/>
        <v>112812.40071779251</v>
      </c>
      <c r="Q750" s="35">
        <f ca="1"/>
        <v>117717.00269817043</v>
      </c>
    </row>
    <row r="751" spans="8:17">
      <c r="H751" s="35">
        <v>749</v>
      </c>
      <c r="I751" s="35">
        <f ca="1"/>
        <v>1</v>
      </c>
      <c r="J751" s="35">
        <f ca="1"/>
        <v>0</v>
      </c>
      <c r="K751" s="35">
        <f ca="1"/>
        <v>0</v>
      </c>
      <c r="L751" s="35">
        <f ca="1"/>
        <v>1</v>
      </c>
      <c r="M751" s="35">
        <f ca="1"/>
        <v>6093.5035829116996</v>
      </c>
      <c r="N751" s="35">
        <f ca="1"/>
        <v>0</v>
      </c>
      <c r="O751" s="35">
        <f ca="1"/>
        <v>0</v>
      </c>
      <c r="P751" s="35">
        <f ca="1"/>
        <v>88044.490823554574</v>
      </c>
      <c r="Q751" s="35">
        <f ca="1"/>
        <v>94137.99440646627</v>
      </c>
    </row>
    <row r="752" spans="8:17">
      <c r="H752" s="35">
        <v>750</v>
      </c>
      <c r="I752" s="35">
        <f ca="1"/>
        <v>0</v>
      </c>
      <c r="J752" s="35">
        <f ca="1"/>
        <v>0</v>
      </c>
      <c r="K752" s="35">
        <f ca="1"/>
        <v>0</v>
      </c>
      <c r="L752" s="35">
        <f ca="1"/>
        <v>1</v>
      </c>
      <c r="M752" s="35">
        <f ca="1"/>
        <v>0</v>
      </c>
      <c r="N752" s="35">
        <f ca="1"/>
        <v>0</v>
      </c>
      <c r="O752" s="35">
        <f ca="1"/>
        <v>0</v>
      </c>
      <c r="P752" s="35">
        <f ca="1"/>
        <v>169212.71288357672</v>
      </c>
      <c r="Q752" s="35">
        <f ca="1"/>
        <v>169212.71288357672</v>
      </c>
    </row>
    <row r="753" spans="8:17">
      <c r="H753" s="35">
        <v>751</v>
      </c>
      <c r="I753" s="35">
        <f ca="1"/>
        <v>0</v>
      </c>
      <c r="J753" s="35">
        <f ca="1"/>
        <v>0</v>
      </c>
      <c r="K753" s="35">
        <f ca="1"/>
        <v>0</v>
      </c>
      <c r="L753" s="35">
        <f ca="1"/>
        <v>1</v>
      </c>
      <c r="M753" s="35">
        <f ca="1"/>
        <v>0</v>
      </c>
      <c r="N753" s="35">
        <f ca="1"/>
        <v>0</v>
      </c>
      <c r="O753" s="35">
        <f ca="1"/>
        <v>0</v>
      </c>
      <c r="P753" s="35">
        <f ca="1"/>
        <v>123679.5471737069</v>
      </c>
      <c r="Q753" s="35">
        <f ca="1"/>
        <v>123679.5471737069</v>
      </c>
    </row>
    <row r="754" spans="8:17">
      <c r="H754" s="35">
        <v>752</v>
      </c>
      <c r="I754" s="35">
        <f ca="1"/>
        <v>0</v>
      </c>
      <c r="J754" s="35">
        <f ca="1"/>
        <v>0</v>
      </c>
      <c r="K754" s="35">
        <f ca="1"/>
        <v>0</v>
      </c>
      <c r="L754" s="35">
        <f ca="1"/>
        <v>1</v>
      </c>
      <c r="M754" s="35">
        <f ca="1"/>
        <v>0</v>
      </c>
      <c r="N754" s="35">
        <f ca="1"/>
        <v>0</v>
      </c>
      <c r="O754" s="35">
        <f ca="1"/>
        <v>0</v>
      </c>
      <c r="P754" s="35">
        <f ca="1"/>
        <v>149959.48618579598</v>
      </c>
      <c r="Q754" s="35">
        <f ca="1"/>
        <v>149959.48618579598</v>
      </c>
    </row>
    <row r="755" spans="8:17">
      <c r="H755" s="35">
        <v>753</v>
      </c>
      <c r="I755" s="35">
        <f ca="1"/>
        <v>1</v>
      </c>
      <c r="J755" s="35">
        <f ca="1"/>
        <v>0</v>
      </c>
      <c r="K755" s="35">
        <f ca="1"/>
        <v>0</v>
      </c>
      <c r="L755" s="35">
        <f ca="1"/>
        <v>0</v>
      </c>
      <c r="M755" s="35">
        <f ca="1"/>
        <v>3098.1486817246755</v>
      </c>
      <c r="N755" s="35">
        <f ca="1"/>
        <v>0</v>
      </c>
      <c r="O755" s="35">
        <f ca="1"/>
        <v>0</v>
      </c>
      <c r="P755" s="35">
        <f ca="1"/>
        <v>0</v>
      </c>
      <c r="Q755" s="35">
        <f ca="1"/>
        <v>3098.1486817246755</v>
      </c>
    </row>
    <row r="756" spans="8:17">
      <c r="H756" s="35">
        <v>754</v>
      </c>
      <c r="I756" s="35">
        <f ca="1"/>
        <v>0</v>
      </c>
      <c r="J756" s="35">
        <f ca="1"/>
        <v>0</v>
      </c>
      <c r="K756" s="35">
        <f ca="1"/>
        <v>0</v>
      </c>
      <c r="L756" s="35">
        <f ca="1"/>
        <v>1</v>
      </c>
      <c r="M756" s="35">
        <f ca="1"/>
        <v>0</v>
      </c>
      <c r="N756" s="35">
        <f ca="1"/>
        <v>0</v>
      </c>
      <c r="O756" s="35">
        <f ca="1"/>
        <v>0</v>
      </c>
      <c r="P756" s="35">
        <f ca="1"/>
        <v>176776.45120824434</v>
      </c>
      <c r="Q756" s="35">
        <f ca="1"/>
        <v>176776.45120824434</v>
      </c>
    </row>
    <row r="757" spans="8:17">
      <c r="H757" s="35">
        <v>755</v>
      </c>
      <c r="I757" s="35">
        <f ca="1"/>
        <v>1</v>
      </c>
      <c r="J757" s="35">
        <f ca="1"/>
        <v>0</v>
      </c>
      <c r="K757" s="35">
        <f ca="1"/>
        <v>0</v>
      </c>
      <c r="L757" s="35">
        <f ca="1"/>
        <v>1</v>
      </c>
      <c r="M757" s="35">
        <f ca="1"/>
        <v>16441.722802934437</v>
      </c>
      <c r="N757" s="35">
        <f ca="1"/>
        <v>0</v>
      </c>
      <c r="O757" s="35">
        <f ca="1"/>
        <v>0</v>
      </c>
      <c r="P757" s="35">
        <f ca="1"/>
        <v>115852.30013316082</v>
      </c>
      <c r="Q757" s="35">
        <f ca="1"/>
        <v>132294.02293609525</v>
      </c>
    </row>
    <row r="758" spans="8:17">
      <c r="H758" s="35">
        <v>756</v>
      </c>
      <c r="I758" s="35">
        <f ca="1"/>
        <v>0</v>
      </c>
      <c r="J758" s="35">
        <f ca="1"/>
        <v>0</v>
      </c>
      <c r="K758" s="35">
        <f ca="1"/>
        <v>0</v>
      </c>
      <c r="L758" s="35">
        <f ca="1"/>
        <v>1</v>
      </c>
      <c r="M758" s="35">
        <f ca="1"/>
        <v>0</v>
      </c>
      <c r="N758" s="35">
        <f ca="1"/>
        <v>0</v>
      </c>
      <c r="O758" s="35">
        <f ca="1"/>
        <v>0</v>
      </c>
      <c r="P758" s="35">
        <f ca="1"/>
        <v>76514.469025008264</v>
      </c>
      <c r="Q758" s="35">
        <f ca="1"/>
        <v>76514.469025008264</v>
      </c>
    </row>
    <row r="759" spans="8:17">
      <c r="H759" s="35">
        <v>757</v>
      </c>
      <c r="I759" s="35">
        <f ca="1"/>
        <v>0</v>
      </c>
      <c r="J759" s="35">
        <f ca="1"/>
        <v>0</v>
      </c>
      <c r="K759" s="35">
        <f ca="1"/>
        <v>0</v>
      </c>
      <c r="L759" s="35">
        <f ca="1"/>
        <v>1</v>
      </c>
      <c r="M759" s="35">
        <f ca="1"/>
        <v>0</v>
      </c>
      <c r="N759" s="35">
        <f ca="1"/>
        <v>0</v>
      </c>
      <c r="O759" s="35">
        <f ca="1"/>
        <v>0</v>
      </c>
      <c r="P759" s="35">
        <f ca="1"/>
        <v>80067.064783401045</v>
      </c>
      <c r="Q759" s="35">
        <f ca="1"/>
        <v>80067.064783401045</v>
      </c>
    </row>
    <row r="760" spans="8:17">
      <c r="H760" s="35">
        <v>758</v>
      </c>
      <c r="I760" s="35">
        <f ca="1"/>
        <v>0</v>
      </c>
      <c r="J760" s="35">
        <f ca="1"/>
        <v>0</v>
      </c>
      <c r="K760" s="35">
        <f ca="1"/>
        <v>0</v>
      </c>
      <c r="L760" s="35">
        <f ca="1"/>
        <v>1</v>
      </c>
      <c r="M760" s="35">
        <f ca="1"/>
        <v>0</v>
      </c>
      <c r="N760" s="35">
        <f ca="1"/>
        <v>0</v>
      </c>
      <c r="O760" s="35">
        <f ca="1"/>
        <v>0</v>
      </c>
      <c r="P760" s="35">
        <f ca="1"/>
        <v>139621.35521379195</v>
      </c>
      <c r="Q760" s="35">
        <f ca="1"/>
        <v>139621.35521379195</v>
      </c>
    </row>
    <row r="761" spans="8:17">
      <c r="H761" s="35">
        <v>759</v>
      </c>
      <c r="I761" s="35">
        <f ca="1"/>
        <v>1</v>
      </c>
      <c r="J761" s="35">
        <f ca="1"/>
        <v>0</v>
      </c>
      <c r="K761" s="35">
        <f ca="1"/>
        <v>1</v>
      </c>
      <c r="L761" s="35">
        <f ca="1"/>
        <v>1</v>
      </c>
      <c r="M761" s="35">
        <f ca="1"/>
        <v>12925.45585536112</v>
      </c>
      <c r="N761" s="35">
        <f ca="1"/>
        <v>0</v>
      </c>
      <c r="O761" s="35">
        <f ca="1"/>
        <v>344.45643887729022</v>
      </c>
      <c r="P761" s="35">
        <f ca="1"/>
        <v>152605.64408865196</v>
      </c>
      <c r="Q761" s="35">
        <f ca="1"/>
        <v>165875.55638289035</v>
      </c>
    </row>
    <row r="762" spans="8:17">
      <c r="H762" s="35">
        <v>760</v>
      </c>
      <c r="I762" s="35">
        <f ca="1"/>
        <v>0</v>
      </c>
      <c r="J762" s="35">
        <f ca="1"/>
        <v>0</v>
      </c>
      <c r="K762" s="35">
        <f ca="1"/>
        <v>0</v>
      </c>
      <c r="L762" s="35">
        <f ca="1"/>
        <v>1</v>
      </c>
      <c r="M762" s="35">
        <f ca="1"/>
        <v>0</v>
      </c>
      <c r="N762" s="35">
        <f ca="1"/>
        <v>0</v>
      </c>
      <c r="O762" s="35">
        <f ca="1"/>
        <v>0</v>
      </c>
      <c r="P762" s="35">
        <f ca="1"/>
        <v>143658.45870475241</v>
      </c>
      <c r="Q762" s="35">
        <f ca="1"/>
        <v>143658.45870475241</v>
      </c>
    </row>
    <row r="763" spans="8:17">
      <c r="H763" s="35">
        <v>761</v>
      </c>
      <c r="I763" s="35">
        <f ca="1"/>
        <v>0</v>
      </c>
      <c r="J763" s="35">
        <f ca="1"/>
        <v>0</v>
      </c>
      <c r="K763" s="35">
        <f ca="1"/>
        <v>1</v>
      </c>
      <c r="L763" s="35">
        <f ca="1"/>
        <v>1</v>
      </c>
      <c r="M763" s="35">
        <f ca="1"/>
        <v>0</v>
      </c>
      <c r="N763" s="35">
        <f ca="1"/>
        <v>0</v>
      </c>
      <c r="O763" s="35">
        <f ca="1"/>
        <v>295.47820683172654</v>
      </c>
      <c r="P763" s="35">
        <f ca="1"/>
        <v>176281.44056311605</v>
      </c>
      <c r="Q763" s="35">
        <f ca="1"/>
        <v>176576.91876994778</v>
      </c>
    </row>
    <row r="764" spans="8:17">
      <c r="H764" s="35">
        <v>762</v>
      </c>
      <c r="I764" s="35">
        <f ca="1"/>
        <v>0</v>
      </c>
      <c r="J764" s="35">
        <f ca="1"/>
        <v>0</v>
      </c>
      <c r="K764" s="35">
        <f ca="1"/>
        <v>1</v>
      </c>
      <c r="L764" s="35">
        <f ca="1"/>
        <v>1</v>
      </c>
      <c r="M764" s="35">
        <f ca="1"/>
        <v>0</v>
      </c>
      <c r="N764" s="35">
        <f ca="1"/>
        <v>0</v>
      </c>
      <c r="O764" s="35">
        <f ca="1"/>
        <v>238.00255822067371</v>
      </c>
      <c r="P764" s="35">
        <f ca="1"/>
        <v>165309.64550685915</v>
      </c>
      <c r="Q764" s="35">
        <f ca="1"/>
        <v>165547.64806507982</v>
      </c>
    </row>
    <row r="765" spans="8:17">
      <c r="H765" s="35">
        <v>763</v>
      </c>
      <c r="I765" s="35">
        <f ca="1"/>
        <v>0</v>
      </c>
      <c r="J765" s="35">
        <f ca="1"/>
        <v>0</v>
      </c>
      <c r="K765" s="35">
        <f ca="1"/>
        <v>0</v>
      </c>
      <c r="L765" s="35">
        <f ca="1"/>
        <v>1</v>
      </c>
      <c r="M765" s="35">
        <f ca="1"/>
        <v>0</v>
      </c>
      <c r="N765" s="35">
        <f ca="1"/>
        <v>0</v>
      </c>
      <c r="O765" s="35">
        <f ca="1"/>
        <v>0</v>
      </c>
      <c r="P765" s="35">
        <f ca="1"/>
        <v>173414.96013477788</v>
      </c>
      <c r="Q765" s="35">
        <f ca="1"/>
        <v>173414.96013477788</v>
      </c>
    </row>
    <row r="766" spans="8:17">
      <c r="H766" s="35">
        <v>764</v>
      </c>
      <c r="I766" s="35">
        <f ca="1"/>
        <v>0</v>
      </c>
      <c r="J766" s="35">
        <f ca="1"/>
        <v>0</v>
      </c>
      <c r="K766" s="35">
        <f ca="1"/>
        <v>0</v>
      </c>
      <c r="L766" s="35">
        <f ca="1"/>
        <v>1</v>
      </c>
      <c r="M766" s="35">
        <f ca="1"/>
        <v>0</v>
      </c>
      <c r="N766" s="35">
        <f ca="1"/>
        <v>0</v>
      </c>
      <c r="O766" s="35">
        <f ca="1"/>
        <v>0</v>
      </c>
      <c r="P766" s="35">
        <f ca="1"/>
        <v>213642.53178898315</v>
      </c>
      <c r="Q766" s="35">
        <f ca="1"/>
        <v>213642.53178898315</v>
      </c>
    </row>
    <row r="767" spans="8:17">
      <c r="H767" s="35">
        <v>765</v>
      </c>
      <c r="I767" s="35">
        <f ca="1"/>
        <v>0</v>
      </c>
      <c r="J767" s="35">
        <f ca="1"/>
        <v>0</v>
      </c>
      <c r="K767" s="35">
        <f ca="1"/>
        <v>0</v>
      </c>
      <c r="L767" s="35">
        <f ca="1"/>
        <v>0</v>
      </c>
      <c r="M767" s="35">
        <f ca="1"/>
        <v>0</v>
      </c>
      <c r="N767" s="35">
        <f ca="1"/>
        <v>0</v>
      </c>
      <c r="O767" s="35">
        <f ca="1"/>
        <v>0</v>
      </c>
      <c r="P767" s="35">
        <f ca="1"/>
        <v>0</v>
      </c>
      <c r="Q767" s="35">
        <f ca="1"/>
        <v>0</v>
      </c>
    </row>
    <row r="768" spans="8:17">
      <c r="H768" s="35">
        <v>766</v>
      </c>
      <c r="I768" s="35">
        <f ca="1"/>
        <v>1</v>
      </c>
      <c r="J768" s="35">
        <f ca="1"/>
        <v>0</v>
      </c>
      <c r="K768" s="35">
        <f ca="1"/>
        <v>0</v>
      </c>
      <c r="L768" s="35">
        <f ca="1"/>
        <v>0</v>
      </c>
      <c r="M768" s="35">
        <f ca="1"/>
        <v>4896.4855773346426</v>
      </c>
      <c r="N768" s="35">
        <f ca="1"/>
        <v>0</v>
      </c>
      <c r="O768" s="35">
        <f ca="1"/>
        <v>0</v>
      </c>
      <c r="P768" s="35">
        <f ca="1"/>
        <v>0</v>
      </c>
      <c r="Q768" s="35">
        <f ca="1"/>
        <v>4896.4855773346426</v>
      </c>
    </row>
    <row r="769" spans="8:17">
      <c r="H769" s="35">
        <v>767</v>
      </c>
      <c r="I769" s="35">
        <f ca="1"/>
        <v>0</v>
      </c>
      <c r="J769" s="35">
        <f ca="1"/>
        <v>0</v>
      </c>
      <c r="K769" s="35">
        <f ca="1"/>
        <v>0</v>
      </c>
      <c r="L769" s="35">
        <f ca="1"/>
        <v>0</v>
      </c>
      <c r="M769" s="35">
        <f ca="1"/>
        <v>0</v>
      </c>
      <c r="N769" s="35">
        <f ca="1"/>
        <v>0</v>
      </c>
      <c r="O769" s="35">
        <f ca="1"/>
        <v>0</v>
      </c>
      <c r="P769" s="35">
        <f ca="1"/>
        <v>0</v>
      </c>
      <c r="Q769" s="35">
        <f ca="1"/>
        <v>0</v>
      </c>
    </row>
    <row r="770" spans="8:17">
      <c r="H770" s="35">
        <v>768</v>
      </c>
      <c r="I770" s="35">
        <f ca="1"/>
        <v>0</v>
      </c>
      <c r="J770" s="35">
        <f ca="1"/>
        <v>0</v>
      </c>
      <c r="K770" s="35">
        <f ca="1"/>
        <v>0</v>
      </c>
      <c r="L770" s="35">
        <f ca="1"/>
        <v>0</v>
      </c>
      <c r="M770" s="35">
        <f ca="1"/>
        <v>0</v>
      </c>
      <c r="N770" s="35">
        <f ca="1"/>
        <v>0</v>
      </c>
      <c r="O770" s="35">
        <f ca="1"/>
        <v>0</v>
      </c>
      <c r="P770" s="35">
        <f ca="1"/>
        <v>0</v>
      </c>
      <c r="Q770" s="35">
        <f ca="1"/>
        <v>0</v>
      </c>
    </row>
    <row r="771" spans="8:17">
      <c r="H771" s="35">
        <v>769</v>
      </c>
      <c r="I771" s="35">
        <f ca="1"/>
        <v>0</v>
      </c>
      <c r="J771" s="35">
        <f ca="1"/>
        <v>0</v>
      </c>
      <c r="K771" s="35">
        <f ca="1"/>
        <v>0</v>
      </c>
      <c r="L771" s="35">
        <f ca="1"/>
        <v>1</v>
      </c>
      <c r="M771" s="35">
        <f ca="1"/>
        <v>0</v>
      </c>
      <c r="N771" s="35">
        <f ca="1"/>
        <v>0</v>
      </c>
      <c r="O771" s="35">
        <f ca="1"/>
        <v>0</v>
      </c>
      <c r="P771" s="35">
        <f ca="1"/>
        <v>153567.23176135533</v>
      </c>
      <c r="Q771" s="35">
        <f ca="1"/>
        <v>153567.23176135533</v>
      </c>
    </row>
    <row r="772" spans="8:17">
      <c r="H772" s="35">
        <v>770</v>
      </c>
      <c r="I772" s="35">
        <f ca="1"/>
        <v>0</v>
      </c>
      <c r="J772" s="35">
        <f ca="1"/>
        <v>0</v>
      </c>
      <c r="K772" s="35">
        <f ca="1"/>
        <v>0</v>
      </c>
      <c r="L772" s="35">
        <f ca="1"/>
        <v>1</v>
      </c>
      <c r="M772" s="35">
        <f ca="1"/>
        <v>0</v>
      </c>
      <c r="N772" s="35">
        <f ca="1"/>
        <v>0</v>
      </c>
      <c r="O772" s="35">
        <f ca="1"/>
        <v>0</v>
      </c>
      <c r="P772" s="35">
        <f ca="1"/>
        <v>143972.23036996441</v>
      </c>
      <c r="Q772" s="35">
        <f ca="1"/>
        <v>143972.23036996441</v>
      </c>
    </row>
    <row r="773" spans="8:17">
      <c r="H773" s="35">
        <v>771</v>
      </c>
      <c r="I773" s="35">
        <f ca="1"/>
        <v>0</v>
      </c>
      <c r="J773" s="35">
        <f ca="1"/>
        <v>1</v>
      </c>
      <c r="K773" s="35">
        <f ca="1"/>
        <v>1</v>
      </c>
      <c r="L773" s="35">
        <f ca="1"/>
        <v>1</v>
      </c>
      <c r="M773" s="35">
        <f ca="1"/>
        <v>0</v>
      </c>
      <c r="N773" s="35">
        <f ca="1"/>
        <v>59297.732866869374</v>
      </c>
      <c r="O773" s="35">
        <f ca="1"/>
        <v>141.70032282292823</v>
      </c>
      <c r="P773" s="35">
        <f ca="1"/>
        <v>181455.97517888507</v>
      </c>
      <c r="Q773" s="35">
        <f ca="1"/>
        <v>240895.40836857737</v>
      </c>
    </row>
    <row r="774" spans="8:17">
      <c r="H774" s="35">
        <v>772</v>
      </c>
      <c r="I774" s="35">
        <f ca="1"/>
        <v>1</v>
      </c>
      <c r="J774" s="35">
        <f ca="1"/>
        <v>0</v>
      </c>
      <c r="K774" s="35">
        <f ca="1"/>
        <v>0</v>
      </c>
      <c r="L774" s="35">
        <f ca="1"/>
        <v>1</v>
      </c>
      <c r="M774" s="35">
        <f ca="1"/>
        <v>13364.991155304657</v>
      </c>
      <c r="N774" s="35">
        <f ca="1"/>
        <v>0</v>
      </c>
      <c r="O774" s="35">
        <f ca="1"/>
        <v>0</v>
      </c>
      <c r="P774" s="35">
        <f ca="1"/>
        <v>112330.8037245653</v>
      </c>
      <c r="Q774" s="35">
        <f ca="1"/>
        <v>125695.79487986995</v>
      </c>
    </row>
    <row r="775" spans="8:17">
      <c r="H775" s="35">
        <v>773</v>
      </c>
      <c r="I775" s="35">
        <f ca="1"/>
        <v>1</v>
      </c>
      <c r="J775" s="35">
        <f ca="1"/>
        <v>0</v>
      </c>
      <c r="K775" s="35">
        <f ca="1"/>
        <v>1</v>
      </c>
      <c r="L775" s="35">
        <f ca="1"/>
        <v>1</v>
      </c>
      <c r="M775" s="35">
        <f ca="1"/>
        <v>16523.443666210318</v>
      </c>
      <c r="N775" s="35">
        <f ca="1"/>
        <v>0</v>
      </c>
      <c r="O775" s="35">
        <f ca="1"/>
        <v>318.08078420691834</v>
      </c>
      <c r="P775" s="35">
        <f ca="1"/>
        <v>145974.14633839807</v>
      </c>
      <c r="Q775" s="35">
        <f ca="1"/>
        <v>162815.6707888153</v>
      </c>
    </row>
    <row r="776" spans="8:17">
      <c r="H776" s="35">
        <v>774</v>
      </c>
      <c r="I776" s="35">
        <f ca="1"/>
        <v>0</v>
      </c>
      <c r="J776" s="35">
        <f ca="1"/>
        <v>0</v>
      </c>
      <c r="K776" s="35">
        <f ca="1"/>
        <v>0</v>
      </c>
      <c r="L776" s="35">
        <f ca="1"/>
        <v>1</v>
      </c>
      <c r="M776" s="35">
        <f ca="1"/>
        <v>0</v>
      </c>
      <c r="N776" s="35">
        <f ca="1"/>
        <v>0</v>
      </c>
      <c r="O776" s="35">
        <f ca="1"/>
        <v>0</v>
      </c>
      <c r="P776" s="35">
        <f ca="1"/>
        <v>112258.16518352617</v>
      </c>
      <c r="Q776" s="35">
        <f ca="1"/>
        <v>112258.16518352617</v>
      </c>
    </row>
    <row r="777" spans="8:17">
      <c r="H777" s="35">
        <v>775</v>
      </c>
      <c r="I777" s="35">
        <f ca="1"/>
        <v>0</v>
      </c>
      <c r="J777" s="35">
        <f ca="1"/>
        <v>1</v>
      </c>
      <c r="K777" s="35">
        <f ca="1"/>
        <v>0</v>
      </c>
      <c r="L777" s="35">
        <f ca="1"/>
        <v>1</v>
      </c>
      <c r="M777" s="35">
        <f ca="1"/>
        <v>0</v>
      </c>
      <c r="N777" s="35">
        <f ca="1"/>
        <v>28274.673539490093</v>
      </c>
      <c r="O777" s="35">
        <f ca="1"/>
        <v>0</v>
      </c>
      <c r="P777" s="35">
        <f ca="1"/>
        <v>114623.04504775855</v>
      </c>
      <c r="Q777" s="35">
        <f ca="1"/>
        <v>142897.71858724864</v>
      </c>
    </row>
    <row r="778" spans="8:17">
      <c r="H778" s="35">
        <v>776</v>
      </c>
      <c r="I778" s="35">
        <f ca="1"/>
        <v>0</v>
      </c>
      <c r="J778" s="35">
        <f ca="1"/>
        <v>0</v>
      </c>
      <c r="K778" s="35">
        <f ca="1"/>
        <v>0</v>
      </c>
      <c r="L778" s="35">
        <f ca="1"/>
        <v>1</v>
      </c>
      <c r="M778" s="35">
        <f ca="1"/>
        <v>0</v>
      </c>
      <c r="N778" s="35">
        <f ca="1"/>
        <v>0</v>
      </c>
      <c r="O778" s="35">
        <f ca="1"/>
        <v>0</v>
      </c>
      <c r="P778" s="35">
        <f ca="1"/>
        <v>66739.051582714863</v>
      </c>
      <c r="Q778" s="35">
        <f ca="1"/>
        <v>66739.051582714863</v>
      </c>
    </row>
    <row r="779" spans="8:17">
      <c r="H779" s="35">
        <v>777</v>
      </c>
      <c r="I779" s="35">
        <f ca="1"/>
        <v>0</v>
      </c>
      <c r="J779" s="35">
        <f ca="1"/>
        <v>0</v>
      </c>
      <c r="K779" s="35">
        <f ca="1"/>
        <v>1</v>
      </c>
      <c r="L779" s="35">
        <f ca="1"/>
        <v>1</v>
      </c>
      <c r="M779" s="35">
        <f ca="1"/>
        <v>0</v>
      </c>
      <c r="N779" s="35">
        <f ca="1"/>
        <v>0</v>
      </c>
      <c r="O779" s="35">
        <f ca="1"/>
        <v>253.63629997765264</v>
      </c>
      <c r="P779" s="35">
        <f ca="1"/>
        <v>146653.23433737818</v>
      </c>
      <c r="Q779" s="35">
        <f ca="1"/>
        <v>146906.87063735584</v>
      </c>
    </row>
    <row r="780" spans="8:17">
      <c r="H780" s="35">
        <v>778</v>
      </c>
      <c r="I780" s="35">
        <f ca="1"/>
        <v>0</v>
      </c>
      <c r="J780" s="35">
        <f ca="1"/>
        <v>0</v>
      </c>
      <c r="K780" s="35">
        <f ca="1"/>
        <v>0</v>
      </c>
      <c r="L780" s="35">
        <f ca="1"/>
        <v>0</v>
      </c>
      <c r="M780" s="35">
        <f ca="1"/>
        <v>0</v>
      </c>
      <c r="N780" s="35">
        <f ca="1"/>
        <v>0</v>
      </c>
      <c r="O780" s="35">
        <f ca="1"/>
        <v>0</v>
      </c>
      <c r="P780" s="35">
        <f ca="1"/>
        <v>0</v>
      </c>
      <c r="Q780" s="35">
        <f ca="1"/>
        <v>0</v>
      </c>
    </row>
    <row r="781" spans="8:17">
      <c r="H781" s="35">
        <v>779</v>
      </c>
      <c r="I781" s="35">
        <f ca="1"/>
        <v>0</v>
      </c>
      <c r="J781" s="35">
        <f ca="1"/>
        <v>0</v>
      </c>
      <c r="K781" s="35">
        <f ca="1"/>
        <v>0</v>
      </c>
      <c r="L781" s="35">
        <f ca="1"/>
        <v>0</v>
      </c>
      <c r="M781" s="35">
        <f ca="1"/>
        <v>0</v>
      </c>
      <c r="N781" s="35">
        <f ca="1"/>
        <v>0</v>
      </c>
      <c r="O781" s="35">
        <f ca="1"/>
        <v>0</v>
      </c>
      <c r="P781" s="35">
        <f ca="1"/>
        <v>0</v>
      </c>
      <c r="Q781" s="35">
        <f ca="1"/>
        <v>0</v>
      </c>
    </row>
    <row r="782" spans="8:17">
      <c r="H782" s="35">
        <v>780</v>
      </c>
      <c r="I782" s="35">
        <f ca="1"/>
        <v>1</v>
      </c>
      <c r="J782" s="35">
        <f ca="1"/>
        <v>1</v>
      </c>
      <c r="K782" s="35">
        <f ca="1"/>
        <v>1</v>
      </c>
      <c r="L782" s="35">
        <f ca="1"/>
        <v>1</v>
      </c>
      <c r="M782" s="35">
        <f ca="1"/>
        <v>13794.934092824191</v>
      </c>
      <c r="N782" s="35">
        <f ca="1"/>
        <v>40067.123043255189</v>
      </c>
      <c r="O782" s="35">
        <f ca="1"/>
        <v>252.69927678131549</v>
      </c>
      <c r="P782" s="35">
        <f ca="1"/>
        <v>144728.34203196454</v>
      </c>
      <c r="Q782" s="35">
        <f ca="1"/>
        <v>198843.09844482524</v>
      </c>
    </row>
    <row r="783" spans="8:17">
      <c r="H783" s="35">
        <v>781</v>
      </c>
      <c r="I783" s="35">
        <f ca="1"/>
        <v>0</v>
      </c>
      <c r="J783" s="35">
        <f ca="1"/>
        <v>1</v>
      </c>
      <c r="K783" s="35">
        <f ca="1"/>
        <v>0</v>
      </c>
      <c r="L783" s="35">
        <f ca="1"/>
        <v>1</v>
      </c>
      <c r="M783" s="35">
        <f ca="1"/>
        <v>0</v>
      </c>
      <c r="N783" s="35">
        <f ca="1"/>
        <v>41473.0876772845</v>
      </c>
      <c r="O783" s="35">
        <f ca="1"/>
        <v>0</v>
      </c>
      <c r="P783" s="35">
        <f ca="1"/>
        <v>116639.517415194</v>
      </c>
      <c r="Q783" s="35">
        <f ca="1"/>
        <v>158112.60509247851</v>
      </c>
    </row>
    <row r="784" spans="8:17">
      <c r="H784" s="35">
        <v>782</v>
      </c>
      <c r="I784" s="35">
        <f ca="1"/>
        <v>0</v>
      </c>
      <c r="J784" s="35">
        <f ca="1"/>
        <v>0</v>
      </c>
      <c r="K784" s="35">
        <f ca="1"/>
        <v>0</v>
      </c>
      <c r="L784" s="35">
        <f ca="1"/>
        <v>1</v>
      </c>
      <c r="M784" s="35">
        <f ca="1"/>
        <v>0</v>
      </c>
      <c r="N784" s="35">
        <f ca="1"/>
        <v>0</v>
      </c>
      <c r="O784" s="35">
        <f ca="1"/>
        <v>0</v>
      </c>
      <c r="P784" s="35">
        <f ca="1"/>
        <v>84593.647105686527</v>
      </c>
      <c r="Q784" s="35">
        <f ca="1"/>
        <v>84593.647105686527</v>
      </c>
    </row>
    <row r="785" spans="8:17">
      <c r="H785" s="35">
        <v>783</v>
      </c>
      <c r="I785" s="35">
        <f ca="1"/>
        <v>0</v>
      </c>
      <c r="J785" s="35">
        <f ca="1"/>
        <v>1</v>
      </c>
      <c r="K785" s="35">
        <f ca="1"/>
        <v>0</v>
      </c>
      <c r="L785" s="35">
        <f ca="1"/>
        <v>1</v>
      </c>
      <c r="M785" s="35">
        <f ca="1"/>
        <v>0</v>
      </c>
      <c r="N785" s="35">
        <f ca="1"/>
        <v>34196.274027238724</v>
      </c>
      <c r="O785" s="35">
        <f ca="1"/>
        <v>0</v>
      </c>
      <c r="P785" s="35">
        <f ca="1"/>
        <v>158498.84868285066</v>
      </c>
      <c r="Q785" s="35">
        <f ca="1"/>
        <v>192695.12271008937</v>
      </c>
    </row>
    <row r="786" spans="8:17">
      <c r="H786" s="35">
        <v>784</v>
      </c>
      <c r="I786" s="35">
        <f ca="1"/>
        <v>1</v>
      </c>
      <c r="J786" s="35">
        <f ca="1"/>
        <v>0</v>
      </c>
      <c r="K786" s="35">
        <f ca="1"/>
        <v>1</v>
      </c>
      <c r="L786" s="35">
        <f ca="1"/>
        <v>0</v>
      </c>
      <c r="M786" s="35">
        <f ca="1"/>
        <v>12792.034762056184</v>
      </c>
      <c r="N786" s="35">
        <f ca="1"/>
        <v>0</v>
      </c>
      <c r="O786" s="35">
        <f ca="1"/>
        <v>189.55690078668613</v>
      </c>
      <c r="P786" s="35">
        <f ca="1"/>
        <v>0</v>
      </c>
      <c r="Q786" s="35">
        <f ca="1"/>
        <v>12981.591662842871</v>
      </c>
    </row>
    <row r="787" spans="8:17">
      <c r="H787" s="35">
        <v>785</v>
      </c>
      <c r="I787" s="35">
        <f ca="1"/>
        <v>0</v>
      </c>
      <c r="J787" s="35">
        <f ca="1"/>
        <v>1</v>
      </c>
      <c r="K787" s="35">
        <f ca="1"/>
        <v>0</v>
      </c>
      <c r="L787" s="35">
        <f ca="1"/>
        <v>1</v>
      </c>
      <c r="M787" s="35">
        <f ca="1"/>
        <v>0</v>
      </c>
      <c r="N787" s="35">
        <f ca="1"/>
        <v>75160.607986505725</v>
      </c>
      <c r="O787" s="35">
        <f ca="1"/>
        <v>0</v>
      </c>
      <c r="P787" s="35">
        <f ca="1"/>
        <v>143788.78156235299</v>
      </c>
      <c r="Q787" s="35">
        <f ca="1"/>
        <v>218949.38954885871</v>
      </c>
    </row>
    <row r="788" spans="8:17">
      <c r="H788" s="35">
        <v>786</v>
      </c>
      <c r="I788" s="35">
        <f ca="1"/>
        <v>0</v>
      </c>
      <c r="J788" s="35">
        <f ca="1"/>
        <v>0</v>
      </c>
      <c r="K788" s="35">
        <f ca="1"/>
        <v>0</v>
      </c>
      <c r="L788" s="35">
        <f ca="1"/>
        <v>0</v>
      </c>
      <c r="M788" s="35">
        <f ca="1"/>
        <v>0</v>
      </c>
      <c r="N788" s="35">
        <f ca="1"/>
        <v>0</v>
      </c>
      <c r="O788" s="35">
        <f ca="1"/>
        <v>0</v>
      </c>
      <c r="P788" s="35">
        <f ca="1"/>
        <v>0</v>
      </c>
      <c r="Q788" s="35">
        <f ca="1"/>
        <v>0</v>
      </c>
    </row>
    <row r="789" spans="8:17">
      <c r="H789" s="35">
        <v>787</v>
      </c>
      <c r="I789" s="35">
        <f ca="1"/>
        <v>0</v>
      </c>
      <c r="J789" s="35">
        <f ca="1"/>
        <v>0</v>
      </c>
      <c r="K789" s="35">
        <f ca="1"/>
        <v>1</v>
      </c>
      <c r="L789" s="35">
        <f ca="1"/>
        <v>1</v>
      </c>
      <c r="M789" s="35">
        <f ca="1"/>
        <v>0</v>
      </c>
      <c r="N789" s="35">
        <f ca="1"/>
        <v>0</v>
      </c>
      <c r="O789" s="35">
        <f ca="1"/>
        <v>232.52624481773563</v>
      </c>
      <c r="P789" s="35">
        <f ca="1"/>
        <v>120807.4969771641</v>
      </c>
      <c r="Q789" s="35">
        <f ca="1"/>
        <v>121040.02322198184</v>
      </c>
    </row>
    <row r="790" spans="8:17">
      <c r="H790" s="35">
        <v>788</v>
      </c>
      <c r="I790" s="35">
        <f ca="1"/>
        <v>0</v>
      </c>
      <c r="J790" s="35">
        <f ca="1"/>
        <v>0</v>
      </c>
      <c r="K790" s="35">
        <f ca="1"/>
        <v>0</v>
      </c>
      <c r="L790" s="35">
        <f ca="1"/>
        <v>0</v>
      </c>
      <c r="M790" s="35">
        <f ca="1"/>
        <v>0</v>
      </c>
      <c r="N790" s="35">
        <f ca="1"/>
        <v>0</v>
      </c>
      <c r="O790" s="35">
        <f ca="1"/>
        <v>0</v>
      </c>
      <c r="P790" s="35">
        <f ca="1"/>
        <v>0</v>
      </c>
      <c r="Q790" s="35">
        <f ca="1"/>
        <v>0</v>
      </c>
    </row>
    <row r="791" spans="8:17">
      <c r="H791" s="35">
        <v>789</v>
      </c>
      <c r="I791" s="35">
        <f ca="1"/>
        <v>0</v>
      </c>
      <c r="J791" s="35">
        <f ca="1"/>
        <v>0</v>
      </c>
      <c r="K791" s="35">
        <f ca="1"/>
        <v>0</v>
      </c>
      <c r="L791" s="35">
        <f ca="1"/>
        <v>1</v>
      </c>
      <c r="M791" s="35">
        <f ca="1"/>
        <v>0</v>
      </c>
      <c r="N791" s="35">
        <f ca="1"/>
        <v>0</v>
      </c>
      <c r="O791" s="35">
        <f ca="1"/>
        <v>0</v>
      </c>
      <c r="P791" s="35">
        <f ca="1"/>
        <v>135293.14234146359</v>
      </c>
      <c r="Q791" s="35">
        <f ca="1"/>
        <v>135293.14234146359</v>
      </c>
    </row>
    <row r="792" spans="8:17">
      <c r="H792" s="35">
        <v>790</v>
      </c>
      <c r="I792" s="35">
        <f ca="1"/>
        <v>0</v>
      </c>
      <c r="J792" s="35">
        <f ca="1"/>
        <v>0</v>
      </c>
      <c r="K792" s="35">
        <f ca="1"/>
        <v>0</v>
      </c>
      <c r="L792" s="35">
        <f ca="1"/>
        <v>1</v>
      </c>
      <c r="M792" s="35">
        <f ca="1"/>
        <v>0</v>
      </c>
      <c r="N792" s="35">
        <f ca="1"/>
        <v>0</v>
      </c>
      <c r="O792" s="35">
        <f ca="1"/>
        <v>0</v>
      </c>
      <c r="P792" s="35">
        <f ca="1"/>
        <v>162852.68695747733</v>
      </c>
      <c r="Q792" s="35">
        <f ca="1"/>
        <v>162852.68695747733</v>
      </c>
    </row>
    <row r="793" spans="8:17">
      <c r="H793" s="35">
        <v>791</v>
      </c>
      <c r="I793" s="35">
        <f ca="1"/>
        <v>0</v>
      </c>
      <c r="J793" s="35">
        <f ca="1"/>
        <v>0</v>
      </c>
      <c r="K793" s="35">
        <f ca="1"/>
        <v>0</v>
      </c>
      <c r="L793" s="35">
        <f ca="1"/>
        <v>1</v>
      </c>
      <c r="M793" s="35">
        <f ca="1"/>
        <v>0</v>
      </c>
      <c r="N793" s="35">
        <f ca="1"/>
        <v>0</v>
      </c>
      <c r="O793" s="35">
        <f ca="1"/>
        <v>0</v>
      </c>
      <c r="P793" s="35">
        <f ca="1"/>
        <v>141196.89736376962</v>
      </c>
      <c r="Q793" s="35">
        <f ca="1"/>
        <v>141196.89736376962</v>
      </c>
    </row>
    <row r="794" spans="8:17">
      <c r="H794" s="35">
        <v>792</v>
      </c>
      <c r="I794" s="35">
        <f ca="1"/>
        <v>0</v>
      </c>
      <c r="J794" s="35">
        <f ca="1"/>
        <v>0</v>
      </c>
      <c r="K794" s="35">
        <f ca="1"/>
        <v>1</v>
      </c>
      <c r="L794" s="35">
        <f ca="1"/>
        <v>1</v>
      </c>
      <c r="M794" s="35">
        <f ca="1"/>
        <v>0</v>
      </c>
      <c r="N794" s="35">
        <f ca="1"/>
        <v>0</v>
      </c>
      <c r="O794" s="35">
        <f ca="1"/>
        <v>163.36760960475337</v>
      </c>
      <c r="P794" s="35">
        <f ca="1"/>
        <v>160709.18349183784</v>
      </c>
      <c r="Q794" s="35">
        <f ca="1"/>
        <v>160872.5511014426</v>
      </c>
    </row>
    <row r="795" spans="8:17">
      <c r="H795" s="35">
        <v>793</v>
      </c>
      <c r="I795" s="35">
        <f ca="1"/>
        <v>0</v>
      </c>
      <c r="J795" s="35">
        <f ca="1"/>
        <v>0</v>
      </c>
      <c r="K795" s="35">
        <f ca="1"/>
        <v>0</v>
      </c>
      <c r="L795" s="35">
        <f ca="1"/>
        <v>1</v>
      </c>
      <c r="M795" s="35">
        <f ca="1"/>
        <v>0</v>
      </c>
      <c r="N795" s="35">
        <f ca="1"/>
        <v>0</v>
      </c>
      <c r="O795" s="35">
        <f ca="1"/>
        <v>0</v>
      </c>
      <c r="P795" s="35">
        <f ca="1"/>
        <v>155856.08528233381</v>
      </c>
      <c r="Q795" s="35">
        <f ca="1"/>
        <v>155856.08528233381</v>
      </c>
    </row>
    <row r="796" spans="8:17">
      <c r="H796" s="35">
        <v>794</v>
      </c>
      <c r="I796" s="35">
        <f ca="1"/>
        <v>0</v>
      </c>
      <c r="J796" s="35">
        <f ca="1"/>
        <v>1</v>
      </c>
      <c r="K796" s="35">
        <f ca="1"/>
        <v>0</v>
      </c>
      <c r="L796" s="35">
        <f ca="1"/>
        <v>1</v>
      </c>
      <c r="M796" s="35">
        <f ca="1"/>
        <v>0</v>
      </c>
      <c r="N796" s="35">
        <f ca="1"/>
        <v>9121.7882425081298</v>
      </c>
      <c r="O796" s="35">
        <f ca="1"/>
        <v>0</v>
      </c>
      <c r="P796" s="35">
        <f ca="1"/>
        <v>80925.404910089695</v>
      </c>
      <c r="Q796" s="35">
        <f ca="1"/>
        <v>90047.193152597829</v>
      </c>
    </row>
    <row r="797" spans="8:17">
      <c r="H797" s="35">
        <v>795</v>
      </c>
      <c r="I797" s="35">
        <f ca="1"/>
        <v>0</v>
      </c>
      <c r="J797" s="35">
        <f ca="1"/>
        <v>0</v>
      </c>
      <c r="K797" s="35">
        <f ca="1"/>
        <v>0</v>
      </c>
      <c r="L797" s="35">
        <f ca="1"/>
        <v>1</v>
      </c>
      <c r="M797" s="35">
        <f ca="1"/>
        <v>0</v>
      </c>
      <c r="N797" s="35">
        <f ca="1"/>
        <v>0</v>
      </c>
      <c r="O797" s="35">
        <f ca="1"/>
        <v>0</v>
      </c>
      <c r="P797" s="35">
        <f ca="1"/>
        <v>189732.00001924721</v>
      </c>
      <c r="Q797" s="35">
        <f ca="1"/>
        <v>189732.00001924721</v>
      </c>
    </row>
    <row r="798" spans="8:17">
      <c r="H798" s="35">
        <v>796</v>
      </c>
      <c r="I798" s="35">
        <f ca="1"/>
        <v>0</v>
      </c>
      <c r="J798" s="35">
        <f ca="1"/>
        <v>0</v>
      </c>
      <c r="K798" s="35">
        <f ca="1"/>
        <v>0</v>
      </c>
      <c r="L798" s="35">
        <f ca="1"/>
        <v>0</v>
      </c>
      <c r="M798" s="35">
        <f ca="1"/>
        <v>0</v>
      </c>
      <c r="N798" s="35">
        <f ca="1"/>
        <v>0</v>
      </c>
      <c r="O798" s="35">
        <f ca="1"/>
        <v>0</v>
      </c>
      <c r="P798" s="35">
        <f ca="1"/>
        <v>0</v>
      </c>
      <c r="Q798" s="35">
        <f ca="1"/>
        <v>0</v>
      </c>
    </row>
    <row r="799" spans="8:17">
      <c r="H799" s="35">
        <v>797</v>
      </c>
      <c r="I799" s="35">
        <f ca="1"/>
        <v>0</v>
      </c>
      <c r="J799" s="35">
        <f ca="1"/>
        <v>0</v>
      </c>
      <c r="K799" s="35">
        <f ca="1"/>
        <v>0</v>
      </c>
      <c r="L799" s="35">
        <f ca="1"/>
        <v>0</v>
      </c>
      <c r="M799" s="35">
        <f ca="1"/>
        <v>0</v>
      </c>
      <c r="N799" s="35">
        <f ca="1"/>
        <v>0</v>
      </c>
      <c r="O799" s="35">
        <f ca="1"/>
        <v>0</v>
      </c>
      <c r="P799" s="35">
        <f ca="1"/>
        <v>0</v>
      </c>
      <c r="Q799" s="35">
        <f ca="1"/>
        <v>0</v>
      </c>
    </row>
    <row r="800" spans="8:17">
      <c r="H800" s="35">
        <v>798</v>
      </c>
      <c r="I800" s="35">
        <f ca="1"/>
        <v>0</v>
      </c>
      <c r="J800" s="35">
        <f ca="1"/>
        <v>0</v>
      </c>
      <c r="K800" s="35">
        <f ca="1"/>
        <v>0</v>
      </c>
      <c r="L800" s="35">
        <f ca="1"/>
        <v>1</v>
      </c>
      <c r="M800" s="35">
        <f ca="1"/>
        <v>0</v>
      </c>
      <c r="N800" s="35">
        <f ca="1"/>
        <v>0</v>
      </c>
      <c r="O800" s="35">
        <f ca="1"/>
        <v>0</v>
      </c>
      <c r="P800" s="35">
        <f ca="1"/>
        <v>118656.95567206621</v>
      </c>
      <c r="Q800" s="35">
        <f ca="1"/>
        <v>118656.95567206621</v>
      </c>
    </row>
    <row r="801" spans="8:17">
      <c r="H801" s="35">
        <v>799</v>
      </c>
      <c r="I801" s="35">
        <f ca="1"/>
        <v>1</v>
      </c>
      <c r="J801" s="35">
        <f ca="1"/>
        <v>0</v>
      </c>
      <c r="K801" s="35">
        <f ca="1"/>
        <v>1</v>
      </c>
      <c r="L801" s="35">
        <f ca="1"/>
        <v>1</v>
      </c>
      <c r="M801" s="35">
        <f ca="1"/>
        <v>4423.7785931532435</v>
      </c>
      <c r="N801" s="35">
        <f ca="1"/>
        <v>0</v>
      </c>
      <c r="O801" s="35">
        <f ca="1"/>
        <v>174.7259616907354</v>
      </c>
      <c r="P801" s="35">
        <f ca="1"/>
        <v>154980.4216016907</v>
      </c>
      <c r="Q801" s="35">
        <f ca="1"/>
        <v>159578.92615653467</v>
      </c>
    </row>
    <row r="802" spans="8:17">
      <c r="H802" s="35">
        <v>800</v>
      </c>
      <c r="I802" s="35">
        <f ca="1"/>
        <v>0</v>
      </c>
      <c r="J802" s="35">
        <f ca="1"/>
        <v>0</v>
      </c>
      <c r="K802" s="35">
        <f ca="1"/>
        <v>0</v>
      </c>
      <c r="L802" s="35">
        <f ca="1"/>
        <v>1</v>
      </c>
      <c r="M802" s="35">
        <f ca="1"/>
        <v>0</v>
      </c>
      <c r="N802" s="35">
        <f ca="1"/>
        <v>0</v>
      </c>
      <c r="O802" s="35">
        <f ca="1"/>
        <v>0</v>
      </c>
      <c r="P802" s="35">
        <f ca="1"/>
        <v>154995.48927238132</v>
      </c>
      <c r="Q802" s="35">
        <f ca="1"/>
        <v>154995.48927238132</v>
      </c>
    </row>
    <row r="803" spans="8:17">
      <c r="H803" s="35">
        <v>801</v>
      </c>
      <c r="I803" s="35">
        <f ca="1"/>
        <v>0</v>
      </c>
      <c r="J803" s="35">
        <f ca="1"/>
        <v>0</v>
      </c>
      <c r="K803" s="35">
        <f ca="1"/>
        <v>1</v>
      </c>
      <c r="L803" s="35">
        <f ca="1"/>
        <v>1</v>
      </c>
      <c r="M803" s="35">
        <f ca="1"/>
        <v>0</v>
      </c>
      <c r="N803" s="35">
        <f ca="1"/>
        <v>0</v>
      </c>
      <c r="O803" s="35">
        <f ca="1"/>
        <v>196.49597513823437</v>
      </c>
      <c r="P803" s="35">
        <f ca="1"/>
        <v>131897.2570067042</v>
      </c>
      <c r="Q803" s="35">
        <f ca="1"/>
        <v>132093.75298184244</v>
      </c>
    </row>
    <row r="804" spans="8:17">
      <c r="H804" s="35">
        <v>802</v>
      </c>
      <c r="I804" s="35">
        <f ca="1"/>
        <v>1</v>
      </c>
      <c r="J804" s="35">
        <f ca="1"/>
        <v>1</v>
      </c>
      <c r="K804" s="35">
        <f ca="1"/>
        <v>0</v>
      </c>
      <c r="L804" s="35">
        <f ca="1"/>
        <v>1</v>
      </c>
      <c r="M804" s="35">
        <f ca="1"/>
        <v>12939.542725874049</v>
      </c>
      <c r="N804" s="35">
        <f ca="1"/>
        <v>26971.432347775361</v>
      </c>
      <c r="O804" s="35">
        <f ca="1"/>
        <v>0</v>
      </c>
      <c r="P804" s="35">
        <f ca="1"/>
        <v>107487.78670736824</v>
      </c>
      <c r="Q804" s="35">
        <f ca="1"/>
        <v>147398.76178101765</v>
      </c>
    </row>
    <row r="805" spans="8:17">
      <c r="H805" s="35">
        <v>803</v>
      </c>
      <c r="I805" s="35">
        <f ca="1"/>
        <v>0</v>
      </c>
      <c r="J805" s="35">
        <f ca="1"/>
        <v>0</v>
      </c>
      <c r="K805" s="35">
        <f ca="1"/>
        <v>0</v>
      </c>
      <c r="L805" s="35">
        <f ca="1"/>
        <v>1</v>
      </c>
      <c r="M805" s="35">
        <f ca="1"/>
        <v>0</v>
      </c>
      <c r="N805" s="35">
        <f ca="1"/>
        <v>0</v>
      </c>
      <c r="O805" s="35">
        <f ca="1"/>
        <v>0</v>
      </c>
      <c r="P805" s="35">
        <f ca="1"/>
        <v>148252.65365664722</v>
      </c>
      <c r="Q805" s="35">
        <f ca="1"/>
        <v>148252.65365664722</v>
      </c>
    </row>
    <row r="806" spans="8:17">
      <c r="H806" s="35">
        <v>804</v>
      </c>
      <c r="I806" s="35">
        <f ca="1"/>
        <v>1</v>
      </c>
      <c r="J806" s="35">
        <f ca="1"/>
        <v>1</v>
      </c>
      <c r="K806" s="35">
        <f ca="1"/>
        <v>0</v>
      </c>
      <c r="L806" s="35">
        <f ca="1"/>
        <v>1</v>
      </c>
      <c r="M806" s="35">
        <f ca="1"/>
        <v>5817.5727083173388</v>
      </c>
      <c r="N806" s="35">
        <f ca="1"/>
        <v>45449.967331410517</v>
      </c>
      <c r="O806" s="35">
        <f ca="1"/>
        <v>0</v>
      </c>
      <c r="P806" s="35">
        <f ca="1"/>
        <v>134018.41499844383</v>
      </c>
      <c r="Q806" s="35">
        <f ca="1"/>
        <v>185285.95503817167</v>
      </c>
    </row>
    <row r="807" spans="8:17">
      <c r="H807" s="35">
        <v>805</v>
      </c>
      <c r="I807" s="35">
        <f ca="1"/>
        <v>0</v>
      </c>
      <c r="J807" s="35">
        <f ca="1"/>
        <v>0</v>
      </c>
      <c r="K807" s="35">
        <f ca="1"/>
        <v>0</v>
      </c>
      <c r="L807" s="35">
        <f ca="1"/>
        <v>1</v>
      </c>
      <c r="M807" s="35">
        <f ca="1"/>
        <v>0</v>
      </c>
      <c r="N807" s="35">
        <f ca="1"/>
        <v>0</v>
      </c>
      <c r="O807" s="35">
        <f ca="1"/>
        <v>0</v>
      </c>
      <c r="P807" s="35">
        <f ca="1"/>
        <v>183469.73030077465</v>
      </c>
      <c r="Q807" s="35">
        <f ca="1"/>
        <v>183469.73030077465</v>
      </c>
    </row>
    <row r="808" spans="8:17">
      <c r="H808" s="35">
        <v>806</v>
      </c>
      <c r="I808" s="35">
        <f ca="1"/>
        <v>0</v>
      </c>
      <c r="J808" s="35">
        <f ca="1"/>
        <v>0</v>
      </c>
      <c r="K808" s="35">
        <f ca="1"/>
        <v>0</v>
      </c>
      <c r="L808" s="35">
        <f ca="1"/>
        <v>1</v>
      </c>
      <c r="M808" s="35">
        <f ca="1"/>
        <v>0</v>
      </c>
      <c r="N808" s="35">
        <f ca="1"/>
        <v>0</v>
      </c>
      <c r="O808" s="35">
        <f ca="1"/>
        <v>0</v>
      </c>
      <c r="P808" s="35">
        <f ca="1"/>
        <v>194365.27771630682</v>
      </c>
      <c r="Q808" s="35">
        <f ca="1"/>
        <v>194365.27771630682</v>
      </c>
    </row>
    <row r="809" spans="8:17">
      <c r="H809" s="35">
        <v>807</v>
      </c>
      <c r="I809" s="35">
        <f ca="1"/>
        <v>0</v>
      </c>
      <c r="J809" s="35">
        <f ca="1"/>
        <v>0</v>
      </c>
      <c r="K809" s="35">
        <f ca="1"/>
        <v>0</v>
      </c>
      <c r="L809" s="35">
        <f ca="1"/>
        <v>1</v>
      </c>
      <c r="M809" s="35">
        <f ca="1"/>
        <v>0</v>
      </c>
      <c r="N809" s="35">
        <f ca="1"/>
        <v>0</v>
      </c>
      <c r="O809" s="35">
        <f ca="1"/>
        <v>0</v>
      </c>
      <c r="P809" s="35">
        <f ca="1"/>
        <v>105595.05233683603</v>
      </c>
      <c r="Q809" s="35">
        <f ca="1"/>
        <v>105595.05233683603</v>
      </c>
    </row>
    <row r="810" spans="8:17">
      <c r="H810" s="35">
        <v>808</v>
      </c>
      <c r="I810" s="35">
        <f ca="1"/>
        <v>0</v>
      </c>
      <c r="J810" s="35">
        <f ca="1"/>
        <v>0</v>
      </c>
      <c r="K810" s="35">
        <f ca="1"/>
        <v>0</v>
      </c>
      <c r="L810" s="35">
        <f ca="1"/>
        <v>1</v>
      </c>
      <c r="M810" s="35">
        <f ca="1"/>
        <v>0</v>
      </c>
      <c r="N810" s="35">
        <f ca="1"/>
        <v>0</v>
      </c>
      <c r="O810" s="35">
        <f ca="1"/>
        <v>0</v>
      </c>
      <c r="P810" s="35">
        <f ca="1"/>
        <v>167567.10798951579</v>
      </c>
      <c r="Q810" s="35">
        <f ca="1"/>
        <v>167567.10798951579</v>
      </c>
    </row>
    <row r="811" spans="8:17">
      <c r="H811" s="35">
        <v>809</v>
      </c>
      <c r="I811" s="35">
        <f ca="1"/>
        <v>0</v>
      </c>
      <c r="J811" s="35">
        <f ca="1"/>
        <v>0</v>
      </c>
      <c r="K811" s="35">
        <f ca="1"/>
        <v>0</v>
      </c>
      <c r="L811" s="35">
        <f ca="1"/>
        <v>1</v>
      </c>
      <c r="M811" s="35">
        <f ca="1"/>
        <v>0</v>
      </c>
      <c r="N811" s="35">
        <f ca="1"/>
        <v>0</v>
      </c>
      <c r="O811" s="35">
        <f ca="1"/>
        <v>0</v>
      </c>
      <c r="P811" s="35">
        <f ca="1"/>
        <v>124877.36520075571</v>
      </c>
      <c r="Q811" s="35">
        <f ca="1"/>
        <v>124877.36520075571</v>
      </c>
    </row>
    <row r="812" spans="8:17">
      <c r="H812" s="35">
        <v>810</v>
      </c>
      <c r="I812" s="35">
        <f ca="1"/>
        <v>0</v>
      </c>
      <c r="J812" s="35">
        <f ca="1"/>
        <v>0</v>
      </c>
      <c r="K812" s="35">
        <f ca="1"/>
        <v>1</v>
      </c>
      <c r="L812" s="35">
        <f ca="1"/>
        <v>1</v>
      </c>
      <c r="M812" s="35">
        <f ca="1"/>
        <v>0</v>
      </c>
      <c r="N812" s="35">
        <f ca="1"/>
        <v>0</v>
      </c>
      <c r="O812" s="35">
        <f ca="1"/>
        <v>562.07303860089735</v>
      </c>
      <c r="P812" s="35">
        <f ca="1"/>
        <v>153898.89384612843</v>
      </c>
      <c r="Q812" s="35">
        <f ca="1"/>
        <v>154460.96688472934</v>
      </c>
    </row>
    <row r="813" spans="8:17">
      <c r="H813" s="35">
        <v>811</v>
      </c>
      <c r="I813" s="35">
        <f ca="1"/>
        <v>0</v>
      </c>
      <c r="J813" s="35">
        <f ca="1"/>
        <v>0</v>
      </c>
      <c r="K813" s="35">
        <f ca="1"/>
        <v>0</v>
      </c>
      <c r="L813" s="35">
        <f ca="1"/>
        <v>0</v>
      </c>
      <c r="M813" s="35">
        <f ca="1"/>
        <v>0</v>
      </c>
      <c r="N813" s="35">
        <f ca="1"/>
        <v>0</v>
      </c>
      <c r="O813" s="35">
        <f ca="1"/>
        <v>0</v>
      </c>
      <c r="P813" s="35">
        <f ca="1"/>
        <v>0</v>
      </c>
      <c r="Q813" s="35">
        <f ca="1"/>
        <v>0</v>
      </c>
    </row>
    <row r="814" spans="8:17">
      <c r="H814" s="35">
        <v>812</v>
      </c>
      <c r="I814" s="35">
        <f ca="1"/>
        <v>0</v>
      </c>
      <c r="J814" s="35">
        <f ca="1"/>
        <v>0</v>
      </c>
      <c r="K814" s="35">
        <f ca="1"/>
        <v>0</v>
      </c>
      <c r="L814" s="35">
        <f ca="1"/>
        <v>0</v>
      </c>
      <c r="M814" s="35">
        <f ca="1"/>
        <v>0</v>
      </c>
      <c r="N814" s="35">
        <f ca="1"/>
        <v>0</v>
      </c>
      <c r="O814" s="35">
        <f ca="1"/>
        <v>0</v>
      </c>
      <c r="P814" s="35">
        <f ca="1"/>
        <v>0</v>
      </c>
      <c r="Q814" s="35">
        <f ca="1"/>
        <v>0</v>
      </c>
    </row>
    <row r="815" spans="8:17">
      <c r="H815" s="35">
        <v>813</v>
      </c>
      <c r="I815" s="35">
        <f ca="1"/>
        <v>0</v>
      </c>
      <c r="J815" s="35">
        <f ca="1"/>
        <v>0</v>
      </c>
      <c r="K815" s="35">
        <f ca="1"/>
        <v>0</v>
      </c>
      <c r="L815" s="35">
        <f ca="1"/>
        <v>1</v>
      </c>
      <c r="M815" s="35">
        <f ca="1"/>
        <v>0</v>
      </c>
      <c r="N815" s="35">
        <f ca="1"/>
        <v>0</v>
      </c>
      <c r="O815" s="35">
        <f ca="1"/>
        <v>0</v>
      </c>
      <c r="P815" s="35">
        <f ca="1"/>
        <v>186840.63659514359</v>
      </c>
      <c r="Q815" s="35">
        <f ca="1"/>
        <v>186840.63659514359</v>
      </c>
    </row>
    <row r="816" spans="8:17">
      <c r="H816" s="35">
        <v>814</v>
      </c>
      <c r="I816" s="35">
        <f ca="1"/>
        <v>0</v>
      </c>
      <c r="J816" s="35">
        <f ca="1"/>
        <v>0</v>
      </c>
      <c r="K816" s="35">
        <f ca="1"/>
        <v>1</v>
      </c>
      <c r="L816" s="35">
        <f ca="1"/>
        <v>1</v>
      </c>
      <c r="M816" s="35">
        <f ca="1"/>
        <v>0</v>
      </c>
      <c r="N816" s="35">
        <f ca="1"/>
        <v>0</v>
      </c>
      <c r="O816" s="35">
        <f ca="1"/>
        <v>129.27765339051442</v>
      </c>
      <c r="P816" s="35">
        <f ca="1"/>
        <v>163254.35741249466</v>
      </c>
      <c r="Q816" s="35">
        <f ca="1"/>
        <v>163383.63506588517</v>
      </c>
    </row>
    <row r="817" spans="8:17">
      <c r="H817" s="35">
        <v>815</v>
      </c>
      <c r="I817" s="35">
        <f ca="1"/>
        <v>0</v>
      </c>
      <c r="J817" s="35">
        <f ca="1"/>
        <v>0</v>
      </c>
      <c r="K817" s="35">
        <f ca="1"/>
        <v>0</v>
      </c>
      <c r="L817" s="35">
        <f ca="1"/>
        <v>1</v>
      </c>
      <c r="M817" s="35">
        <f ca="1"/>
        <v>0</v>
      </c>
      <c r="N817" s="35">
        <f ca="1"/>
        <v>0</v>
      </c>
      <c r="O817" s="35">
        <f ca="1"/>
        <v>0</v>
      </c>
      <c r="P817" s="35">
        <f ca="1"/>
        <v>191373.80527291048</v>
      </c>
      <c r="Q817" s="35">
        <f ca="1"/>
        <v>191373.80527291048</v>
      </c>
    </row>
    <row r="818" spans="8:17">
      <c r="H818" s="35">
        <v>816</v>
      </c>
      <c r="I818" s="35">
        <f ca="1"/>
        <v>0</v>
      </c>
      <c r="J818" s="35">
        <f ca="1"/>
        <v>0</v>
      </c>
      <c r="K818" s="35">
        <f ca="1"/>
        <v>0</v>
      </c>
      <c r="L818" s="35">
        <f ca="1"/>
        <v>0</v>
      </c>
      <c r="M818" s="35">
        <f ca="1"/>
        <v>0</v>
      </c>
      <c r="N818" s="35">
        <f ca="1"/>
        <v>0</v>
      </c>
      <c r="O818" s="35">
        <f ca="1"/>
        <v>0</v>
      </c>
      <c r="P818" s="35">
        <f ca="1"/>
        <v>0</v>
      </c>
      <c r="Q818" s="35">
        <f ca="1"/>
        <v>0</v>
      </c>
    </row>
    <row r="819" spans="8:17">
      <c r="H819" s="35">
        <v>817</v>
      </c>
      <c r="I819" s="35">
        <f ca="1"/>
        <v>0</v>
      </c>
      <c r="J819" s="35">
        <f ca="1"/>
        <v>0</v>
      </c>
      <c r="K819" s="35">
        <f ca="1"/>
        <v>0</v>
      </c>
      <c r="L819" s="35">
        <f ca="1"/>
        <v>1</v>
      </c>
      <c r="M819" s="35">
        <f ca="1"/>
        <v>0</v>
      </c>
      <c r="N819" s="35">
        <f ca="1"/>
        <v>0</v>
      </c>
      <c r="O819" s="35">
        <f ca="1"/>
        <v>0</v>
      </c>
      <c r="P819" s="35">
        <f ca="1"/>
        <v>150801.16241758352</v>
      </c>
      <c r="Q819" s="35">
        <f ca="1"/>
        <v>150801.16241758352</v>
      </c>
    </row>
    <row r="820" spans="8:17">
      <c r="H820" s="35">
        <v>818</v>
      </c>
      <c r="I820" s="35">
        <f ca="1"/>
        <v>0</v>
      </c>
      <c r="J820" s="35">
        <f ca="1"/>
        <v>1</v>
      </c>
      <c r="K820" s="35">
        <f ca="1"/>
        <v>0</v>
      </c>
      <c r="L820" s="35">
        <f ca="1"/>
        <v>1</v>
      </c>
      <c r="M820" s="35">
        <f ca="1"/>
        <v>0</v>
      </c>
      <c r="N820" s="35">
        <f ca="1"/>
        <v>17382.735330913405</v>
      </c>
      <c r="O820" s="35">
        <f ca="1"/>
        <v>0</v>
      </c>
      <c r="P820" s="35">
        <f ca="1"/>
        <v>185830.55407808535</v>
      </c>
      <c r="Q820" s="35">
        <f ca="1"/>
        <v>203213.28940899874</v>
      </c>
    </row>
    <row r="821" spans="8:17">
      <c r="H821" s="35">
        <v>819</v>
      </c>
      <c r="I821" s="35">
        <f ca="1"/>
        <v>0</v>
      </c>
      <c r="J821" s="35">
        <f ca="1"/>
        <v>1</v>
      </c>
      <c r="K821" s="35">
        <f ca="1"/>
        <v>0</v>
      </c>
      <c r="L821" s="35">
        <f ca="1"/>
        <v>1</v>
      </c>
      <c r="M821" s="35">
        <f ca="1"/>
        <v>0</v>
      </c>
      <c r="N821" s="35">
        <f ca="1"/>
        <v>13038.52972520127</v>
      </c>
      <c r="O821" s="35">
        <f ca="1"/>
        <v>0</v>
      </c>
      <c r="P821" s="35">
        <f ca="1"/>
        <v>118351.21464521359</v>
      </c>
      <c r="Q821" s="35">
        <f ca="1"/>
        <v>131389.74437041488</v>
      </c>
    </row>
    <row r="822" spans="8:17">
      <c r="H822" s="35">
        <v>820</v>
      </c>
      <c r="I822" s="35">
        <f ca="1"/>
        <v>0</v>
      </c>
      <c r="J822" s="35">
        <f ca="1"/>
        <v>0</v>
      </c>
      <c r="K822" s="35">
        <f ca="1"/>
        <v>0</v>
      </c>
      <c r="L822" s="35">
        <f ca="1"/>
        <v>1</v>
      </c>
      <c r="M822" s="35">
        <f ca="1"/>
        <v>0</v>
      </c>
      <c r="N822" s="35">
        <f ca="1"/>
        <v>0</v>
      </c>
      <c r="O822" s="35">
        <f ca="1"/>
        <v>0</v>
      </c>
      <c r="P822" s="35">
        <f ca="1"/>
        <v>209225.97877348572</v>
      </c>
      <c r="Q822" s="35">
        <f ca="1"/>
        <v>209225.97877348572</v>
      </c>
    </row>
    <row r="823" spans="8:17">
      <c r="H823" s="35">
        <v>821</v>
      </c>
      <c r="I823" s="35">
        <f ca="1"/>
        <v>0</v>
      </c>
      <c r="J823" s="35">
        <f ca="1"/>
        <v>0</v>
      </c>
      <c r="K823" s="35">
        <f ca="1"/>
        <v>0</v>
      </c>
      <c r="L823" s="35">
        <f ca="1"/>
        <v>1</v>
      </c>
      <c r="M823" s="35">
        <f ca="1"/>
        <v>0</v>
      </c>
      <c r="N823" s="35">
        <f ca="1"/>
        <v>0</v>
      </c>
      <c r="O823" s="35">
        <f ca="1"/>
        <v>0</v>
      </c>
      <c r="P823" s="35">
        <f ca="1"/>
        <v>134564.06724220951</v>
      </c>
      <c r="Q823" s="35">
        <f ca="1"/>
        <v>134564.06724220951</v>
      </c>
    </row>
    <row r="824" spans="8:17">
      <c r="H824" s="35">
        <v>822</v>
      </c>
      <c r="I824" s="35">
        <f ca="1"/>
        <v>1</v>
      </c>
      <c r="J824" s="35">
        <f ca="1"/>
        <v>1</v>
      </c>
      <c r="K824" s="35">
        <f ca="1"/>
        <v>0</v>
      </c>
      <c r="L824" s="35">
        <f ca="1"/>
        <v>1</v>
      </c>
      <c r="M824" s="35">
        <f ca="1"/>
        <v>7081.7944347566945</v>
      </c>
      <c r="N824" s="35">
        <f ca="1"/>
        <v>43319.475008727131</v>
      </c>
      <c r="O824" s="35">
        <f ca="1"/>
        <v>0</v>
      </c>
      <c r="P824" s="35">
        <f ca="1"/>
        <v>86434.535755509321</v>
      </c>
      <c r="Q824" s="35">
        <f ca="1"/>
        <v>136835.80519899316</v>
      </c>
    </row>
    <row r="825" spans="8:17">
      <c r="H825" s="35">
        <v>823</v>
      </c>
      <c r="I825" s="35">
        <f ca="1"/>
        <v>0</v>
      </c>
      <c r="J825" s="35">
        <f ca="1"/>
        <v>0</v>
      </c>
      <c r="K825" s="35">
        <f ca="1"/>
        <v>0</v>
      </c>
      <c r="L825" s="35">
        <f ca="1"/>
        <v>1</v>
      </c>
      <c r="M825" s="35">
        <f ca="1"/>
        <v>0</v>
      </c>
      <c r="N825" s="35">
        <f ca="1"/>
        <v>0</v>
      </c>
      <c r="O825" s="35">
        <f ca="1"/>
        <v>0</v>
      </c>
      <c r="P825" s="35">
        <f ca="1"/>
        <v>116088.24463969679</v>
      </c>
      <c r="Q825" s="35">
        <f ca="1"/>
        <v>116088.24463969679</v>
      </c>
    </row>
    <row r="826" spans="8:17">
      <c r="H826" s="35">
        <v>824</v>
      </c>
      <c r="I826" s="35">
        <f ca="1"/>
        <v>0</v>
      </c>
      <c r="J826" s="35">
        <f ca="1"/>
        <v>0</v>
      </c>
      <c r="K826" s="35">
        <f ca="1"/>
        <v>0</v>
      </c>
      <c r="L826" s="35">
        <f ca="1"/>
        <v>1</v>
      </c>
      <c r="M826" s="35">
        <f ca="1"/>
        <v>0</v>
      </c>
      <c r="N826" s="35">
        <f ca="1"/>
        <v>0</v>
      </c>
      <c r="O826" s="35">
        <f ca="1"/>
        <v>0</v>
      </c>
      <c r="P826" s="35">
        <f ca="1"/>
        <v>111774.36550138888</v>
      </c>
      <c r="Q826" s="35">
        <f ca="1"/>
        <v>111774.36550138888</v>
      </c>
    </row>
    <row r="827" spans="8:17">
      <c r="H827" s="35">
        <v>825</v>
      </c>
      <c r="I827" s="35">
        <f ca="1"/>
        <v>0</v>
      </c>
      <c r="J827" s="35">
        <f ca="1"/>
        <v>0</v>
      </c>
      <c r="K827" s="35">
        <f ca="1"/>
        <v>1</v>
      </c>
      <c r="L827" s="35">
        <f ca="1"/>
        <v>1</v>
      </c>
      <c r="M827" s="35">
        <f ca="1"/>
        <v>0</v>
      </c>
      <c r="N827" s="35">
        <f ca="1"/>
        <v>0</v>
      </c>
      <c r="O827" s="35">
        <f ca="1"/>
        <v>505.89547380981787</v>
      </c>
      <c r="P827" s="35">
        <f ca="1"/>
        <v>118749.86094472811</v>
      </c>
      <c r="Q827" s="35">
        <f ca="1"/>
        <v>119255.75641853792</v>
      </c>
    </row>
    <row r="828" spans="8:17">
      <c r="H828" s="35">
        <v>826</v>
      </c>
      <c r="I828" s="35">
        <f ca="1"/>
        <v>1</v>
      </c>
      <c r="J828" s="35">
        <f ca="1"/>
        <v>0</v>
      </c>
      <c r="K828" s="35">
        <f ca="1"/>
        <v>0</v>
      </c>
      <c r="L828" s="35">
        <f ca="1"/>
        <v>1</v>
      </c>
      <c r="M828" s="35">
        <f ca="1"/>
        <v>13392.369609608344</v>
      </c>
      <c r="N828" s="35">
        <f ca="1"/>
        <v>0</v>
      </c>
      <c r="O828" s="35">
        <f ca="1"/>
        <v>0</v>
      </c>
      <c r="P828" s="35">
        <f ca="1"/>
        <v>148817.65886585135</v>
      </c>
      <c r="Q828" s="35">
        <f ca="1"/>
        <v>162210.02847545969</v>
      </c>
    </row>
    <row r="829" spans="8:17">
      <c r="H829" s="35">
        <v>827</v>
      </c>
      <c r="I829" s="35">
        <f ca="1"/>
        <v>0</v>
      </c>
      <c r="J829" s="35">
        <f ca="1"/>
        <v>0</v>
      </c>
      <c r="K829" s="35">
        <f ca="1"/>
        <v>0</v>
      </c>
      <c r="L829" s="35">
        <f ca="1"/>
        <v>1</v>
      </c>
      <c r="M829" s="35">
        <f ca="1"/>
        <v>0</v>
      </c>
      <c r="N829" s="35">
        <f ca="1"/>
        <v>0</v>
      </c>
      <c r="O829" s="35">
        <f ca="1"/>
        <v>0</v>
      </c>
      <c r="P829" s="35">
        <f ca="1"/>
        <v>144108.91784715519</v>
      </c>
      <c r="Q829" s="35">
        <f ca="1"/>
        <v>144108.91784715519</v>
      </c>
    </row>
    <row r="830" spans="8:17">
      <c r="H830" s="35">
        <v>828</v>
      </c>
      <c r="I830" s="35">
        <f ca="1"/>
        <v>0</v>
      </c>
      <c r="J830" s="35">
        <f ca="1"/>
        <v>0</v>
      </c>
      <c r="K830" s="35">
        <f ca="1"/>
        <v>0</v>
      </c>
      <c r="L830" s="35">
        <f ca="1"/>
        <v>1</v>
      </c>
      <c r="M830" s="35">
        <f ca="1"/>
        <v>0</v>
      </c>
      <c r="N830" s="35">
        <f ca="1"/>
        <v>0</v>
      </c>
      <c r="O830" s="35">
        <f ca="1"/>
        <v>0</v>
      </c>
      <c r="P830" s="35">
        <f ca="1"/>
        <v>168555.98790444288</v>
      </c>
      <c r="Q830" s="35">
        <f ca="1"/>
        <v>168555.98790444288</v>
      </c>
    </row>
    <row r="831" spans="8:17">
      <c r="H831" s="35">
        <v>829</v>
      </c>
      <c r="I831" s="35">
        <f ca="1"/>
        <v>1</v>
      </c>
      <c r="J831" s="35">
        <f ca="1"/>
        <v>1</v>
      </c>
      <c r="K831" s="35">
        <f ca="1"/>
        <v>1</v>
      </c>
      <c r="L831" s="35">
        <f ca="1"/>
        <v>0</v>
      </c>
      <c r="M831" s="35">
        <f ca="1"/>
        <v>10631.012912220118</v>
      </c>
      <c r="N831" s="35">
        <f ca="1"/>
        <v>36507.369299468628</v>
      </c>
      <c r="O831" s="35">
        <f ca="1"/>
        <v>294.05642332706003</v>
      </c>
      <c r="P831" s="35">
        <f ca="1"/>
        <v>0</v>
      </c>
      <c r="Q831" s="35">
        <f ca="1"/>
        <v>47432.438635015809</v>
      </c>
    </row>
    <row r="832" spans="8:17">
      <c r="H832" s="35">
        <v>830</v>
      </c>
      <c r="I832" s="35">
        <f ca="1"/>
        <v>0</v>
      </c>
      <c r="J832" s="35">
        <f ca="1"/>
        <v>0</v>
      </c>
      <c r="K832" s="35">
        <f ca="1"/>
        <v>0</v>
      </c>
      <c r="L832" s="35">
        <f ca="1"/>
        <v>1</v>
      </c>
      <c r="M832" s="35">
        <f ca="1"/>
        <v>0</v>
      </c>
      <c r="N832" s="35">
        <f ca="1"/>
        <v>0</v>
      </c>
      <c r="O832" s="35">
        <f ca="1"/>
        <v>0</v>
      </c>
      <c r="P832" s="35">
        <f ca="1"/>
        <v>137475.75843902235</v>
      </c>
      <c r="Q832" s="35">
        <f ca="1"/>
        <v>137475.75843902235</v>
      </c>
    </row>
    <row r="833" spans="8:17">
      <c r="H833" s="35">
        <v>831</v>
      </c>
      <c r="I833" s="35">
        <f ca="1"/>
        <v>0</v>
      </c>
      <c r="J833" s="35">
        <f ca="1"/>
        <v>0</v>
      </c>
      <c r="K833" s="35">
        <f ca="1"/>
        <v>0</v>
      </c>
      <c r="L833" s="35">
        <f ca="1"/>
        <v>0</v>
      </c>
      <c r="M833" s="35">
        <f ca="1"/>
        <v>0</v>
      </c>
      <c r="N833" s="35">
        <f ca="1"/>
        <v>0</v>
      </c>
      <c r="O833" s="35">
        <f ca="1"/>
        <v>0</v>
      </c>
      <c r="P833" s="35">
        <f ca="1"/>
        <v>0</v>
      </c>
      <c r="Q833" s="35">
        <f ca="1"/>
        <v>0</v>
      </c>
    </row>
    <row r="834" spans="8:17">
      <c r="H834" s="35">
        <v>832</v>
      </c>
      <c r="I834" s="35">
        <f ca="1"/>
        <v>0</v>
      </c>
      <c r="J834" s="35">
        <f ca="1"/>
        <v>1</v>
      </c>
      <c r="K834" s="35">
        <f ca="1"/>
        <v>1</v>
      </c>
      <c r="L834" s="35">
        <f ca="1"/>
        <v>1</v>
      </c>
      <c r="M834" s="35">
        <f ca="1"/>
        <v>0</v>
      </c>
      <c r="N834" s="35">
        <f ca="1"/>
        <v>61076.19557728841</v>
      </c>
      <c r="O834" s="35">
        <f ca="1"/>
        <v>206.54513328036961</v>
      </c>
      <c r="P834" s="35">
        <f ca="1"/>
        <v>146780.2181746022</v>
      </c>
      <c r="Q834" s="35">
        <f ca="1"/>
        <v>208062.95888517099</v>
      </c>
    </row>
    <row r="835" spans="8:17">
      <c r="H835" s="35">
        <v>833</v>
      </c>
      <c r="I835" s="35">
        <f ca="1"/>
        <v>0</v>
      </c>
      <c r="J835" s="35">
        <f ca="1"/>
        <v>0</v>
      </c>
      <c r="K835" s="35">
        <f ca="1"/>
        <v>0</v>
      </c>
      <c r="L835" s="35">
        <f ca="1"/>
        <v>1</v>
      </c>
      <c r="M835" s="35">
        <f ca="1"/>
        <v>0</v>
      </c>
      <c r="N835" s="35">
        <f ca="1"/>
        <v>0</v>
      </c>
      <c r="O835" s="35">
        <f ca="1"/>
        <v>0</v>
      </c>
      <c r="P835" s="35">
        <f ca="1"/>
        <v>153621.55432504427</v>
      </c>
      <c r="Q835" s="35">
        <f ca="1"/>
        <v>153621.55432504427</v>
      </c>
    </row>
    <row r="836" spans="8:17">
      <c r="H836" s="35">
        <v>834</v>
      </c>
      <c r="I836" s="35">
        <f ca="1"/>
        <v>0</v>
      </c>
      <c r="J836" s="35">
        <f ca="1"/>
        <v>0</v>
      </c>
      <c r="K836" s="35">
        <f ca="1"/>
        <v>1</v>
      </c>
      <c r="L836" s="35">
        <f ca="1"/>
        <v>1</v>
      </c>
      <c r="M836" s="35">
        <f ca="1"/>
        <v>0</v>
      </c>
      <c r="N836" s="35">
        <f ca="1"/>
        <v>0</v>
      </c>
      <c r="O836" s="35">
        <f ca="1"/>
        <v>214.13373567364141</v>
      </c>
      <c r="P836" s="35">
        <f ca="1"/>
        <v>163967.19937537523</v>
      </c>
      <c r="Q836" s="35">
        <f ca="1"/>
        <v>164181.33311104888</v>
      </c>
    </row>
    <row r="837" spans="8:17">
      <c r="H837" s="35">
        <v>835</v>
      </c>
      <c r="I837" s="35">
        <f ca="1"/>
        <v>0</v>
      </c>
      <c r="J837" s="35">
        <f ca="1"/>
        <v>0</v>
      </c>
      <c r="K837" s="35">
        <f ca="1"/>
        <v>0</v>
      </c>
      <c r="L837" s="35">
        <f ca="1"/>
        <v>0</v>
      </c>
      <c r="M837" s="35">
        <f ca="1"/>
        <v>0</v>
      </c>
      <c r="N837" s="35">
        <f ca="1"/>
        <v>0</v>
      </c>
      <c r="O837" s="35">
        <f ca="1"/>
        <v>0</v>
      </c>
      <c r="P837" s="35">
        <f ca="1"/>
        <v>0</v>
      </c>
      <c r="Q837" s="35">
        <f ca="1"/>
        <v>0</v>
      </c>
    </row>
    <row r="838" spans="8:17">
      <c r="H838" s="35">
        <v>836</v>
      </c>
      <c r="I838" s="35">
        <f ca="1"/>
        <v>1</v>
      </c>
      <c r="J838" s="35">
        <f ca="1"/>
        <v>0</v>
      </c>
      <c r="K838" s="35">
        <f ca="1"/>
        <v>0</v>
      </c>
      <c r="L838" s="35">
        <f ca="1"/>
        <v>1</v>
      </c>
      <c r="M838" s="35">
        <f ca="1"/>
        <v>7554.0680621518059</v>
      </c>
      <c r="N838" s="35">
        <f ca="1"/>
        <v>0</v>
      </c>
      <c r="O838" s="35">
        <f ca="1"/>
        <v>0</v>
      </c>
      <c r="P838" s="35">
        <f ca="1"/>
        <v>147327.6405095006</v>
      </c>
      <c r="Q838" s="35">
        <f ca="1"/>
        <v>154881.70857165242</v>
      </c>
    </row>
    <row r="839" spans="8:17">
      <c r="H839" s="35">
        <v>837</v>
      </c>
      <c r="I839" s="35">
        <f ca="1"/>
        <v>1</v>
      </c>
      <c r="J839" s="35">
        <f ca="1"/>
        <v>0</v>
      </c>
      <c r="K839" s="35">
        <f ca="1"/>
        <v>0</v>
      </c>
      <c r="L839" s="35">
        <f ca="1"/>
        <v>1</v>
      </c>
      <c r="M839" s="35">
        <f ca="1"/>
        <v>14342.504095313987</v>
      </c>
      <c r="N839" s="35">
        <f ca="1"/>
        <v>0</v>
      </c>
      <c r="O839" s="35">
        <f ca="1"/>
        <v>0</v>
      </c>
      <c r="P839" s="35">
        <f ca="1"/>
        <v>133104.97653797086</v>
      </c>
      <c r="Q839" s="35">
        <f ca="1"/>
        <v>147447.48063328484</v>
      </c>
    </row>
    <row r="840" spans="8:17">
      <c r="H840" s="35">
        <v>838</v>
      </c>
      <c r="I840" s="35">
        <f ca="1"/>
        <v>0</v>
      </c>
      <c r="J840" s="35">
        <f ca="1"/>
        <v>1</v>
      </c>
      <c r="K840" s="35">
        <f ca="1"/>
        <v>0</v>
      </c>
      <c r="L840" s="35">
        <f ca="1"/>
        <v>1</v>
      </c>
      <c r="M840" s="35">
        <f ca="1"/>
        <v>0</v>
      </c>
      <c r="N840" s="35">
        <f ca="1"/>
        <v>39864.97758309215</v>
      </c>
      <c r="O840" s="35">
        <f ca="1"/>
        <v>0</v>
      </c>
      <c r="P840" s="35">
        <f ca="1"/>
        <v>186173.15012135988</v>
      </c>
      <c r="Q840" s="35">
        <f ca="1"/>
        <v>226038.12770445202</v>
      </c>
    </row>
    <row r="841" spans="8:17">
      <c r="H841" s="35">
        <v>839</v>
      </c>
      <c r="I841" s="35">
        <f ca="1"/>
        <v>0</v>
      </c>
      <c r="J841" s="35">
        <f ca="1"/>
        <v>0</v>
      </c>
      <c r="K841" s="35">
        <f ca="1"/>
        <v>0</v>
      </c>
      <c r="L841" s="35">
        <f ca="1"/>
        <v>1</v>
      </c>
      <c r="M841" s="35">
        <f ca="1"/>
        <v>0</v>
      </c>
      <c r="N841" s="35">
        <f ca="1"/>
        <v>0</v>
      </c>
      <c r="O841" s="35">
        <f ca="1"/>
        <v>0</v>
      </c>
      <c r="P841" s="35">
        <f ca="1"/>
        <v>55999.743725720764</v>
      </c>
      <c r="Q841" s="35">
        <f ca="1"/>
        <v>55999.743725720764</v>
      </c>
    </row>
    <row r="842" spans="8:17">
      <c r="H842" s="35">
        <v>840</v>
      </c>
      <c r="I842" s="35">
        <f ca="1"/>
        <v>0</v>
      </c>
      <c r="J842" s="35">
        <f ca="1"/>
        <v>0</v>
      </c>
      <c r="K842" s="35">
        <f ca="1"/>
        <v>1</v>
      </c>
      <c r="L842" s="35">
        <f ca="1"/>
        <v>1</v>
      </c>
      <c r="M842" s="35">
        <f ca="1"/>
        <v>0</v>
      </c>
      <c r="N842" s="35">
        <f ca="1"/>
        <v>0</v>
      </c>
      <c r="O842" s="35">
        <f ca="1"/>
        <v>216.28522566610161</v>
      </c>
      <c r="P842" s="35">
        <f ca="1"/>
        <v>174582.08579969051</v>
      </c>
      <c r="Q842" s="35">
        <f ca="1"/>
        <v>174798.37102535661</v>
      </c>
    </row>
    <row r="843" spans="8:17">
      <c r="H843" s="35">
        <v>841</v>
      </c>
      <c r="I843" s="35">
        <f ca="1"/>
        <v>1</v>
      </c>
      <c r="J843" s="35">
        <f ca="1"/>
        <v>1</v>
      </c>
      <c r="K843" s="35">
        <f ca="1"/>
        <v>0</v>
      </c>
      <c r="L843" s="35">
        <f ca="1"/>
        <v>1</v>
      </c>
      <c r="M843" s="35">
        <f ca="1"/>
        <v>11186.831625343049</v>
      </c>
      <c r="N843" s="35">
        <f ca="1"/>
        <v>31160.535659535275</v>
      </c>
      <c r="O843" s="35">
        <f ca="1"/>
        <v>0</v>
      </c>
      <c r="P843" s="35">
        <f ca="1"/>
        <v>174952.16392721434</v>
      </c>
      <c r="Q843" s="35">
        <f ca="1"/>
        <v>217299.53121209267</v>
      </c>
    </row>
    <row r="844" spans="8:17">
      <c r="H844" s="35">
        <v>842</v>
      </c>
      <c r="I844" s="35">
        <f ca="1"/>
        <v>0</v>
      </c>
      <c r="J844" s="35">
        <f ca="1"/>
        <v>1</v>
      </c>
      <c r="K844" s="35">
        <f ca="1"/>
        <v>0</v>
      </c>
      <c r="L844" s="35">
        <f ca="1"/>
        <v>0</v>
      </c>
      <c r="M844" s="35">
        <f ca="1"/>
        <v>0</v>
      </c>
      <c r="N844" s="35">
        <f ca="1"/>
        <v>43498.076759332369</v>
      </c>
      <c r="O844" s="35">
        <f ca="1"/>
        <v>0</v>
      </c>
      <c r="P844" s="35">
        <f ca="1"/>
        <v>0</v>
      </c>
      <c r="Q844" s="35">
        <f ca="1"/>
        <v>43498.076759332369</v>
      </c>
    </row>
    <row r="845" spans="8:17">
      <c r="H845" s="35">
        <v>843</v>
      </c>
      <c r="I845" s="35">
        <f ca="1"/>
        <v>0</v>
      </c>
      <c r="J845" s="35">
        <f ca="1"/>
        <v>1</v>
      </c>
      <c r="K845" s="35">
        <f ca="1"/>
        <v>0</v>
      </c>
      <c r="L845" s="35">
        <f ca="1"/>
        <v>1</v>
      </c>
      <c r="M845" s="35">
        <f ca="1"/>
        <v>0</v>
      </c>
      <c r="N845" s="35">
        <f ca="1"/>
        <v>36623.608912230513</v>
      </c>
      <c r="O845" s="35">
        <f ca="1"/>
        <v>0</v>
      </c>
      <c r="P845" s="35">
        <f ca="1"/>
        <v>112402.69138862906</v>
      </c>
      <c r="Q845" s="35">
        <f ca="1"/>
        <v>149026.30030085956</v>
      </c>
    </row>
    <row r="846" spans="8:17">
      <c r="H846" s="35">
        <v>844</v>
      </c>
      <c r="I846" s="35">
        <f ca="1"/>
        <v>0</v>
      </c>
      <c r="J846" s="35">
        <f ca="1"/>
        <v>0</v>
      </c>
      <c r="K846" s="35">
        <f ca="1"/>
        <v>0</v>
      </c>
      <c r="L846" s="35">
        <f ca="1"/>
        <v>1</v>
      </c>
      <c r="M846" s="35">
        <f ca="1"/>
        <v>0</v>
      </c>
      <c r="N846" s="35">
        <f ca="1"/>
        <v>0</v>
      </c>
      <c r="O846" s="35">
        <f ca="1"/>
        <v>0</v>
      </c>
      <c r="P846" s="35">
        <f ca="1"/>
        <v>173684.49126873721</v>
      </c>
      <c r="Q846" s="35">
        <f ca="1"/>
        <v>173684.49126873721</v>
      </c>
    </row>
    <row r="847" spans="8:17">
      <c r="H847" s="35">
        <v>845</v>
      </c>
      <c r="I847" s="35">
        <f ca="1"/>
        <v>1</v>
      </c>
      <c r="J847" s="35">
        <f ca="1"/>
        <v>0</v>
      </c>
      <c r="K847" s="35">
        <f ca="1"/>
        <v>0</v>
      </c>
      <c r="L847" s="35">
        <f ca="1"/>
        <v>0</v>
      </c>
      <c r="M847" s="35">
        <f ca="1"/>
        <v>12636.757229669902</v>
      </c>
      <c r="N847" s="35">
        <f ca="1"/>
        <v>0</v>
      </c>
      <c r="O847" s="35">
        <f ca="1"/>
        <v>0</v>
      </c>
      <c r="P847" s="35">
        <f ca="1"/>
        <v>0</v>
      </c>
      <c r="Q847" s="35">
        <f ca="1"/>
        <v>12636.757229669902</v>
      </c>
    </row>
    <row r="848" spans="8:17">
      <c r="H848" s="35">
        <v>846</v>
      </c>
      <c r="I848" s="35">
        <f ca="1"/>
        <v>0</v>
      </c>
      <c r="J848" s="35">
        <f ca="1"/>
        <v>0</v>
      </c>
      <c r="K848" s="35">
        <f ca="1"/>
        <v>1</v>
      </c>
      <c r="L848" s="35">
        <f ca="1"/>
        <v>1</v>
      </c>
      <c r="M848" s="35">
        <f ca="1"/>
        <v>0</v>
      </c>
      <c r="N848" s="35">
        <f ca="1"/>
        <v>0</v>
      </c>
      <c r="O848" s="35">
        <f ca="1"/>
        <v>103.82484519065073</v>
      </c>
      <c r="P848" s="35">
        <f ca="1"/>
        <v>85166.186351723911</v>
      </c>
      <c r="Q848" s="35">
        <f ca="1"/>
        <v>85270.011196914566</v>
      </c>
    </row>
    <row r="849" spans="8:17">
      <c r="H849" s="35">
        <v>847</v>
      </c>
      <c r="I849" s="35">
        <f ca="1"/>
        <v>0</v>
      </c>
      <c r="J849" s="35">
        <f ca="1"/>
        <v>1</v>
      </c>
      <c r="K849" s="35">
        <f ca="1"/>
        <v>0</v>
      </c>
      <c r="L849" s="35">
        <f ca="1"/>
        <v>1</v>
      </c>
      <c r="M849" s="35">
        <f ca="1"/>
        <v>0</v>
      </c>
      <c r="N849" s="35">
        <f ca="1"/>
        <v>7287.9307621818089</v>
      </c>
      <c r="O849" s="35">
        <f ca="1"/>
        <v>0</v>
      </c>
      <c r="P849" s="35">
        <f ca="1"/>
        <v>96875.342504286382</v>
      </c>
      <c r="Q849" s="35">
        <f ca="1"/>
        <v>104163.2732664682</v>
      </c>
    </row>
    <row r="850" spans="8:17">
      <c r="H850" s="35">
        <v>848</v>
      </c>
      <c r="I850" s="35">
        <f ca="1"/>
        <v>0</v>
      </c>
      <c r="J850" s="35">
        <f ca="1"/>
        <v>0</v>
      </c>
      <c r="K850" s="35">
        <f ca="1"/>
        <v>0</v>
      </c>
      <c r="L850" s="35">
        <f ca="1"/>
        <v>1</v>
      </c>
      <c r="M850" s="35">
        <f ca="1"/>
        <v>0</v>
      </c>
      <c r="N850" s="35">
        <f ca="1"/>
        <v>0</v>
      </c>
      <c r="O850" s="35">
        <f ca="1"/>
        <v>0</v>
      </c>
      <c r="P850" s="35">
        <f ca="1"/>
        <v>126214.05757832226</v>
      </c>
      <c r="Q850" s="35">
        <f ca="1"/>
        <v>126214.05757832226</v>
      </c>
    </row>
    <row r="851" spans="8:17">
      <c r="H851" s="35">
        <v>849</v>
      </c>
      <c r="I851" s="35">
        <f ca="1"/>
        <v>1</v>
      </c>
      <c r="J851" s="35">
        <f ca="1"/>
        <v>0</v>
      </c>
      <c r="K851" s="35">
        <f ca="1"/>
        <v>0</v>
      </c>
      <c r="L851" s="35">
        <f ca="1"/>
        <v>1</v>
      </c>
      <c r="M851" s="35">
        <f ca="1"/>
        <v>13767.100875610886</v>
      </c>
      <c r="N851" s="35">
        <f ca="1"/>
        <v>0</v>
      </c>
      <c r="O851" s="35">
        <f ca="1"/>
        <v>0</v>
      </c>
      <c r="P851" s="35">
        <f ca="1"/>
        <v>118507.65371817828</v>
      </c>
      <c r="Q851" s="35">
        <f ca="1"/>
        <v>132274.75459378917</v>
      </c>
    </row>
    <row r="852" spans="8:17">
      <c r="H852" s="35">
        <v>850</v>
      </c>
      <c r="I852" s="35">
        <f ca="1"/>
        <v>1</v>
      </c>
      <c r="J852" s="35">
        <f ca="1"/>
        <v>0</v>
      </c>
      <c r="K852" s="35">
        <f ca="1"/>
        <v>1</v>
      </c>
      <c r="L852" s="35">
        <f ca="1"/>
        <v>1</v>
      </c>
      <c r="M852" s="35">
        <f ca="1"/>
        <v>7655.2758715838909</v>
      </c>
      <c r="N852" s="35">
        <f ca="1"/>
        <v>0</v>
      </c>
      <c r="O852" s="35">
        <f ca="1"/>
        <v>322.10723752833638</v>
      </c>
      <c r="P852" s="35">
        <f ca="1"/>
        <v>131860.16697458259</v>
      </c>
      <c r="Q852" s="35">
        <f ca="1"/>
        <v>139837.55008369483</v>
      </c>
    </row>
    <row r="853" spans="8:17">
      <c r="H853" s="35">
        <v>851</v>
      </c>
      <c r="I853" s="35">
        <f ca="1"/>
        <v>0</v>
      </c>
      <c r="J853" s="35">
        <f ca="1"/>
        <v>1</v>
      </c>
      <c r="K853" s="35">
        <f ca="1"/>
        <v>0</v>
      </c>
      <c r="L853" s="35">
        <f ca="1"/>
        <v>1</v>
      </c>
      <c r="M853" s="35">
        <f ca="1"/>
        <v>0</v>
      </c>
      <c r="N853" s="35">
        <f ca="1"/>
        <v>16910.908911119077</v>
      </c>
      <c r="O853" s="35">
        <f ca="1"/>
        <v>0</v>
      </c>
      <c r="P853" s="35">
        <f ca="1"/>
        <v>105409.38027655445</v>
      </c>
      <c r="Q853" s="35">
        <f ca="1"/>
        <v>122320.28918767354</v>
      </c>
    </row>
    <row r="854" spans="8:17">
      <c r="H854" s="35">
        <v>852</v>
      </c>
      <c r="I854" s="35">
        <f ca="1"/>
        <v>0</v>
      </c>
      <c r="J854" s="35">
        <f ca="1"/>
        <v>1</v>
      </c>
      <c r="K854" s="35">
        <f ca="1"/>
        <v>0</v>
      </c>
      <c r="L854" s="35">
        <f ca="1"/>
        <v>0</v>
      </c>
      <c r="M854" s="35">
        <f ca="1"/>
        <v>0</v>
      </c>
      <c r="N854" s="35">
        <f ca="1"/>
        <v>52834.206544783447</v>
      </c>
      <c r="O854" s="35">
        <f ca="1"/>
        <v>0</v>
      </c>
      <c r="P854" s="35">
        <f ca="1"/>
        <v>0</v>
      </c>
      <c r="Q854" s="35">
        <f ca="1"/>
        <v>52834.206544783447</v>
      </c>
    </row>
    <row r="855" spans="8:17">
      <c r="H855" s="35">
        <v>853</v>
      </c>
      <c r="I855" s="35">
        <f ca="1"/>
        <v>0</v>
      </c>
      <c r="J855" s="35">
        <f ca="1"/>
        <v>0</v>
      </c>
      <c r="K855" s="35">
        <f ca="1"/>
        <v>0</v>
      </c>
      <c r="L855" s="35">
        <f ca="1"/>
        <v>1</v>
      </c>
      <c r="M855" s="35">
        <f ca="1"/>
        <v>0</v>
      </c>
      <c r="N855" s="35">
        <f ca="1"/>
        <v>0</v>
      </c>
      <c r="O855" s="35">
        <f ca="1"/>
        <v>0</v>
      </c>
      <c r="P855" s="35">
        <f ca="1"/>
        <v>150938.79587663911</v>
      </c>
      <c r="Q855" s="35">
        <f ca="1"/>
        <v>150938.79587663911</v>
      </c>
    </row>
    <row r="856" spans="8:17">
      <c r="H856" s="35">
        <v>854</v>
      </c>
      <c r="I856" s="35">
        <f ca="1"/>
        <v>1</v>
      </c>
      <c r="J856" s="35">
        <f ca="1"/>
        <v>1</v>
      </c>
      <c r="K856" s="35">
        <f ca="1"/>
        <v>0</v>
      </c>
      <c r="L856" s="35">
        <f ca="1"/>
        <v>1</v>
      </c>
      <c r="M856" s="35">
        <f ca="1"/>
        <v>2772.5784343307109</v>
      </c>
      <c r="N856" s="35">
        <f ca="1"/>
        <v>20604.050195375145</v>
      </c>
      <c r="O856" s="35">
        <f ca="1"/>
        <v>0</v>
      </c>
      <c r="P856" s="35">
        <f ca="1"/>
        <v>148284.88617252468</v>
      </c>
      <c r="Q856" s="35">
        <f ca="1"/>
        <v>171661.51480223052</v>
      </c>
    </row>
    <row r="857" spans="8:17">
      <c r="H857" s="35">
        <v>855</v>
      </c>
      <c r="I857" s="35">
        <f ca="1"/>
        <v>0</v>
      </c>
      <c r="J857" s="35">
        <f ca="1"/>
        <v>0</v>
      </c>
      <c r="K857" s="35">
        <f ca="1"/>
        <v>0</v>
      </c>
      <c r="L857" s="35">
        <f ca="1"/>
        <v>1</v>
      </c>
      <c r="M857" s="35">
        <f ca="1"/>
        <v>0</v>
      </c>
      <c r="N857" s="35">
        <f ca="1"/>
        <v>0</v>
      </c>
      <c r="O857" s="35">
        <f ca="1"/>
        <v>0</v>
      </c>
      <c r="P857" s="35">
        <f ca="1"/>
        <v>161914.68259566557</v>
      </c>
      <c r="Q857" s="35">
        <f ca="1"/>
        <v>161914.68259566557</v>
      </c>
    </row>
    <row r="858" spans="8:17">
      <c r="H858" s="35">
        <v>856</v>
      </c>
      <c r="I858" s="35">
        <f ca="1"/>
        <v>1</v>
      </c>
      <c r="J858" s="35">
        <f ca="1"/>
        <v>0</v>
      </c>
      <c r="K858" s="35">
        <f ca="1"/>
        <v>0</v>
      </c>
      <c r="L858" s="35">
        <f ca="1"/>
        <v>1</v>
      </c>
      <c r="M858" s="35">
        <f ca="1"/>
        <v>10570.67126700538</v>
      </c>
      <c r="N858" s="35">
        <f ca="1"/>
        <v>0</v>
      </c>
      <c r="O858" s="35">
        <f ca="1"/>
        <v>0</v>
      </c>
      <c r="P858" s="35">
        <f ca="1"/>
        <v>97443.728851437787</v>
      </c>
      <c r="Q858" s="35">
        <f ca="1"/>
        <v>108014.40011844317</v>
      </c>
    </row>
    <row r="859" spans="8:17">
      <c r="H859" s="35">
        <v>857</v>
      </c>
      <c r="I859" s="35">
        <f ca="1"/>
        <v>0</v>
      </c>
      <c r="J859" s="35">
        <f ca="1"/>
        <v>0</v>
      </c>
      <c r="K859" s="35">
        <f ca="1"/>
        <v>0</v>
      </c>
      <c r="L859" s="35">
        <f ca="1"/>
        <v>1</v>
      </c>
      <c r="M859" s="35">
        <f ca="1"/>
        <v>0</v>
      </c>
      <c r="N859" s="35">
        <f ca="1"/>
        <v>0</v>
      </c>
      <c r="O859" s="35">
        <f ca="1"/>
        <v>0</v>
      </c>
      <c r="P859" s="35">
        <f ca="1"/>
        <v>165521.05289759993</v>
      </c>
      <c r="Q859" s="35">
        <f ca="1"/>
        <v>165521.05289759993</v>
      </c>
    </row>
    <row r="860" spans="8:17">
      <c r="H860" s="35">
        <v>858</v>
      </c>
      <c r="I860" s="35">
        <f ca="1"/>
        <v>0</v>
      </c>
      <c r="J860" s="35">
        <f ca="1"/>
        <v>1</v>
      </c>
      <c r="K860" s="35">
        <f ca="1"/>
        <v>0</v>
      </c>
      <c r="L860" s="35">
        <f ca="1"/>
        <v>1</v>
      </c>
      <c r="M860" s="35">
        <f ca="1"/>
        <v>0</v>
      </c>
      <c r="N860" s="35">
        <f ca="1"/>
        <v>75755.573381850641</v>
      </c>
      <c r="O860" s="35">
        <f ca="1"/>
        <v>0</v>
      </c>
      <c r="P860" s="35">
        <f ca="1"/>
        <v>126946.25134383765</v>
      </c>
      <c r="Q860" s="35">
        <f ca="1"/>
        <v>202701.82472568829</v>
      </c>
    </row>
    <row r="861" spans="8:17">
      <c r="H861" s="35">
        <v>859</v>
      </c>
      <c r="I861" s="35">
        <f ca="1"/>
        <v>0</v>
      </c>
      <c r="J861" s="35">
        <f ca="1"/>
        <v>0</v>
      </c>
      <c r="K861" s="35">
        <f ca="1"/>
        <v>0</v>
      </c>
      <c r="L861" s="35">
        <f ca="1"/>
        <v>1</v>
      </c>
      <c r="M861" s="35">
        <f ca="1"/>
        <v>0</v>
      </c>
      <c r="N861" s="35">
        <f ca="1"/>
        <v>0</v>
      </c>
      <c r="O861" s="35">
        <f ca="1"/>
        <v>0</v>
      </c>
      <c r="P861" s="35">
        <f ca="1"/>
        <v>119932.91449019729</v>
      </c>
      <c r="Q861" s="35">
        <f ca="1"/>
        <v>119932.91449019729</v>
      </c>
    </row>
    <row r="862" spans="8:17">
      <c r="H862" s="35">
        <v>860</v>
      </c>
      <c r="I862" s="35">
        <f ca="1"/>
        <v>1</v>
      </c>
      <c r="J862" s="35">
        <f ca="1"/>
        <v>0</v>
      </c>
      <c r="K862" s="35">
        <f ca="1"/>
        <v>0</v>
      </c>
      <c r="L862" s="35">
        <f ca="1"/>
        <v>1</v>
      </c>
      <c r="M862" s="35">
        <f ca="1"/>
        <v>4771.9682174741038</v>
      </c>
      <c r="N862" s="35">
        <f ca="1"/>
        <v>0</v>
      </c>
      <c r="O862" s="35">
        <f ca="1"/>
        <v>0</v>
      </c>
      <c r="P862" s="35">
        <f ca="1"/>
        <v>177926.6189883326</v>
      </c>
      <c r="Q862" s="35">
        <f ca="1"/>
        <v>182698.58720580672</v>
      </c>
    </row>
    <row r="863" spans="8:17">
      <c r="H863" s="35">
        <v>861</v>
      </c>
      <c r="I863" s="35">
        <f ca="1"/>
        <v>0</v>
      </c>
      <c r="J863" s="35">
        <f ca="1"/>
        <v>1</v>
      </c>
      <c r="K863" s="35">
        <f ca="1"/>
        <v>1</v>
      </c>
      <c r="L863" s="35">
        <f ca="1"/>
        <v>1</v>
      </c>
      <c r="M863" s="35">
        <f ca="1"/>
        <v>0</v>
      </c>
      <c r="N863" s="35">
        <f ca="1"/>
        <v>23099.982282580637</v>
      </c>
      <c r="O863" s="35">
        <f ca="1"/>
        <v>134.73387352531597</v>
      </c>
      <c r="P863" s="35">
        <f ca="1"/>
        <v>102491.1705776692</v>
      </c>
      <c r="Q863" s="35">
        <f ca="1"/>
        <v>125725.88673377514</v>
      </c>
    </row>
    <row r="864" spans="8:17">
      <c r="H864" s="35">
        <v>862</v>
      </c>
      <c r="I864" s="35">
        <f ca="1"/>
        <v>1</v>
      </c>
      <c r="J864" s="35">
        <f ca="1"/>
        <v>0</v>
      </c>
      <c r="K864" s="35">
        <f ca="1"/>
        <v>0</v>
      </c>
      <c r="L864" s="35">
        <f ca="1"/>
        <v>0</v>
      </c>
      <c r="M864" s="35">
        <f ca="1"/>
        <v>6163.4744361167004</v>
      </c>
      <c r="N864" s="35">
        <f ca="1"/>
        <v>0</v>
      </c>
      <c r="O864" s="35">
        <f ca="1"/>
        <v>0</v>
      </c>
      <c r="P864" s="35">
        <f ca="1"/>
        <v>0</v>
      </c>
      <c r="Q864" s="35">
        <f ca="1"/>
        <v>6163.4744361167004</v>
      </c>
    </row>
    <row r="865" spans="8:17">
      <c r="H865" s="35">
        <v>863</v>
      </c>
      <c r="I865" s="35">
        <f ca="1"/>
        <v>0</v>
      </c>
      <c r="J865" s="35">
        <f ca="1"/>
        <v>0</v>
      </c>
      <c r="K865" s="35">
        <f ca="1"/>
        <v>0</v>
      </c>
      <c r="L865" s="35">
        <f ca="1"/>
        <v>1</v>
      </c>
      <c r="M865" s="35">
        <f ca="1"/>
        <v>0</v>
      </c>
      <c r="N865" s="35">
        <f ca="1"/>
        <v>0</v>
      </c>
      <c r="O865" s="35">
        <f ca="1"/>
        <v>0</v>
      </c>
      <c r="P865" s="35">
        <f ca="1"/>
        <v>171262.59514357374</v>
      </c>
      <c r="Q865" s="35">
        <f ca="1"/>
        <v>171262.59514357374</v>
      </c>
    </row>
    <row r="866" spans="8:17">
      <c r="H866" s="35">
        <v>864</v>
      </c>
      <c r="I866" s="35">
        <f ca="1"/>
        <v>0</v>
      </c>
      <c r="J866" s="35">
        <f ca="1"/>
        <v>1</v>
      </c>
      <c r="K866" s="35">
        <f ca="1"/>
        <v>0</v>
      </c>
      <c r="L866" s="35">
        <f ca="1"/>
        <v>1</v>
      </c>
      <c r="M866" s="35">
        <f ca="1"/>
        <v>0</v>
      </c>
      <c r="N866" s="35">
        <f ca="1"/>
        <v>55742.949132082409</v>
      </c>
      <c r="O866" s="35">
        <f ca="1"/>
        <v>0</v>
      </c>
      <c r="P866" s="35">
        <f ca="1"/>
        <v>81476.251166371658</v>
      </c>
      <c r="Q866" s="35">
        <f ca="1"/>
        <v>137219.20029845406</v>
      </c>
    </row>
    <row r="867" spans="8:17">
      <c r="H867" s="35">
        <v>865</v>
      </c>
      <c r="I867" s="35">
        <f ca="1"/>
        <v>0</v>
      </c>
      <c r="J867" s="35">
        <f ca="1"/>
        <v>1</v>
      </c>
      <c r="K867" s="35">
        <f ca="1"/>
        <v>0</v>
      </c>
      <c r="L867" s="35">
        <f ca="1"/>
        <v>1</v>
      </c>
      <c r="M867" s="35">
        <f ca="1"/>
        <v>0</v>
      </c>
      <c r="N867" s="35">
        <f ca="1"/>
        <v>14574.403564704278</v>
      </c>
      <c r="O867" s="35">
        <f ca="1"/>
        <v>0</v>
      </c>
      <c r="P867" s="35">
        <f ca="1"/>
        <v>159285.45910404058</v>
      </c>
      <c r="Q867" s="35">
        <f ca="1"/>
        <v>173859.86266874487</v>
      </c>
    </row>
    <row r="868" spans="8:17">
      <c r="H868" s="35">
        <v>866</v>
      </c>
      <c r="I868" s="35">
        <f ca="1"/>
        <v>0</v>
      </c>
      <c r="J868" s="35">
        <f ca="1"/>
        <v>1</v>
      </c>
      <c r="K868" s="35">
        <f ca="1"/>
        <v>0</v>
      </c>
      <c r="L868" s="35">
        <f ca="1"/>
        <v>1</v>
      </c>
      <c r="M868" s="35">
        <f ca="1"/>
        <v>0</v>
      </c>
      <c r="N868" s="35">
        <f ca="1"/>
        <v>61270.823337728572</v>
      </c>
      <c r="O868" s="35">
        <f ca="1"/>
        <v>0</v>
      </c>
      <c r="P868" s="35">
        <f ca="1"/>
        <v>98559.683010613633</v>
      </c>
      <c r="Q868" s="35">
        <f ca="1"/>
        <v>159830.5063483422</v>
      </c>
    </row>
    <row r="869" spans="8:17">
      <c r="H869" s="35">
        <v>867</v>
      </c>
      <c r="I869" s="35">
        <f ca="1"/>
        <v>0</v>
      </c>
      <c r="J869" s="35">
        <f ca="1"/>
        <v>0</v>
      </c>
      <c r="K869" s="35">
        <f ca="1"/>
        <v>1</v>
      </c>
      <c r="L869" s="35">
        <f ca="1"/>
        <v>0</v>
      </c>
      <c r="M869" s="35">
        <f ca="1"/>
        <v>0</v>
      </c>
      <c r="N869" s="35">
        <f ca="1"/>
        <v>0</v>
      </c>
      <c r="O869" s="35">
        <f ca="1"/>
        <v>232.15285300694973</v>
      </c>
      <c r="P869" s="35">
        <f ca="1"/>
        <v>0</v>
      </c>
      <c r="Q869" s="35">
        <f ca="1"/>
        <v>232.15285300694973</v>
      </c>
    </row>
    <row r="870" spans="8:17">
      <c r="H870" s="35">
        <v>868</v>
      </c>
      <c r="I870" s="35">
        <f ca="1"/>
        <v>0</v>
      </c>
      <c r="J870" s="35">
        <f ca="1"/>
        <v>0</v>
      </c>
      <c r="K870" s="35">
        <f ca="1"/>
        <v>0</v>
      </c>
      <c r="L870" s="35">
        <f ca="1"/>
        <v>1</v>
      </c>
      <c r="M870" s="35">
        <f ca="1"/>
        <v>0</v>
      </c>
      <c r="N870" s="35">
        <f ca="1"/>
        <v>0</v>
      </c>
      <c r="O870" s="35">
        <f ca="1"/>
        <v>0</v>
      </c>
      <c r="P870" s="35">
        <f ca="1"/>
        <v>198317.55207119635</v>
      </c>
      <c r="Q870" s="35">
        <f ca="1"/>
        <v>198317.55207119635</v>
      </c>
    </row>
    <row r="871" spans="8:17">
      <c r="H871" s="35">
        <v>869</v>
      </c>
      <c r="I871" s="35">
        <f ca="1"/>
        <v>0</v>
      </c>
      <c r="J871" s="35">
        <f ca="1"/>
        <v>1</v>
      </c>
      <c r="K871" s="35">
        <f ca="1"/>
        <v>0</v>
      </c>
      <c r="L871" s="35">
        <f ca="1"/>
        <v>1</v>
      </c>
      <c r="M871" s="35">
        <f ca="1"/>
        <v>0</v>
      </c>
      <c r="N871" s="35">
        <f ca="1"/>
        <v>17676.324906870508</v>
      </c>
      <c r="O871" s="35">
        <f ca="1"/>
        <v>0</v>
      </c>
      <c r="P871" s="35">
        <f ca="1"/>
        <v>133286.26558303853</v>
      </c>
      <c r="Q871" s="35">
        <f ca="1"/>
        <v>150962.59048990905</v>
      </c>
    </row>
    <row r="872" spans="8:17">
      <c r="H872" s="35">
        <v>870</v>
      </c>
      <c r="I872" s="35">
        <f ca="1"/>
        <v>0</v>
      </c>
      <c r="J872" s="35">
        <f ca="1"/>
        <v>0</v>
      </c>
      <c r="K872" s="35">
        <f ca="1"/>
        <v>1</v>
      </c>
      <c r="L872" s="35">
        <f ca="1"/>
        <v>1</v>
      </c>
      <c r="M872" s="35">
        <f ca="1"/>
        <v>0</v>
      </c>
      <c r="N872" s="35">
        <f ca="1"/>
        <v>0</v>
      </c>
      <c r="O872" s="35">
        <f ca="1"/>
        <v>139.069968893013</v>
      </c>
      <c r="P872" s="35">
        <f ca="1"/>
        <v>148794.96080661658</v>
      </c>
      <c r="Q872" s="35">
        <f ca="1"/>
        <v>148934.0307755096</v>
      </c>
    </row>
    <row r="873" spans="8:17">
      <c r="H873" s="35">
        <v>871</v>
      </c>
      <c r="I873" s="35">
        <f ca="1"/>
        <v>1</v>
      </c>
      <c r="J873" s="35">
        <f ca="1"/>
        <v>0</v>
      </c>
      <c r="K873" s="35">
        <f ca="1"/>
        <v>0</v>
      </c>
      <c r="L873" s="35">
        <f ca="1"/>
        <v>1</v>
      </c>
      <c r="M873" s="35">
        <f ca="1"/>
        <v>6112.5577754167862</v>
      </c>
      <c r="N873" s="35">
        <f ca="1"/>
        <v>0</v>
      </c>
      <c r="O873" s="35">
        <f ca="1"/>
        <v>0</v>
      </c>
      <c r="P873" s="35">
        <f ca="1"/>
        <v>153786.8672046705</v>
      </c>
      <c r="Q873" s="35">
        <f ca="1"/>
        <v>159899.42498008729</v>
      </c>
    </row>
    <row r="874" spans="8:17">
      <c r="H874" s="35">
        <v>872</v>
      </c>
      <c r="I874" s="35">
        <f ca="1"/>
        <v>0</v>
      </c>
      <c r="J874" s="35">
        <f ca="1"/>
        <v>0</v>
      </c>
      <c r="K874" s="35">
        <f ca="1"/>
        <v>1</v>
      </c>
      <c r="L874" s="35">
        <f ca="1"/>
        <v>1</v>
      </c>
      <c r="M874" s="35">
        <f ca="1"/>
        <v>0</v>
      </c>
      <c r="N874" s="35">
        <f ca="1"/>
        <v>0</v>
      </c>
      <c r="O874" s="35">
        <f ca="1"/>
        <v>226.18410927908553</v>
      </c>
      <c r="P874" s="35">
        <f ca="1"/>
        <v>175610.08997356091</v>
      </c>
      <c r="Q874" s="35">
        <f ca="1"/>
        <v>175836.27408284001</v>
      </c>
    </row>
    <row r="875" spans="8:17">
      <c r="H875" s="35">
        <v>873</v>
      </c>
      <c r="I875" s="35">
        <f ca="1"/>
        <v>0</v>
      </c>
      <c r="J875" s="35">
        <f ca="1"/>
        <v>0</v>
      </c>
      <c r="K875" s="35">
        <f ca="1"/>
        <v>0</v>
      </c>
      <c r="L875" s="35">
        <f ca="1"/>
        <v>1</v>
      </c>
      <c r="M875" s="35">
        <f ca="1"/>
        <v>0</v>
      </c>
      <c r="N875" s="35">
        <f ca="1"/>
        <v>0</v>
      </c>
      <c r="O875" s="35">
        <f ca="1"/>
        <v>0</v>
      </c>
      <c r="P875" s="35">
        <f ca="1"/>
        <v>105800.83010931509</v>
      </c>
      <c r="Q875" s="35">
        <f ca="1"/>
        <v>105800.83010931509</v>
      </c>
    </row>
    <row r="876" spans="8:17">
      <c r="H876" s="35">
        <v>874</v>
      </c>
      <c r="I876" s="35">
        <f ca="1"/>
        <v>0</v>
      </c>
      <c r="J876" s="35">
        <f ca="1"/>
        <v>0</v>
      </c>
      <c r="K876" s="35">
        <f ca="1"/>
        <v>0</v>
      </c>
      <c r="L876" s="35">
        <f ca="1"/>
        <v>0</v>
      </c>
      <c r="M876" s="35">
        <f ca="1"/>
        <v>0</v>
      </c>
      <c r="N876" s="35">
        <f ca="1"/>
        <v>0</v>
      </c>
      <c r="O876" s="35">
        <f ca="1"/>
        <v>0</v>
      </c>
      <c r="P876" s="35">
        <f ca="1"/>
        <v>0</v>
      </c>
      <c r="Q876" s="35">
        <f ca="1"/>
        <v>0</v>
      </c>
    </row>
    <row r="877" spans="8:17">
      <c r="H877" s="35">
        <v>875</v>
      </c>
      <c r="I877" s="35">
        <f ca="1"/>
        <v>0</v>
      </c>
      <c r="J877" s="35">
        <f ca="1"/>
        <v>1</v>
      </c>
      <c r="K877" s="35">
        <f ca="1"/>
        <v>0</v>
      </c>
      <c r="L877" s="35">
        <f ca="1"/>
        <v>1</v>
      </c>
      <c r="M877" s="35">
        <f ca="1"/>
        <v>0</v>
      </c>
      <c r="N877" s="35">
        <f ca="1"/>
        <v>43435.606833842641</v>
      </c>
      <c r="O877" s="35">
        <f ca="1"/>
        <v>0</v>
      </c>
      <c r="P877" s="35">
        <f ca="1"/>
        <v>112118.55098947043</v>
      </c>
      <c r="Q877" s="35">
        <f ca="1"/>
        <v>155554.15782331309</v>
      </c>
    </row>
    <row r="878" spans="8:17">
      <c r="H878" s="35">
        <v>876</v>
      </c>
      <c r="I878" s="35">
        <f ca="1"/>
        <v>0</v>
      </c>
      <c r="J878" s="35">
        <f ca="1"/>
        <v>0</v>
      </c>
      <c r="K878" s="35">
        <f ca="1"/>
        <v>0</v>
      </c>
      <c r="L878" s="35">
        <f ca="1"/>
        <v>0</v>
      </c>
      <c r="M878" s="35">
        <f ca="1"/>
        <v>0</v>
      </c>
      <c r="N878" s="35">
        <f ca="1"/>
        <v>0</v>
      </c>
      <c r="O878" s="35">
        <f ca="1"/>
        <v>0</v>
      </c>
      <c r="P878" s="35">
        <f ca="1"/>
        <v>0</v>
      </c>
      <c r="Q878" s="35">
        <f ca="1"/>
        <v>0</v>
      </c>
    </row>
    <row r="879" spans="8:17">
      <c r="H879" s="35">
        <v>877</v>
      </c>
      <c r="I879" s="35">
        <f ca="1"/>
        <v>0</v>
      </c>
      <c r="J879" s="35">
        <f ca="1"/>
        <v>0</v>
      </c>
      <c r="K879" s="35">
        <f ca="1"/>
        <v>0</v>
      </c>
      <c r="L879" s="35">
        <f ca="1"/>
        <v>1</v>
      </c>
      <c r="M879" s="35">
        <f ca="1"/>
        <v>0</v>
      </c>
      <c r="N879" s="35">
        <f ca="1"/>
        <v>0</v>
      </c>
      <c r="O879" s="35">
        <f ca="1"/>
        <v>0</v>
      </c>
      <c r="P879" s="35">
        <f ca="1"/>
        <v>179517.32932487741</v>
      </c>
      <c r="Q879" s="35">
        <f ca="1"/>
        <v>179517.32932487741</v>
      </c>
    </row>
    <row r="880" spans="8:17">
      <c r="H880" s="35">
        <v>878</v>
      </c>
      <c r="I880" s="35">
        <f ca="1"/>
        <v>1</v>
      </c>
      <c r="J880" s="35">
        <f ca="1"/>
        <v>0</v>
      </c>
      <c r="K880" s="35">
        <f ca="1"/>
        <v>0</v>
      </c>
      <c r="L880" s="35">
        <f ca="1"/>
        <v>1</v>
      </c>
      <c r="M880" s="35">
        <f ca="1"/>
        <v>13677.529963298177</v>
      </c>
      <c r="N880" s="35">
        <f ca="1"/>
        <v>0</v>
      </c>
      <c r="O880" s="35">
        <f ca="1"/>
        <v>0</v>
      </c>
      <c r="P880" s="35">
        <f ca="1"/>
        <v>146004.82799502774</v>
      </c>
      <c r="Q880" s="35">
        <f ca="1"/>
        <v>159682.35795832591</v>
      </c>
    </row>
    <row r="881" spans="8:17">
      <c r="H881" s="35">
        <v>879</v>
      </c>
      <c r="I881" s="35">
        <f ca="1"/>
        <v>0</v>
      </c>
      <c r="J881" s="35">
        <f ca="1"/>
        <v>0</v>
      </c>
      <c r="K881" s="35">
        <f ca="1"/>
        <v>0</v>
      </c>
      <c r="L881" s="35">
        <f ca="1"/>
        <v>1</v>
      </c>
      <c r="M881" s="35">
        <f ca="1"/>
        <v>0</v>
      </c>
      <c r="N881" s="35">
        <f ca="1"/>
        <v>0</v>
      </c>
      <c r="O881" s="35">
        <f ca="1"/>
        <v>0</v>
      </c>
      <c r="P881" s="35">
        <f ca="1"/>
        <v>52090.48369706919</v>
      </c>
      <c r="Q881" s="35">
        <f ca="1"/>
        <v>52090.48369706919</v>
      </c>
    </row>
    <row r="882" spans="8:17">
      <c r="H882" s="35">
        <v>880</v>
      </c>
      <c r="I882" s="35">
        <f ca="1"/>
        <v>0</v>
      </c>
      <c r="J882" s="35">
        <f ca="1"/>
        <v>0</v>
      </c>
      <c r="K882" s="35">
        <f ca="1"/>
        <v>0</v>
      </c>
      <c r="L882" s="35">
        <f ca="1"/>
        <v>0</v>
      </c>
      <c r="M882" s="35">
        <f ca="1"/>
        <v>0</v>
      </c>
      <c r="N882" s="35">
        <f ca="1"/>
        <v>0</v>
      </c>
      <c r="O882" s="35">
        <f ca="1"/>
        <v>0</v>
      </c>
      <c r="P882" s="35">
        <f ca="1"/>
        <v>0</v>
      </c>
      <c r="Q882" s="35">
        <f ca="1"/>
        <v>0</v>
      </c>
    </row>
    <row r="883" spans="8:17">
      <c r="H883" s="35">
        <v>881</v>
      </c>
      <c r="I883" s="35">
        <f ca="1"/>
        <v>0</v>
      </c>
      <c r="J883" s="35">
        <f ca="1"/>
        <v>1</v>
      </c>
      <c r="K883" s="35">
        <f ca="1"/>
        <v>1</v>
      </c>
      <c r="L883" s="35">
        <f ca="1"/>
        <v>1</v>
      </c>
      <c r="M883" s="35">
        <f ca="1"/>
        <v>0</v>
      </c>
      <c r="N883" s="35">
        <f ca="1"/>
        <v>57084.236751357646</v>
      </c>
      <c r="O883" s="35">
        <f ca="1"/>
        <v>261.87742389120007</v>
      </c>
      <c r="P883" s="35">
        <f ca="1"/>
        <v>75798.20886844529</v>
      </c>
      <c r="Q883" s="35">
        <f ca="1"/>
        <v>133144.32304369414</v>
      </c>
    </row>
    <row r="884" spans="8:17">
      <c r="H884" s="35">
        <v>882</v>
      </c>
      <c r="I884" s="35">
        <f ca="1"/>
        <v>0</v>
      </c>
      <c r="J884" s="35">
        <f ca="1"/>
        <v>1</v>
      </c>
      <c r="K884" s="35">
        <f ca="1"/>
        <v>0</v>
      </c>
      <c r="L884" s="35">
        <f ca="1"/>
        <v>1</v>
      </c>
      <c r="M884" s="35">
        <f ca="1"/>
        <v>0</v>
      </c>
      <c r="N884" s="35">
        <f ca="1"/>
        <v>28860.222724490864</v>
      </c>
      <c r="O884" s="35">
        <f ca="1"/>
        <v>0</v>
      </c>
      <c r="P884" s="35">
        <f ca="1"/>
        <v>124398.11333418121</v>
      </c>
      <c r="Q884" s="35">
        <f ca="1"/>
        <v>153258.33605867208</v>
      </c>
    </row>
    <row r="885" spans="8:17">
      <c r="H885" s="35">
        <v>883</v>
      </c>
      <c r="I885" s="35">
        <f ca="1"/>
        <v>0</v>
      </c>
      <c r="J885" s="35">
        <f ca="1"/>
        <v>1</v>
      </c>
      <c r="K885" s="35">
        <f ca="1"/>
        <v>0</v>
      </c>
      <c r="L885" s="35">
        <f ca="1"/>
        <v>1</v>
      </c>
      <c r="M885" s="35">
        <f ca="1"/>
        <v>0</v>
      </c>
      <c r="N885" s="35">
        <f ca="1"/>
        <v>42498.83465042954</v>
      </c>
      <c r="O885" s="35">
        <f ca="1"/>
        <v>0</v>
      </c>
      <c r="P885" s="35">
        <f ca="1"/>
        <v>125697.56271446457</v>
      </c>
      <c r="Q885" s="35">
        <f ca="1"/>
        <v>168196.3973648941</v>
      </c>
    </row>
    <row r="886" spans="8:17">
      <c r="H886" s="35">
        <v>884</v>
      </c>
      <c r="I886" s="35">
        <f ca="1"/>
        <v>0</v>
      </c>
      <c r="J886" s="35">
        <f ca="1"/>
        <v>0</v>
      </c>
      <c r="K886" s="35">
        <f ca="1"/>
        <v>0</v>
      </c>
      <c r="L886" s="35">
        <f ca="1"/>
        <v>0</v>
      </c>
      <c r="M886" s="35">
        <f ca="1"/>
        <v>0</v>
      </c>
      <c r="N886" s="35">
        <f ca="1"/>
        <v>0</v>
      </c>
      <c r="O886" s="35">
        <f ca="1"/>
        <v>0</v>
      </c>
      <c r="P886" s="35">
        <f ca="1"/>
        <v>0</v>
      </c>
      <c r="Q886" s="35">
        <f ca="1"/>
        <v>0</v>
      </c>
    </row>
    <row r="887" spans="8:17">
      <c r="H887" s="35">
        <v>885</v>
      </c>
      <c r="I887" s="35">
        <f ca="1"/>
        <v>0</v>
      </c>
      <c r="J887" s="35">
        <f ca="1"/>
        <v>1</v>
      </c>
      <c r="K887" s="35">
        <f ca="1"/>
        <v>1</v>
      </c>
      <c r="L887" s="35">
        <f ca="1"/>
        <v>1</v>
      </c>
      <c r="M887" s="35">
        <f ca="1"/>
        <v>0</v>
      </c>
      <c r="N887" s="35">
        <f ca="1"/>
        <v>41046.399521933527</v>
      </c>
      <c r="O887" s="35">
        <f ca="1"/>
        <v>484.67396210376342</v>
      </c>
      <c r="P887" s="35">
        <f ca="1"/>
        <v>141146.15074837106</v>
      </c>
      <c r="Q887" s="35">
        <f ca="1"/>
        <v>182677.22423240833</v>
      </c>
    </row>
    <row r="888" spans="8:17">
      <c r="H888" s="35">
        <v>886</v>
      </c>
      <c r="I888" s="35">
        <f ca="1"/>
        <v>0</v>
      </c>
      <c r="J888" s="35">
        <f ca="1"/>
        <v>0</v>
      </c>
      <c r="K888" s="35">
        <f ca="1"/>
        <v>0</v>
      </c>
      <c r="L888" s="35">
        <f ca="1"/>
        <v>1</v>
      </c>
      <c r="M888" s="35">
        <f ca="1"/>
        <v>0</v>
      </c>
      <c r="N888" s="35">
        <f ca="1"/>
        <v>0</v>
      </c>
      <c r="O888" s="35">
        <f ca="1"/>
        <v>0</v>
      </c>
      <c r="P888" s="35">
        <f ca="1"/>
        <v>146854.27747036342</v>
      </c>
      <c r="Q888" s="35">
        <f ca="1"/>
        <v>146854.27747036342</v>
      </c>
    </row>
    <row r="889" spans="8:17">
      <c r="H889" s="35">
        <v>887</v>
      </c>
      <c r="I889" s="35">
        <f ca="1"/>
        <v>0</v>
      </c>
      <c r="J889" s="35">
        <f ca="1"/>
        <v>0</v>
      </c>
      <c r="K889" s="35">
        <f ca="1"/>
        <v>0</v>
      </c>
      <c r="L889" s="35">
        <f ca="1"/>
        <v>1</v>
      </c>
      <c r="M889" s="35">
        <f ca="1"/>
        <v>0</v>
      </c>
      <c r="N889" s="35">
        <f ca="1"/>
        <v>0</v>
      </c>
      <c r="O889" s="35">
        <f ca="1"/>
        <v>0</v>
      </c>
      <c r="P889" s="35">
        <f ca="1"/>
        <v>95175.779905762261</v>
      </c>
      <c r="Q889" s="35">
        <f ca="1"/>
        <v>95175.779905762261</v>
      </c>
    </row>
    <row r="890" spans="8:17">
      <c r="H890" s="35">
        <v>888</v>
      </c>
      <c r="I890" s="35">
        <f ca="1"/>
        <v>0</v>
      </c>
      <c r="J890" s="35">
        <f ca="1"/>
        <v>0</v>
      </c>
      <c r="K890" s="35">
        <f ca="1"/>
        <v>1</v>
      </c>
      <c r="L890" s="35">
        <f ca="1"/>
        <v>1</v>
      </c>
      <c r="M890" s="35">
        <f ca="1"/>
        <v>0</v>
      </c>
      <c r="N890" s="35">
        <f ca="1"/>
        <v>0</v>
      </c>
      <c r="O890" s="35">
        <f ca="1"/>
        <v>133.80485689955779</v>
      </c>
      <c r="P890" s="35">
        <f ca="1"/>
        <v>140700.89700709295</v>
      </c>
      <c r="Q890" s="35">
        <f ca="1"/>
        <v>140834.70186399249</v>
      </c>
    </row>
    <row r="891" spans="8:17">
      <c r="H891" s="35">
        <v>889</v>
      </c>
      <c r="I891" s="35">
        <f ca="1"/>
        <v>0</v>
      </c>
      <c r="J891" s="35">
        <f ca="1"/>
        <v>0</v>
      </c>
      <c r="K891" s="35">
        <f ca="1"/>
        <v>0</v>
      </c>
      <c r="L891" s="35">
        <f ca="1"/>
        <v>1</v>
      </c>
      <c r="M891" s="35">
        <f ca="1"/>
        <v>0</v>
      </c>
      <c r="N891" s="35">
        <f ca="1"/>
        <v>0</v>
      </c>
      <c r="O891" s="35">
        <f ca="1"/>
        <v>0</v>
      </c>
      <c r="P891" s="35">
        <f ca="1"/>
        <v>141308.51350610668</v>
      </c>
      <c r="Q891" s="35">
        <f ca="1"/>
        <v>141308.51350610668</v>
      </c>
    </row>
    <row r="892" spans="8:17">
      <c r="H892" s="35">
        <v>890</v>
      </c>
      <c r="I892" s="35">
        <f ca="1"/>
        <v>0</v>
      </c>
      <c r="J892" s="35">
        <f ca="1"/>
        <v>0</v>
      </c>
      <c r="K892" s="35">
        <f ca="1"/>
        <v>0</v>
      </c>
      <c r="L892" s="35">
        <f ca="1"/>
        <v>0</v>
      </c>
      <c r="M892" s="35">
        <f ca="1"/>
        <v>0</v>
      </c>
      <c r="N892" s="35">
        <f ca="1"/>
        <v>0</v>
      </c>
      <c r="O892" s="35">
        <f ca="1"/>
        <v>0</v>
      </c>
      <c r="P892" s="35">
        <f ca="1"/>
        <v>0</v>
      </c>
      <c r="Q892" s="35">
        <f ca="1"/>
        <v>0</v>
      </c>
    </row>
    <row r="893" spans="8:17">
      <c r="H893" s="35">
        <v>891</v>
      </c>
      <c r="I893" s="35">
        <f ca="1"/>
        <v>1</v>
      </c>
      <c r="J893" s="35">
        <f ca="1"/>
        <v>1</v>
      </c>
      <c r="K893" s="35">
        <f ca="1"/>
        <v>0</v>
      </c>
      <c r="L893" s="35">
        <f ca="1"/>
        <v>0</v>
      </c>
      <c r="M893" s="35">
        <f ca="1"/>
        <v>13333.525501939228</v>
      </c>
      <c r="N893" s="35">
        <f ca="1"/>
        <v>56272.510489702603</v>
      </c>
      <c r="O893" s="35">
        <f ca="1"/>
        <v>0</v>
      </c>
      <c r="P893" s="35">
        <f ca="1"/>
        <v>0</v>
      </c>
      <c r="Q893" s="35">
        <f ca="1"/>
        <v>69606.035991641838</v>
      </c>
    </row>
    <row r="894" spans="8:17">
      <c r="H894" s="35">
        <v>892</v>
      </c>
      <c r="I894" s="35">
        <f ca="1"/>
        <v>0</v>
      </c>
      <c r="J894" s="35">
        <f ca="1"/>
        <v>0</v>
      </c>
      <c r="K894" s="35">
        <f ca="1"/>
        <v>0</v>
      </c>
      <c r="L894" s="35">
        <f ca="1"/>
        <v>1</v>
      </c>
      <c r="M894" s="35">
        <f ca="1"/>
        <v>0</v>
      </c>
      <c r="N894" s="35">
        <f ca="1"/>
        <v>0</v>
      </c>
      <c r="O894" s="35">
        <f ca="1"/>
        <v>0</v>
      </c>
      <c r="P894" s="35">
        <f ca="1"/>
        <v>202570.88491546767</v>
      </c>
      <c r="Q894" s="35">
        <f ca="1"/>
        <v>202570.88491546767</v>
      </c>
    </row>
    <row r="895" spans="8:17">
      <c r="H895" s="35">
        <v>893</v>
      </c>
      <c r="I895" s="35">
        <f ca="1"/>
        <v>1</v>
      </c>
      <c r="J895" s="35">
        <f ca="1"/>
        <v>0</v>
      </c>
      <c r="K895" s="35">
        <f ca="1"/>
        <v>0</v>
      </c>
      <c r="L895" s="35">
        <f ca="1"/>
        <v>1</v>
      </c>
      <c r="M895" s="35">
        <f ca="1"/>
        <v>10594.44523862779</v>
      </c>
      <c r="N895" s="35">
        <f ca="1"/>
        <v>0</v>
      </c>
      <c r="O895" s="35">
        <f ca="1"/>
        <v>0</v>
      </c>
      <c r="P895" s="35">
        <f ca="1"/>
        <v>110743.70831083793</v>
      </c>
      <c r="Q895" s="35">
        <f ca="1"/>
        <v>121338.15354946571</v>
      </c>
    </row>
    <row r="896" spans="8:17">
      <c r="H896" s="35">
        <v>894</v>
      </c>
      <c r="I896" s="35">
        <f ca="1"/>
        <v>0</v>
      </c>
      <c r="J896" s="35">
        <f ca="1"/>
        <v>0</v>
      </c>
      <c r="K896" s="35">
        <f ca="1"/>
        <v>0</v>
      </c>
      <c r="L896" s="35">
        <f ca="1"/>
        <v>1</v>
      </c>
      <c r="M896" s="35">
        <f ca="1"/>
        <v>0</v>
      </c>
      <c r="N896" s="35">
        <f ca="1"/>
        <v>0</v>
      </c>
      <c r="O896" s="35">
        <f ca="1"/>
        <v>0</v>
      </c>
      <c r="P896" s="35">
        <f ca="1"/>
        <v>163093.73817175021</v>
      </c>
      <c r="Q896" s="35">
        <f ca="1"/>
        <v>163093.73817175021</v>
      </c>
    </row>
    <row r="897" spans="8:17">
      <c r="H897" s="35">
        <v>895</v>
      </c>
      <c r="I897" s="35">
        <f ca="1"/>
        <v>0</v>
      </c>
      <c r="J897" s="35">
        <f ca="1"/>
        <v>0</v>
      </c>
      <c r="K897" s="35">
        <f ca="1"/>
        <v>0</v>
      </c>
      <c r="L897" s="35">
        <f ca="1"/>
        <v>1</v>
      </c>
      <c r="M897" s="35">
        <f ca="1"/>
        <v>0</v>
      </c>
      <c r="N897" s="35">
        <f ca="1"/>
        <v>0</v>
      </c>
      <c r="O897" s="35">
        <f ca="1"/>
        <v>0</v>
      </c>
      <c r="P897" s="35">
        <f ca="1"/>
        <v>105301.04131755827</v>
      </c>
      <c r="Q897" s="35">
        <f ca="1"/>
        <v>105301.04131755827</v>
      </c>
    </row>
    <row r="898" spans="8:17">
      <c r="H898" s="35">
        <v>896</v>
      </c>
      <c r="I898" s="35">
        <f ca="1"/>
        <v>0</v>
      </c>
      <c r="J898" s="35">
        <f ca="1"/>
        <v>0</v>
      </c>
      <c r="K898" s="35">
        <f ca="1"/>
        <v>0</v>
      </c>
      <c r="L898" s="35">
        <f ca="1"/>
        <v>1</v>
      </c>
      <c r="M898" s="35">
        <f ca="1"/>
        <v>0</v>
      </c>
      <c r="N898" s="35">
        <f ca="1"/>
        <v>0</v>
      </c>
      <c r="O898" s="35">
        <f ca="1"/>
        <v>0</v>
      </c>
      <c r="P898" s="35">
        <f ca="1"/>
        <v>111352.02871793717</v>
      </c>
      <c r="Q898" s="35">
        <f ca="1"/>
        <v>111352.02871793717</v>
      </c>
    </row>
    <row r="899" spans="8:17">
      <c r="H899" s="35">
        <v>897</v>
      </c>
      <c r="I899" s="35">
        <f ca="1"/>
        <v>0</v>
      </c>
      <c r="J899" s="35">
        <f ca="1"/>
        <v>1</v>
      </c>
      <c r="K899" s="35">
        <f ca="1"/>
        <v>0</v>
      </c>
      <c r="L899" s="35">
        <f ca="1"/>
        <v>1</v>
      </c>
      <c r="M899" s="35">
        <f ca="1"/>
        <v>0</v>
      </c>
      <c r="N899" s="35">
        <f ca="1"/>
        <v>20114.723318044194</v>
      </c>
      <c r="O899" s="35">
        <f ca="1"/>
        <v>0</v>
      </c>
      <c r="P899" s="35">
        <f ca="1"/>
        <v>161990.69747075252</v>
      </c>
      <c r="Q899" s="35">
        <f ca="1"/>
        <v>182105.42078879671</v>
      </c>
    </row>
    <row r="900" spans="8:17">
      <c r="H900" s="35">
        <v>898</v>
      </c>
      <c r="I900" s="35">
        <f ca="1"/>
        <v>0</v>
      </c>
      <c r="J900" s="35">
        <f ca="1"/>
        <v>0</v>
      </c>
      <c r="K900" s="35">
        <f ca="1"/>
        <v>0</v>
      </c>
      <c r="L900" s="35">
        <f ca="1"/>
        <v>1</v>
      </c>
      <c r="M900" s="35">
        <f ca="1"/>
        <v>0</v>
      </c>
      <c r="N900" s="35">
        <f ca="1"/>
        <v>0</v>
      </c>
      <c r="O900" s="35">
        <f ca="1"/>
        <v>0</v>
      </c>
      <c r="P900" s="35">
        <f ca="1"/>
        <v>126119.64021181766</v>
      </c>
      <c r="Q900" s="35">
        <f ca="1"/>
        <v>126119.64021181766</v>
      </c>
    </row>
    <row r="901" spans="8:17">
      <c r="H901" s="35">
        <v>899</v>
      </c>
      <c r="I901" s="35">
        <f ca="1"/>
        <v>1</v>
      </c>
      <c r="J901" s="35">
        <f ca="1"/>
        <v>0</v>
      </c>
      <c r="K901" s="35">
        <f ca="1"/>
        <v>1</v>
      </c>
      <c r="L901" s="35">
        <f ca="1"/>
        <v>1</v>
      </c>
      <c r="M901" s="35">
        <f ca="1"/>
        <v>5524.1233067133426</v>
      </c>
      <c r="N901" s="35">
        <f ca="1"/>
        <v>0</v>
      </c>
      <c r="O901" s="35">
        <f ca="1"/>
        <v>249.44290451229998</v>
      </c>
      <c r="P901" s="35">
        <f ca="1"/>
        <v>189444.79094844457</v>
      </c>
      <c r="Q901" s="35">
        <f ca="1"/>
        <v>195218.35715967021</v>
      </c>
    </row>
    <row r="902" spans="8:17">
      <c r="H902" s="35">
        <v>900</v>
      </c>
      <c r="I902" s="35">
        <f ca="1"/>
        <v>0</v>
      </c>
      <c r="J902" s="35">
        <f ca="1"/>
        <v>0</v>
      </c>
      <c r="K902" s="35">
        <f ca="1"/>
        <v>0</v>
      </c>
      <c r="L902" s="35">
        <f ca="1"/>
        <v>0</v>
      </c>
      <c r="M902" s="35">
        <f ca="1"/>
        <v>0</v>
      </c>
      <c r="N902" s="35">
        <f ca="1"/>
        <v>0</v>
      </c>
      <c r="O902" s="35">
        <f ca="1"/>
        <v>0</v>
      </c>
      <c r="P902" s="35">
        <f ca="1"/>
        <v>0</v>
      </c>
      <c r="Q902" s="35">
        <f ca="1"/>
        <v>0</v>
      </c>
    </row>
    <row r="903" spans="8:17">
      <c r="H903" s="35">
        <v>901</v>
      </c>
      <c r="I903" s="35">
        <f ca="1"/>
        <v>0</v>
      </c>
      <c r="J903" s="35">
        <f ca="1"/>
        <v>0</v>
      </c>
      <c r="K903" s="35">
        <f ca="1"/>
        <v>1</v>
      </c>
      <c r="L903" s="35">
        <f ca="1"/>
        <v>1</v>
      </c>
      <c r="M903" s="35">
        <f ca="1"/>
        <v>0</v>
      </c>
      <c r="N903" s="35">
        <f ca="1"/>
        <v>0</v>
      </c>
      <c r="O903" s="35">
        <f ca="1"/>
        <v>175.64335347393839</v>
      </c>
      <c r="P903" s="35">
        <f ca="1"/>
        <v>99793.157490669459</v>
      </c>
      <c r="Q903" s="35">
        <f ca="1"/>
        <v>99968.800844143392</v>
      </c>
    </row>
    <row r="904" spans="8:17">
      <c r="H904" s="35">
        <v>902</v>
      </c>
      <c r="I904" s="35">
        <f ca="1"/>
        <v>1</v>
      </c>
      <c r="J904" s="35">
        <f ca="1"/>
        <v>0</v>
      </c>
      <c r="K904" s="35">
        <f ca="1"/>
        <v>0</v>
      </c>
      <c r="L904" s="35">
        <f ca="1"/>
        <v>1</v>
      </c>
      <c r="M904" s="35">
        <f ca="1"/>
        <v>16760.692300358107</v>
      </c>
      <c r="N904" s="35">
        <f ca="1"/>
        <v>0</v>
      </c>
      <c r="O904" s="35">
        <f ca="1"/>
        <v>0</v>
      </c>
      <c r="P904" s="35">
        <f ca="1"/>
        <v>126817.08154552549</v>
      </c>
      <c r="Q904" s="35">
        <f ca="1"/>
        <v>143577.77384588361</v>
      </c>
    </row>
    <row r="905" spans="8:17">
      <c r="H905" s="35">
        <v>903</v>
      </c>
      <c r="I905" s="35">
        <f ca="1"/>
        <v>0</v>
      </c>
      <c r="J905" s="35">
        <f ca="1"/>
        <v>0</v>
      </c>
      <c r="K905" s="35">
        <f ca="1"/>
        <v>0</v>
      </c>
      <c r="L905" s="35">
        <f ca="1"/>
        <v>1</v>
      </c>
      <c r="M905" s="35">
        <f ca="1"/>
        <v>0</v>
      </c>
      <c r="N905" s="35">
        <f ca="1"/>
        <v>0</v>
      </c>
      <c r="O905" s="35">
        <f ca="1"/>
        <v>0</v>
      </c>
      <c r="P905" s="35">
        <f ca="1"/>
        <v>88772.74642875389</v>
      </c>
      <c r="Q905" s="35">
        <f ca="1"/>
        <v>88772.74642875389</v>
      </c>
    </row>
    <row r="906" spans="8:17">
      <c r="H906" s="35">
        <v>904</v>
      </c>
      <c r="I906" s="35">
        <f ca="1"/>
        <v>0</v>
      </c>
      <c r="J906" s="35">
        <f ca="1"/>
        <v>0</v>
      </c>
      <c r="K906" s="35">
        <f ca="1"/>
        <v>0</v>
      </c>
      <c r="L906" s="35">
        <f ca="1"/>
        <v>1</v>
      </c>
      <c r="M906" s="35">
        <f ca="1"/>
        <v>0</v>
      </c>
      <c r="N906" s="35">
        <f ca="1"/>
        <v>0</v>
      </c>
      <c r="O906" s="35">
        <f ca="1"/>
        <v>0</v>
      </c>
      <c r="P906" s="35">
        <f ca="1"/>
        <v>144713.78306623624</v>
      </c>
      <c r="Q906" s="35">
        <f ca="1"/>
        <v>144713.78306623624</v>
      </c>
    </row>
    <row r="907" spans="8:17">
      <c r="H907" s="35">
        <v>905</v>
      </c>
      <c r="I907" s="35">
        <f ca="1"/>
        <v>1</v>
      </c>
      <c r="J907" s="35">
        <f ca="1"/>
        <v>0</v>
      </c>
      <c r="K907" s="35">
        <f ca="1"/>
        <v>1</v>
      </c>
      <c r="L907" s="35">
        <f ca="1"/>
        <v>1</v>
      </c>
      <c r="M907" s="35">
        <f ca="1"/>
        <v>11293.227497937118</v>
      </c>
      <c r="N907" s="35">
        <f ca="1"/>
        <v>0</v>
      </c>
      <c r="O907" s="35">
        <f ca="1"/>
        <v>159.7748950833352</v>
      </c>
      <c r="P907" s="35">
        <f ca="1"/>
        <v>146778.33569081369</v>
      </c>
      <c r="Q907" s="35">
        <f ca="1"/>
        <v>158231.33808383415</v>
      </c>
    </row>
    <row r="908" spans="8:17">
      <c r="H908" s="35">
        <v>906</v>
      </c>
      <c r="I908" s="35">
        <f ca="1"/>
        <v>0</v>
      </c>
      <c r="J908" s="35">
        <f ca="1"/>
        <v>0</v>
      </c>
      <c r="K908" s="35">
        <f ca="1"/>
        <v>0</v>
      </c>
      <c r="L908" s="35">
        <f ca="1"/>
        <v>1</v>
      </c>
      <c r="M908" s="35">
        <f ca="1"/>
        <v>0</v>
      </c>
      <c r="N908" s="35">
        <f ca="1"/>
        <v>0</v>
      </c>
      <c r="O908" s="35">
        <f ca="1"/>
        <v>0</v>
      </c>
      <c r="P908" s="35">
        <f ca="1"/>
        <v>119990.56325542678</v>
      </c>
      <c r="Q908" s="35">
        <f ca="1"/>
        <v>119990.56325542678</v>
      </c>
    </row>
    <row r="909" spans="8:17">
      <c r="H909" s="35">
        <v>907</v>
      </c>
      <c r="I909" s="35">
        <f ca="1"/>
        <v>0</v>
      </c>
      <c r="J909" s="35">
        <f ca="1"/>
        <v>0</v>
      </c>
      <c r="K909" s="35">
        <f ca="1"/>
        <v>0</v>
      </c>
      <c r="L909" s="35">
        <f ca="1"/>
        <v>1</v>
      </c>
      <c r="M909" s="35">
        <f ca="1"/>
        <v>0</v>
      </c>
      <c r="N909" s="35">
        <f ca="1"/>
        <v>0</v>
      </c>
      <c r="O909" s="35">
        <f ca="1"/>
        <v>0</v>
      </c>
      <c r="P909" s="35">
        <f ca="1"/>
        <v>139805.18904148266</v>
      </c>
      <c r="Q909" s="35">
        <f ca="1"/>
        <v>139805.18904148266</v>
      </c>
    </row>
    <row r="910" spans="8:17">
      <c r="H910" s="35">
        <v>908</v>
      </c>
      <c r="I910" s="35">
        <f ca="1"/>
        <v>1</v>
      </c>
      <c r="J910" s="35">
        <f ca="1"/>
        <v>0</v>
      </c>
      <c r="K910" s="35">
        <f ca="1"/>
        <v>0</v>
      </c>
      <c r="L910" s="35">
        <f ca="1"/>
        <v>0</v>
      </c>
      <c r="M910" s="35">
        <f ca="1"/>
        <v>7612.9718164862206</v>
      </c>
      <c r="N910" s="35">
        <f ca="1"/>
        <v>0</v>
      </c>
      <c r="O910" s="35">
        <f ca="1"/>
        <v>0</v>
      </c>
      <c r="P910" s="35">
        <f ca="1"/>
        <v>0</v>
      </c>
      <c r="Q910" s="35">
        <f ca="1"/>
        <v>7612.9718164862206</v>
      </c>
    </row>
    <row r="911" spans="8:17">
      <c r="H911" s="35">
        <v>909</v>
      </c>
      <c r="I911" s="35">
        <f ca="1"/>
        <v>0</v>
      </c>
      <c r="J911" s="35">
        <f ca="1"/>
        <v>0</v>
      </c>
      <c r="K911" s="35">
        <f ca="1"/>
        <v>0</v>
      </c>
      <c r="L911" s="35">
        <f ca="1"/>
        <v>1</v>
      </c>
      <c r="M911" s="35">
        <f ca="1"/>
        <v>0</v>
      </c>
      <c r="N911" s="35">
        <f ca="1"/>
        <v>0</v>
      </c>
      <c r="O911" s="35">
        <f ca="1"/>
        <v>0</v>
      </c>
      <c r="P911" s="35">
        <f ca="1"/>
        <v>181927.78351208562</v>
      </c>
      <c r="Q911" s="35">
        <f ca="1"/>
        <v>181927.78351208562</v>
      </c>
    </row>
    <row r="912" spans="8:17">
      <c r="H912" s="35">
        <v>910</v>
      </c>
      <c r="I912" s="35">
        <f ca="1"/>
        <v>0</v>
      </c>
      <c r="J912" s="35">
        <f ca="1"/>
        <v>1</v>
      </c>
      <c r="K912" s="35">
        <f ca="1"/>
        <v>0</v>
      </c>
      <c r="L912" s="35">
        <f ca="1"/>
        <v>0</v>
      </c>
      <c r="M912" s="35">
        <f ca="1"/>
        <v>0</v>
      </c>
      <c r="N912" s="35">
        <f ca="1"/>
        <v>35422.43967684947</v>
      </c>
      <c r="O912" s="35">
        <f ca="1"/>
        <v>0</v>
      </c>
      <c r="P912" s="35">
        <f ca="1"/>
        <v>0</v>
      </c>
      <c r="Q912" s="35">
        <f ca="1"/>
        <v>35422.43967684947</v>
      </c>
    </row>
    <row r="913" spans="8:17">
      <c r="H913" s="35">
        <v>911</v>
      </c>
      <c r="I913" s="35">
        <f ca="1"/>
        <v>0</v>
      </c>
      <c r="J913" s="35">
        <f ca="1"/>
        <v>0</v>
      </c>
      <c r="K913" s="35">
        <f ca="1"/>
        <v>1</v>
      </c>
      <c r="L913" s="35">
        <f ca="1"/>
        <v>0</v>
      </c>
      <c r="M913" s="35">
        <f ca="1"/>
        <v>0</v>
      </c>
      <c r="N913" s="35">
        <f ca="1"/>
        <v>0</v>
      </c>
      <c r="O913" s="35">
        <f ca="1"/>
        <v>413.99512513687864</v>
      </c>
      <c r="P913" s="35">
        <f ca="1"/>
        <v>0</v>
      </c>
      <c r="Q913" s="35">
        <f ca="1"/>
        <v>413.99512513687864</v>
      </c>
    </row>
    <row r="914" spans="8:17">
      <c r="H914" s="35">
        <v>912</v>
      </c>
      <c r="I914" s="35">
        <f ca="1"/>
        <v>0</v>
      </c>
      <c r="J914" s="35">
        <f ca="1"/>
        <v>0</v>
      </c>
      <c r="K914" s="35">
        <f ca="1"/>
        <v>0</v>
      </c>
      <c r="L914" s="35">
        <f ca="1"/>
        <v>1</v>
      </c>
      <c r="M914" s="35">
        <f ca="1"/>
        <v>0</v>
      </c>
      <c r="N914" s="35">
        <f ca="1"/>
        <v>0</v>
      </c>
      <c r="O914" s="35">
        <f ca="1"/>
        <v>0</v>
      </c>
      <c r="P914" s="35">
        <f ca="1"/>
        <v>160705.7846259097</v>
      </c>
      <c r="Q914" s="35">
        <f ca="1"/>
        <v>160705.7846259097</v>
      </c>
    </row>
    <row r="915" spans="8:17">
      <c r="H915" s="35">
        <v>913</v>
      </c>
      <c r="I915" s="35">
        <f ca="1"/>
        <v>0</v>
      </c>
      <c r="J915" s="35">
        <f ca="1"/>
        <v>0</v>
      </c>
      <c r="K915" s="35">
        <f ca="1"/>
        <v>0</v>
      </c>
      <c r="L915" s="35">
        <f ca="1"/>
        <v>1</v>
      </c>
      <c r="M915" s="35">
        <f ca="1"/>
        <v>0</v>
      </c>
      <c r="N915" s="35">
        <f ca="1"/>
        <v>0</v>
      </c>
      <c r="O915" s="35">
        <f ca="1"/>
        <v>0</v>
      </c>
      <c r="P915" s="35">
        <f ca="1"/>
        <v>169187.77294236002</v>
      </c>
      <c r="Q915" s="35">
        <f ca="1"/>
        <v>169187.77294236002</v>
      </c>
    </row>
    <row r="916" spans="8:17">
      <c r="H916" s="35">
        <v>914</v>
      </c>
      <c r="I916" s="35">
        <f ca="1"/>
        <v>0</v>
      </c>
      <c r="J916" s="35">
        <f ca="1"/>
        <v>0</v>
      </c>
      <c r="K916" s="35">
        <f ca="1"/>
        <v>0</v>
      </c>
      <c r="L916" s="35">
        <f ca="1"/>
        <v>1</v>
      </c>
      <c r="M916" s="35">
        <f ca="1"/>
        <v>0</v>
      </c>
      <c r="N916" s="35">
        <f ca="1"/>
        <v>0</v>
      </c>
      <c r="O916" s="35">
        <f ca="1"/>
        <v>0</v>
      </c>
      <c r="P916" s="35">
        <f ca="1"/>
        <v>148674.57998719884</v>
      </c>
      <c r="Q916" s="35">
        <f ca="1"/>
        <v>148674.57998719884</v>
      </c>
    </row>
    <row r="917" spans="8:17">
      <c r="H917" s="35">
        <v>915</v>
      </c>
      <c r="I917" s="35">
        <f ca="1"/>
        <v>0</v>
      </c>
      <c r="J917" s="35">
        <f ca="1"/>
        <v>1</v>
      </c>
      <c r="K917" s="35">
        <f ca="1"/>
        <v>0</v>
      </c>
      <c r="L917" s="35">
        <f ca="1"/>
        <v>1</v>
      </c>
      <c r="M917" s="35">
        <f ca="1"/>
        <v>0</v>
      </c>
      <c r="N917" s="35">
        <f ca="1"/>
        <v>25416.445933528077</v>
      </c>
      <c r="O917" s="35">
        <f ca="1"/>
        <v>0</v>
      </c>
      <c r="P917" s="35">
        <f ca="1"/>
        <v>135327.44839983969</v>
      </c>
      <c r="Q917" s="35">
        <f ca="1"/>
        <v>160743.89433336776</v>
      </c>
    </row>
    <row r="918" spans="8:17">
      <c r="H918" s="35">
        <v>916</v>
      </c>
      <c r="I918" s="35">
        <f ca="1"/>
        <v>0</v>
      </c>
      <c r="J918" s="35">
        <f ca="1"/>
        <v>1</v>
      </c>
      <c r="K918" s="35">
        <f ca="1"/>
        <v>0</v>
      </c>
      <c r="L918" s="35">
        <f ca="1"/>
        <v>1</v>
      </c>
      <c r="M918" s="35">
        <f ca="1"/>
        <v>0</v>
      </c>
      <c r="N918" s="35">
        <f ca="1"/>
        <v>47164.068831395096</v>
      </c>
      <c r="O918" s="35">
        <f ca="1"/>
        <v>0</v>
      </c>
      <c r="P918" s="35">
        <f ca="1"/>
        <v>194677.5234085581</v>
      </c>
      <c r="Q918" s="35">
        <f ca="1"/>
        <v>241841.5922399532</v>
      </c>
    </row>
    <row r="919" spans="8:17">
      <c r="H919" s="35">
        <v>917</v>
      </c>
      <c r="I919" s="35">
        <f ca="1"/>
        <v>1</v>
      </c>
      <c r="J919" s="35">
        <f ca="1"/>
        <v>0</v>
      </c>
      <c r="K919" s="35">
        <f ca="1"/>
        <v>0</v>
      </c>
      <c r="L919" s="35">
        <f ca="1"/>
        <v>1</v>
      </c>
      <c r="M919" s="35">
        <f ca="1"/>
        <v>11924.007031967261</v>
      </c>
      <c r="N919" s="35">
        <f ca="1"/>
        <v>0</v>
      </c>
      <c r="O919" s="35">
        <f ca="1"/>
        <v>0</v>
      </c>
      <c r="P919" s="35">
        <f ca="1"/>
        <v>138995.02560798393</v>
      </c>
      <c r="Q919" s="35">
        <f ca="1"/>
        <v>150919.03263995118</v>
      </c>
    </row>
    <row r="920" spans="8:17">
      <c r="H920" s="35">
        <v>918</v>
      </c>
      <c r="I920" s="35">
        <f ca="1"/>
        <v>0</v>
      </c>
      <c r="J920" s="35">
        <f ca="1"/>
        <v>0</v>
      </c>
      <c r="K920" s="35">
        <f ca="1"/>
        <v>0</v>
      </c>
      <c r="L920" s="35">
        <f ca="1"/>
        <v>1</v>
      </c>
      <c r="M920" s="35">
        <f ca="1"/>
        <v>0</v>
      </c>
      <c r="N920" s="35">
        <f ca="1"/>
        <v>0</v>
      </c>
      <c r="O920" s="35">
        <f ca="1"/>
        <v>0</v>
      </c>
      <c r="P920" s="35">
        <f ca="1"/>
        <v>171056.17701265172</v>
      </c>
      <c r="Q920" s="35">
        <f ca="1"/>
        <v>171056.17701265172</v>
      </c>
    </row>
    <row r="921" spans="8:17">
      <c r="H921" s="35">
        <v>919</v>
      </c>
      <c r="I921" s="35">
        <f ca="1"/>
        <v>0</v>
      </c>
      <c r="J921" s="35">
        <f ca="1"/>
        <v>0</v>
      </c>
      <c r="K921" s="35">
        <f ca="1"/>
        <v>0</v>
      </c>
      <c r="L921" s="35">
        <f ca="1"/>
        <v>0</v>
      </c>
      <c r="M921" s="35">
        <f ca="1"/>
        <v>0</v>
      </c>
      <c r="N921" s="35">
        <f ca="1"/>
        <v>0</v>
      </c>
      <c r="O921" s="35">
        <f ca="1"/>
        <v>0</v>
      </c>
      <c r="P921" s="35">
        <f ca="1"/>
        <v>0</v>
      </c>
      <c r="Q921" s="35">
        <f ca="1"/>
        <v>0</v>
      </c>
    </row>
    <row r="922" spans="8:17">
      <c r="H922" s="35">
        <v>920</v>
      </c>
      <c r="I922" s="35">
        <f ca="1"/>
        <v>0</v>
      </c>
      <c r="J922" s="35">
        <f ca="1"/>
        <v>0</v>
      </c>
      <c r="K922" s="35">
        <f ca="1"/>
        <v>1</v>
      </c>
      <c r="L922" s="35">
        <f ca="1"/>
        <v>0</v>
      </c>
      <c r="M922" s="35">
        <f ca="1"/>
        <v>0</v>
      </c>
      <c r="N922" s="35">
        <f ca="1"/>
        <v>0</v>
      </c>
      <c r="O922" s="35">
        <f ca="1"/>
        <v>236.54907087967587</v>
      </c>
      <c r="P922" s="35">
        <f ca="1"/>
        <v>0</v>
      </c>
      <c r="Q922" s="35">
        <f ca="1"/>
        <v>236.54907087967587</v>
      </c>
    </row>
    <row r="923" spans="8:17">
      <c r="H923" s="35">
        <v>921</v>
      </c>
      <c r="I923" s="35">
        <f ca="1"/>
        <v>0</v>
      </c>
      <c r="J923" s="35">
        <f ca="1"/>
        <v>1</v>
      </c>
      <c r="K923" s="35">
        <f ca="1"/>
        <v>0</v>
      </c>
      <c r="L923" s="35">
        <f ca="1"/>
        <v>1</v>
      </c>
      <c r="M923" s="35">
        <f ca="1"/>
        <v>0</v>
      </c>
      <c r="N923" s="35">
        <f ca="1"/>
        <v>37020.929388548757</v>
      </c>
      <c r="O923" s="35">
        <f ca="1"/>
        <v>0</v>
      </c>
      <c r="P923" s="35">
        <f ca="1"/>
        <v>150570.76727878232</v>
      </c>
      <c r="Q923" s="35">
        <f ca="1"/>
        <v>187591.6966673311</v>
      </c>
    </row>
    <row r="924" spans="8:17">
      <c r="H924" s="35">
        <v>922</v>
      </c>
      <c r="I924" s="35">
        <f ca="1"/>
        <v>0</v>
      </c>
      <c r="J924" s="35">
        <f ca="1"/>
        <v>0</v>
      </c>
      <c r="K924" s="35">
        <f ca="1"/>
        <v>1</v>
      </c>
      <c r="L924" s="35">
        <f ca="1"/>
        <v>1</v>
      </c>
      <c r="M924" s="35">
        <f ca="1"/>
        <v>0</v>
      </c>
      <c r="N924" s="35">
        <f ca="1"/>
        <v>0</v>
      </c>
      <c r="O924" s="35">
        <f ca="1"/>
        <v>114.18697337431125</v>
      </c>
      <c r="P924" s="35">
        <f ca="1"/>
        <v>110316.78931432155</v>
      </c>
      <c r="Q924" s="35">
        <f ca="1"/>
        <v>110430.97628769586</v>
      </c>
    </row>
    <row r="925" spans="8:17">
      <c r="H925" s="35">
        <v>923</v>
      </c>
      <c r="I925" s="35">
        <f ca="1"/>
        <v>0</v>
      </c>
      <c r="J925" s="35">
        <f ca="1"/>
        <v>0</v>
      </c>
      <c r="K925" s="35">
        <f ca="1"/>
        <v>0</v>
      </c>
      <c r="L925" s="35">
        <f ca="1"/>
        <v>1</v>
      </c>
      <c r="M925" s="35">
        <f ca="1"/>
        <v>0</v>
      </c>
      <c r="N925" s="35">
        <f ca="1"/>
        <v>0</v>
      </c>
      <c r="O925" s="35">
        <f ca="1"/>
        <v>0</v>
      </c>
      <c r="P925" s="35">
        <f ca="1"/>
        <v>111990.87303394031</v>
      </c>
      <c r="Q925" s="35">
        <f ca="1"/>
        <v>111990.87303394031</v>
      </c>
    </row>
    <row r="926" spans="8:17">
      <c r="H926" s="35">
        <v>924</v>
      </c>
      <c r="I926" s="35">
        <f ca="1"/>
        <v>0</v>
      </c>
      <c r="J926" s="35">
        <f ca="1"/>
        <v>1</v>
      </c>
      <c r="K926" s="35">
        <f ca="1"/>
        <v>0</v>
      </c>
      <c r="L926" s="35">
        <f ca="1"/>
        <v>1</v>
      </c>
      <c r="M926" s="35">
        <f ca="1"/>
        <v>0</v>
      </c>
      <c r="N926" s="35">
        <f ca="1"/>
        <v>59407.713515956195</v>
      </c>
      <c r="O926" s="35">
        <f ca="1"/>
        <v>0</v>
      </c>
      <c r="P926" s="35">
        <f ca="1"/>
        <v>154064.0593964099</v>
      </c>
      <c r="Q926" s="35">
        <f ca="1"/>
        <v>213471.77291236608</v>
      </c>
    </row>
    <row r="927" spans="8:17">
      <c r="H927" s="35">
        <v>925</v>
      </c>
      <c r="I927" s="35">
        <f ca="1"/>
        <v>0</v>
      </c>
      <c r="J927" s="35">
        <f ca="1"/>
        <v>0</v>
      </c>
      <c r="K927" s="35">
        <f ca="1"/>
        <v>0</v>
      </c>
      <c r="L927" s="35">
        <f ca="1"/>
        <v>1</v>
      </c>
      <c r="M927" s="35">
        <f ca="1"/>
        <v>0</v>
      </c>
      <c r="N927" s="35">
        <f ca="1"/>
        <v>0</v>
      </c>
      <c r="O927" s="35">
        <f ca="1"/>
        <v>0</v>
      </c>
      <c r="P927" s="35">
        <f ca="1"/>
        <v>158179.33407037953</v>
      </c>
      <c r="Q927" s="35">
        <f ca="1"/>
        <v>158179.33407037953</v>
      </c>
    </row>
    <row r="928" spans="8:17">
      <c r="H928" s="35">
        <v>926</v>
      </c>
      <c r="I928" s="35">
        <f ca="1"/>
        <v>0</v>
      </c>
      <c r="J928" s="35">
        <f ca="1"/>
        <v>1</v>
      </c>
      <c r="K928" s="35">
        <f ca="1"/>
        <v>0</v>
      </c>
      <c r="L928" s="35">
        <f ca="1"/>
        <v>1</v>
      </c>
      <c r="M928" s="35">
        <f ca="1"/>
        <v>0</v>
      </c>
      <c r="N928" s="35">
        <f ca="1"/>
        <v>30331.787023849451</v>
      </c>
      <c r="O928" s="35">
        <f ca="1"/>
        <v>0</v>
      </c>
      <c r="P928" s="35">
        <f ca="1"/>
        <v>158622.37775334413</v>
      </c>
      <c r="Q928" s="35">
        <f ca="1"/>
        <v>188954.16477719357</v>
      </c>
    </row>
    <row r="929" spans="8:17">
      <c r="H929" s="35">
        <v>927</v>
      </c>
      <c r="I929" s="35">
        <f ca="1"/>
        <v>1</v>
      </c>
      <c r="J929" s="35">
        <f ca="1"/>
        <v>1</v>
      </c>
      <c r="K929" s="35">
        <f ca="1"/>
        <v>0</v>
      </c>
      <c r="L929" s="35">
        <f ca="1"/>
        <v>1</v>
      </c>
      <c r="M929" s="35">
        <f ca="1"/>
        <v>7468.4629508416856</v>
      </c>
      <c r="N929" s="35">
        <f ca="1"/>
        <v>16409.803556137504</v>
      </c>
      <c r="O929" s="35">
        <f ca="1"/>
        <v>0</v>
      </c>
      <c r="P929" s="35">
        <f ca="1"/>
        <v>149719.27750357834</v>
      </c>
      <c r="Q929" s="35">
        <f ca="1"/>
        <v>173597.54401055753</v>
      </c>
    </row>
    <row r="930" spans="8:17">
      <c r="H930" s="35">
        <v>928</v>
      </c>
      <c r="I930" s="35">
        <f ca="1"/>
        <v>0</v>
      </c>
      <c r="J930" s="35">
        <f ca="1"/>
        <v>0</v>
      </c>
      <c r="K930" s="35">
        <f ca="1"/>
        <v>0</v>
      </c>
      <c r="L930" s="35">
        <f ca="1"/>
        <v>1</v>
      </c>
      <c r="M930" s="35">
        <f ca="1"/>
        <v>0</v>
      </c>
      <c r="N930" s="35">
        <f ca="1"/>
        <v>0</v>
      </c>
      <c r="O930" s="35">
        <f ca="1"/>
        <v>0</v>
      </c>
      <c r="P930" s="35">
        <f ca="1"/>
        <v>160280.04264141931</v>
      </c>
      <c r="Q930" s="35">
        <f ca="1"/>
        <v>160280.04264141931</v>
      </c>
    </row>
    <row r="931" spans="8:17">
      <c r="H931" s="35">
        <v>929</v>
      </c>
      <c r="I931" s="35">
        <f ca="1"/>
        <v>0</v>
      </c>
      <c r="J931" s="35">
        <f ca="1"/>
        <v>0</v>
      </c>
      <c r="K931" s="35">
        <f ca="1"/>
        <v>0</v>
      </c>
      <c r="L931" s="35">
        <f ca="1"/>
        <v>1</v>
      </c>
      <c r="M931" s="35">
        <f ca="1"/>
        <v>0</v>
      </c>
      <c r="N931" s="35">
        <f ca="1"/>
        <v>0</v>
      </c>
      <c r="O931" s="35">
        <f ca="1"/>
        <v>0</v>
      </c>
      <c r="P931" s="35">
        <f ca="1"/>
        <v>155310.60183560473</v>
      </c>
      <c r="Q931" s="35">
        <f ca="1"/>
        <v>155310.60183560473</v>
      </c>
    </row>
    <row r="932" spans="8:17">
      <c r="H932" s="35">
        <v>930</v>
      </c>
      <c r="I932" s="35">
        <f ca="1"/>
        <v>0</v>
      </c>
      <c r="J932" s="35">
        <f ca="1"/>
        <v>1</v>
      </c>
      <c r="K932" s="35">
        <f ca="1"/>
        <v>0</v>
      </c>
      <c r="L932" s="35">
        <f ca="1"/>
        <v>1</v>
      </c>
      <c r="M932" s="35">
        <f ca="1"/>
        <v>0</v>
      </c>
      <c r="N932" s="35">
        <f ca="1"/>
        <v>50963.437674876004</v>
      </c>
      <c r="O932" s="35">
        <f ca="1"/>
        <v>0</v>
      </c>
      <c r="P932" s="35">
        <f ca="1"/>
        <v>159272.40910237897</v>
      </c>
      <c r="Q932" s="35">
        <f ca="1"/>
        <v>210235.84677725498</v>
      </c>
    </row>
    <row r="933" spans="8:17">
      <c r="H933" s="35">
        <v>931</v>
      </c>
      <c r="I933" s="35">
        <f ca="1"/>
        <v>0</v>
      </c>
      <c r="J933" s="35">
        <f ca="1"/>
        <v>0</v>
      </c>
      <c r="K933" s="35">
        <f ca="1"/>
        <v>0</v>
      </c>
      <c r="L933" s="35">
        <f ca="1"/>
        <v>0</v>
      </c>
      <c r="M933" s="35">
        <f ca="1"/>
        <v>0</v>
      </c>
      <c r="N933" s="35">
        <f ca="1"/>
        <v>0</v>
      </c>
      <c r="O933" s="35">
        <f ca="1"/>
        <v>0</v>
      </c>
      <c r="P933" s="35">
        <f ca="1"/>
        <v>0</v>
      </c>
      <c r="Q933" s="35">
        <f ca="1"/>
        <v>0</v>
      </c>
    </row>
    <row r="934" spans="8:17">
      <c r="H934" s="35">
        <v>932</v>
      </c>
      <c r="I934" s="35">
        <f ca="1"/>
        <v>0</v>
      </c>
      <c r="J934" s="35">
        <f ca="1"/>
        <v>1</v>
      </c>
      <c r="K934" s="35">
        <f ca="1"/>
        <v>0</v>
      </c>
      <c r="L934" s="35">
        <f ca="1"/>
        <v>1</v>
      </c>
      <c r="M934" s="35">
        <f ca="1"/>
        <v>0</v>
      </c>
      <c r="N934" s="35">
        <f ca="1"/>
        <v>17464.053738056933</v>
      </c>
      <c r="O934" s="35">
        <f ca="1"/>
        <v>0</v>
      </c>
      <c r="P934" s="35">
        <f ca="1"/>
        <v>142036.19268128602</v>
      </c>
      <c r="Q934" s="35">
        <f ca="1"/>
        <v>159500.24641934296</v>
      </c>
    </row>
    <row r="935" spans="8:17">
      <c r="H935" s="35">
        <v>933</v>
      </c>
      <c r="I935" s="35">
        <f ca="1"/>
        <v>0</v>
      </c>
      <c r="J935" s="35">
        <f ca="1"/>
        <v>1</v>
      </c>
      <c r="K935" s="35">
        <f ca="1"/>
        <v>0</v>
      </c>
      <c r="L935" s="35">
        <f ca="1"/>
        <v>1</v>
      </c>
      <c r="M935" s="35">
        <f ca="1"/>
        <v>0</v>
      </c>
      <c r="N935" s="35">
        <f ca="1"/>
        <v>26928.212437820886</v>
      </c>
      <c r="O935" s="35">
        <f ca="1"/>
        <v>0</v>
      </c>
      <c r="P935" s="35">
        <f ca="1"/>
        <v>108227.5975816491</v>
      </c>
      <c r="Q935" s="35">
        <f ca="1"/>
        <v>135155.81001946999</v>
      </c>
    </row>
    <row r="936" spans="8:17">
      <c r="H936" s="35">
        <v>934</v>
      </c>
      <c r="I936" s="35">
        <f ca="1"/>
        <v>0</v>
      </c>
      <c r="J936" s="35">
        <f ca="1"/>
        <v>0</v>
      </c>
      <c r="K936" s="35">
        <f ca="1"/>
        <v>0</v>
      </c>
      <c r="L936" s="35">
        <f ca="1"/>
        <v>1</v>
      </c>
      <c r="M936" s="35">
        <f ca="1"/>
        <v>0</v>
      </c>
      <c r="N936" s="35">
        <f ca="1"/>
        <v>0</v>
      </c>
      <c r="O936" s="35">
        <f ca="1"/>
        <v>0</v>
      </c>
      <c r="P936" s="35">
        <f ca="1"/>
        <v>159720.12454316427</v>
      </c>
      <c r="Q936" s="35">
        <f ca="1"/>
        <v>159720.12454316427</v>
      </c>
    </row>
    <row r="937" spans="8:17">
      <c r="H937" s="35">
        <v>935</v>
      </c>
      <c r="I937" s="35">
        <f ca="1"/>
        <v>1</v>
      </c>
      <c r="J937" s="35">
        <f ca="1"/>
        <v>0</v>
      </c>
      <c r="K937" s="35">
        <f ca="1"/>
        <v>0</v>
      </c>
      <c r="L937" s="35">
        <f ca="1"/>
        <v>1</v>
      </c>
      <c r="M937" s="35">
        <f ca="1"/>
        <v>10238.05963789922</v>
      </c>
      <c r="N937" s="35">
        <f ca="1"/>
        <v>0</v>
      </c>
      <c r="O937" s="35">
        <f ca="1"/>
        <v>0</v>
      </c>
      <c r="P937" s="35">
        <f ca="1"/>
        <v>150034.64792452665</v>
      </c>
      <c r="Q937" s="35">
        <f ca="1"/>
        <v>160272.70756242587</v>
      </c>
    </row>
    <row r="938" spans="8:17">
      <c r="H938" s="35">
        <v>936</v>
      </c>
      <c r="I938" s="35">
        <f ca="1"/>
        <v>1</v>
      </c>
      <c r="J938" s="35">
        <f ca="1"/>
        <v>1</v>
      </c>
      <c r="K938" s="35">
        <f ca="1"/>
        <v>0</v>
      </c>
      <c r="L938" s="35">
        <f ca="1"/>
        <v>1</v>
      </c>
      <c r="M938" s="35">
        <f ca="1"/>
        <v>18102.793315567596</v>
      </c>
      <c r="N938" s="35">
        <f ca="1"/>
        <v>30166.957232502118</v>
      </c>
      <c r="O938" s="35">
        <f ca="1"/>
        <v>0</v>
      </c>
      <c r="P938" s="35">
        <f ca="1"/>
        <v>187824.29453985873</v>
      </c>
      <c r="Q938" s="35">
        <f ca="1"/>
        <v>236094.04508792845</v>
      </c>
    </row>
    <row r="939" spans="8:17">
      <c r="H939" s="35">
        <v>937</v>
      </c>
      <c r="I939" s="35">
        <f ca="1"/>
        <v>0</v>
      </c>
      <c r="J939" s="35">
        <f ca="1"/>
        <v>0</v>
      </c>
      <c r="K939" s="35">
        <f ca="1"/>
        <v>0</v>
      </c>
      <c r="L939" s="35">
        <f ca="1"/>
        <v>1</v>
      </c>
      <c r="M939" s="35">
        <f ca="1"/>
        <v>0</v>
      </c>
      <c r="N939" s="35">
        <f ca="1"/>
        <v>0</v>
      </c>
      <c r="O939" s="35">
        <f ca="1"/>
        <v>0</v>
      </c>
      <c r="P939" s="35">
        <f ca="1"/>
        <v>176227.87876808699</v>
      </c>
      <c r="Q939" s="35">
        <f ca="1"/>
        <v>176227.87876808699</v>
      </c>
    </row>
    <row r="940" spans="8:17">
      <c r="H940" s="35">
        <v>938</v>
      </c>
      <c r="I940" s="35">
        <f ca="1"/>
        <v>1</v>
      </c>
      <c r="J940" s="35">
        <f ca="1"/>
        <v>0</v>
      </c>
      <c r="K940" s="35">
        <f ca="1"/>
        <v>1</v>
      </c>
      <c r="L940" s="35">
        <f ca="1"/>
        <v>1</v>
      </c>
      <c r="M940" s="35">
        <f ca="1"/>
        <v>6349.4702534217304</v>
      </c>
      <c r="N940" s="35">
        <f ca="1"/>
        <v>0</v>
      </c>
      <c r="O940" s="35">
        <f ca="1"/>
        <v>441.03239047579979</v>
      </c>
      <c r="P940" s="35">
        <f ca="1"/>
        <v>123179.56730565346</v>
      </c>
      <c r="Q940" s="35">
        <f ca="1"/>
        <v>129970.06994955099</v>
      </c>
    </row>
    <row r="941" spans="8:17">
      <c r="H941" s="35">
        <v>939</v>
      </c>
      <c r="I941" s="35">
        <f ca="1"/>
        <v>0</v>
      </c>
      <c r="J941" s="35">
        <f ca="1"/>
        <v>0</v>
      </c>
      <c r="K941" s="35">
        <f ca="1"/>
        <v>0</v>
      </c>
      <c r="L941" s="35">
        <f ca="1"/>
        <v>1</v>
      </c>
      <c r="M941" s="35">
        <f ca="1"/>
        <v>0</v>
      </c>
      <c r="N941" s="35">
        <f ca="1"/>
        <v>0</v>
      </c>
      <c r="O941" s="35">
        <f ca="1"/>
        <v>0</v>
      </c>
      <c r="P941" s="35">
        <f ca="1"/>
        <v>150316.10638257928</v>
      </c>
      <c r="Q941" s="35">
        <f ca="1"/>
        <v>150316.10638257928</v>
      </c>
    </row>
    <row r="942" spans="8:17">
      <c r="H942" s="35">
        <v>940</v>
      </c>
      <c r="I942" s="35">
        <f ca="1"/>
        <v>0</v>
      </c>
      <c r="J942" s="35">
        <f ca="1"/>
        <v>0</v>
      </c>
      <c r="K942" s="35">
        <f ca="1"/>
        <v>1</v>
      </c>
      <c r="L942" s="35">
        <f ca="1"/>
        <v>1</v>
      </c>
      <c r="M942" s="35">
        <f ca="1"/>
        <v>0</v>
      </c>
      <c r="N942" s="35">
        <f ca="1"/>
        <v>0</v>
      </c>
      <c r="O942" s="35">
        <f ca="1"/>
        <v>153.34142000974586</v>
      </c>
      <c r="P942" s="35">
        <f ca="1"/>
        <v>108409.62891337551</v>
      </c>
      <c r="Q942" s="35">
        <f ca="1"/>
        <v>108562.97033338525</v>
      </c>
    </row>
    <row r="943" spans="8:17">
      <c r="H943" s="35">
        <v>941</v>
      </c>
      <c r="I943" s="35">
        <f ca="1"/>
        <v>1</v>
      </c>
      <c r="J943" s="35">
        <f ca="1"/>
        <v>1</v>
      </c>
      <c r="K943" s="35">
        <f ca="1"/>
        <v>0</v>
      </c>
      <c r="L943" s="35">
        <f ca="1"/>
        <v>1</v>
      </c>
      <c r="M943" s="35">
        <f ca="1"/>
        <v>15167.117829434845</v>
      </c>
      <c r="N943" s="35">
        <f ca="1"/>
        <v>38213.338018395516</v>
      </c>
      <c r="O943" s="35">
        <f ca="1"/>
        <v>0</v>
      </c>
      <c r="P943" s="35">
        <f ca="1"/>
        <v>197073.90086431769</v>
      </c>
      <c r="Q943" s="35">
        <f ca="1"/>
        <v>250454.35671214806</v>
      </c>
    </row>
    <row r="944" spans="8:17">
      <c r="H944" s="35">
        <v>942</v>
      </c>
      <c r="I944" s="35">
        <f ca="1"/>
        <v>0</v>
      </c>
      <c r="J944" s="35">
        <f ca="1"/>
        <v>0</v>
      </c>
      <c r="K944" s="35">
        <f ca="1"/>
        <v>0</v>
      </c>
      <c r="L944" s="35">
        <f ca="1"/>
        <v>0</v>
      </c>
      <c r="M944" s="35">
        <f ca="1"/>
        <v>0</v>
      </c>
      <c r="N944" s="35">
        <f ca="1"/>
        <v>0</v>
      </c>
      <c r="O944" s="35">
        <f ca="1"/>
        <v>0</v>
      </c>
      <c r="P944" s="35">
        <f ca="1"/>
        <v>0</v>
      </c>
      <c r="Q944" s="35">
        <f ca="1"/>
        <v>0</v>
      </c>
    </row>
    <row r="945" spans="8:17">
      <c r="H945" s="35">
        <v>943</v>
      </c>
      <c r="I945" s="35">
        <f ca="1"/>
        <v>0</v>
      </c>
      <c r="J945" s="35">
        <f ca="1"/>
        <v>0</v>
      </c>
      <c r="K945" s="35">
        <f ca="1"/>
        <v>0</v>
      </c>
      <c r="L945" s="35">
        <f ca="1"/>
        <v>1</v>
      </c>
      <c r="M945" s="35">
        <f ca="1"/>
        <v>0</v>
      </c>
      <c r="N945" s="35">
        <f ca="1"/>
        <v>0</v>
      </c>
      <c r="O945" s="35">
        <f ca="1"/>
        <v>0</v>
      </c>
      <c r="P945" s="35">
        <f ca="1"/>
        <v>200906.8215455632</v>
      </c>
      <c r="Q945" s="35">
        <f ca="1"/>
        <v>200906.8215455632</v>
      </c>
    </row>
    <row r="946" spans="8:17">
      <c r="H946" s="35">
        <v>944</v>
      </c>
      <c r="I946" s="35">
        <f ca="1"/>
        <v>1</v>
      </c>
      <c r="J946" s="35">
        <f ca="1"/>
        <v>0</v>
      </c>
      <c r="K946" s="35">
        <f ca="1"/>
        <v>0</v>
      </c>
      <c r="L946" s="35">
        <f ca="1"/>
        <v>1</v>
      </c>
      <c r="M946" s="35">
        <f ca="1"/>
        <v>10758.995859886203</v>
      </c>
      <c r="N946" s="35">
        <f ca="1"/>
        <v>0</v>
      </c>
      <c r="O946" s="35">
        <f ca="1"/>
        <v>0</v>
      </c>
      <c r="P946" s="35">
        <f ca="1"/>
        <v>152027.73858682392</v>
      </c>
      <c r="Q946" s="35">
        <f ca="1"/>
        <v>162786.73444671012</v>
      </c>
    </row>
    <row r="947" spans="8:17">
      <c r="H947" s="35">
        <v>945</v>
      </c>
      <c r="I947" s="35">
        <f ca="1"/>
        <v>0</v>
      </c>
      <c r="J947" s="35">
        <f ca="1"/>
        <v>1</v>
      </c>
      <c r="K947" s="35">
        <f ca="1"/>
        <v>0</v>
      </c>
      <c r="L947" s="35">
        <f ca="1"/>
        <v>1</v>
      </c>
      <c r="M947" s="35">
        <f ca="1"/>
        <v>0</v>
      </c>
      <c r="N947" s="35">
        <f ca="1"/>
        <v>22865.386373173478</v>
      </c>
      <c r="O947" s="35">
        <f ca="1"/>
        <v>0</v>
      </c>
      <c r="P947" s="35">
        <f ca="1"/>
        <v>53412.68000858686</v>
      </c>
      <c r="Q947" s="35">
        <f ca="1"/>
        <v>76278.066381760334</v>
      </c>
    </row>
    <row r="948" spans="8:17">
      <c r="H948" s="35">
        <v>946</v>
      </c>
      <c r="I948" s="35">
        <f ca="1"/>
        <v>1</v>
      </c>
      <c r="J948" s="35">
        <f ca="1"/>
        <v>0</v>
      </c>
      <c r="K948" s="35">
        <f ca="1"/>
        <v>0</v>
      </c>
      <c r="L948" s="35">
        <f ca="1"/>
        <v>0</v>
      </c>
      <c r="M948" s="35">
        <f ca="1"/>
        <v>13009.159628323065</v>
      </c>
      <c r="N948" s="35">
        <f ca="1"/>
        <v>0</v>
      </c>
      <c r="O948" s="35">
        <f ca="1"/>
        <v>0</v>
      </c>
      <c r="P948" s="35">
        <f ca="1"/>
        <v>0</v>
      </c>
      <c r="Q948" s="35">
        <f ca="1"/>
        <v>13009.159628323065</v>
      </c>
    </row>
    <row r="949" spans="8:17">
      <c r="H949" s="35">
        <v>947</v>
      </c>
      <c r="I949" s="35">
        <f ca="1"/>
        <v>1</v>
      </c>
      <c r="J949" s="35">
        <f ca="1"/>
        <v>0</v>
      </c>
      <c r="K949" s="35">
        <f ca="1"/>
        <v>0</v>
      </c>
      <c r="L949" s="35">
        <f ca="1"/>
        <v>1</v>
      </c>
      <c r="M949" s="35">
        <f ca="1"/>
        <v>8264.0859131147645</v>
      </c>
      <c r="N949" s="35">
        <f ca="1"/>
        <v>0</v>
      </c>
      <c r="O949" s="35">
        <f ca="1"/>
        <v>0</v>
      </c>
      <c r="P949" s="35">
        <f ca="1"/>
        <v>171383.34818173482</v>
      </c>
      <c r="Q949" s="35">
        <f ca="1"/>
        <v>179647.4340948496</v>
      </c>
    </row>
    <row r="950" spans="8:17">
      <c r="H950" s="35">
        <v>948</v>
      </c>
      <c r="I950" s="35">
        <f ca="1"/>
        <v>0</v>
      </c>
      <c r="J950" s="35">
        <f ca="1"/>
        <v>0</v>
      </c>
      <c r="K950" s="35">
        <f ca="1"/>
        <v>0</v>
      </c>
      <c r="L950" s="35">
        <f ca="1"/>
        <v>1</v>
      </c>
      <c r="M950" s="35">
        <f ca="1"/>
        <v>0</v>
      </c>
      <c r="N950" s="35">
        <f ca="1"/>
        <v>0</v>
      </c>
      <c r="O950" s="35">
        <f ca="1"/>
        <v>0</v>
      </c>
      <c r="P950" s="35">
        <f ca="1"/>
        <v>170999.76727809614</v>
      </c>
      <c r="Q950" s="35">
        <f ca="1"/>
        <v>170999.76727809614</v>
      </c>
    </row>
    <row r="951" spans="8:17">
      <c r="H951" s="35">
        <v>949</v>
      </c>
      <c r="I951" s="35">
        <f ca="1"/>
        <v>0</v>
      </c>
      <c r="J951" s="35">
        <f ca="1"/>
        <v>0</v>
      </c>
      <c r="K951" s="35">
        <f ca="1"/>
        <v>0</v>
      </c>
      <c r="L951" s="35">
        <f ca="1"/>
        <v>1</v>
      </c>
      <c r="M951" s="35">
        <f ca="1"/>
        <v>0</v>
      </c>
      <c r="N951" s="35">
        <f ca="1"/>
        <v>0</v>
      </c>
      <c r="O951" s="35">
        <f ca="1"/>
        <v>0</v>
      </c>
      <c r="P951" s="35">
        <f ca="1"/>
        <v>212858.34033288824</v>
      </c>
      <c r="Q951" s="35">
        <f ca="1"/>
        <v>212858.34033288824</v>
      </c>
    </row>
    <row r="952" spans="8:17">
      <c r="H952" s="35">
        <v>950</v>
      </c>
      <c r="I952" s="35">
        <f ca="1"/>
        <v>0</v>
      </c>
      <c r="J952" s="35">
        <f ca="1"/>
        <v>0</v>
      </c>
      <c r="K952" s="35">
        <f ca="1"/>
        <v>0</v>
      </c>
      <c r="L952" s="35">
        <f ca="1"/>
        <v>1</v>
      </c>
      <c r="M952" s="35">
        <f ca="1"/>
        <v>0</v>
      </c>
      <c r="N952" s="35">
        <f ca="1"/>
        <v>0</v>
      </c>
      <c r="O952" s="35">
        <f ca="1"/>
        <v>0</v>
      </c>
      <c r="P952" s="35">
        <f ca="1"/>
        <v>162608.84817932479</v>
      </c>
      <c r="Q952" s="35">
        <f ca="1"/>
        <v>162608.84817932479</v>
      </c>
    </row>
    <row r="953" spans="8:17">
      <c r="H953" s="35">
        <v>951</v>
      </c>
      <c r="I953" s="35">
        <f ca="1"/>
        <v>1</v>
      </c>
      <c r="J953" s="35">
        <f ca="1"/>
        <v>0</v>
      </c>
      <c r="K953" s="35">
        <f ca="1"/>
        <v>1</v>
      </c>
      <c r="L953" s="35">
        <f ca="1"/>
        <v>1</v>
      </c>
      <c r="M953" s="35">
        <f ca="1"/>
        <v>9866.4677358692952</v>
      </c>
      <c r="N953" s="35">
        <f ca="1"/>
        <v>0</v>
      </c>
      <c r="O953" s="35">
        <f ca="1"/>
        <v>239.5305851139714</v>
      </c>
      <c r="P953" s="35">
        <f ca="1"/>
        <v>113665.78615363679</v>
      </c>
      <c r="Q953" s="35">
        <f ca="1"/>
        <v>123771.78447462006</v>
      </c>
    </row>
    <row r="954" spans="8:17">
      <c r="H954" s="35">
        <v>952</v>
      </c>
      <c r="I954" s="35">
        <f ca="1"/>
        <v>0</v>
      </c>
      <c r="J954" s="35">
        <f ca="1"/>
        <v>1</v>
      </c>
      <c r="K954" s="35">
        <f ca="1"/>
        <v>0</v>
      </c>
      <c r="L954" s="35">
        <f ca="1"/>
        <v>1</v>
      </c>
      <c r="M954" s="35">
        <f ca="1"/>
        <v>0</v>
      </c>
      <c r="N954" s="35">
        <f ca="1"/>
        <v>75300.554906319332</v>
      </c>
      <c r="O954" s="35">
        <f ca="1"/>
        <v>0</v>
      </c>
      <c r="P954" s="35">
        <f ca="1"/>
        <v>166977.67872369543</v>
      </c>
      <c r="Q954" s="35">
        <f ca="1"/>
        <v>242278.23363001476</v>
      </c>
    </row>
    <row r="955" spans="8:17">
      <c r="H955" s="35">
        <v>953</v>
      </c>
      <c r="I955" s="35">
        <f ca="1"/>
        <v>1</v>
      </c>
      <c r="J955" s="35">
        <f ca="1"/>
        <v>0</v>
      </c>
      <c r="K955" s="35">
        <f ca="1"/>
        <v>0</v>
      </c>
      <c r="L955" s="35">
        <f ca="1"/>
        <v>1</v>
      </c>
      <c r="M955" s="35">
        <f ca="1"/>
        <v>4702.6128970188984</v>
      </c>
      <c r="N955" s="35">
        <f ca="1"/>
        <v>0</v>
      </c>
      <c r="O955" s="35">
        <f ca="1"/>
        <v>0</v>
      </c>
      <c r="P955" s="35">
        <f ca="1"/>
        <v>128993.00703467283</v>
      </c>
      <c r="Q955" s="35">
        <f ca="1"/>
        <v>133695.61993169173</v>
      </c>
    </row>
    <row r="956" spans="8:17">
      <c r="H956" s="35">
        <v>954</v>
      </c>
      <c r="I956" s="35">
        <f ca="1"/>
        <v>1</v>
      </c>
      <c r="J956" s="35">
        <f ca="1"/>
        <v>0</v>
      </c>
      <c r="K956" s="35">
        <f ca="1"/>
        <v>1</v>
      </c>
      <c r="L956" s="35">
        <f ca="1"/>
        <v>1</v>
      </c>
      <c r="M956" s="35">
        <f ca="1"/>
        <v>5248.7977005187931</v>
      </c>
      <c r="N956" s="35">
        <f ca="1"/>
        <v>0</v>
      </c>
      <c r="O956" s="35">
        <f ca="1"/>
        <v>166.11433936782896</v>
      </c>
      <c r="P956" s="35">
        <f ca="1"/>
        <v>89780.863122798386</v>
      </c>
      <c r="Q956" s="35">
        <f ca="1"/>
        <v>95195.775162685008</v>
      </c>
    </row>
    <row r="957" spans="8:17">
      <c r="H957" s="35">
        <v>955</v>
      </c>
      <c r="I957" s="35">
        <f ca="1"/>
        <v>1</v>
      </c>
      <c r="J957" s="35">
        <f ca="1"/>
        <v>0</v>
      </c>
      <c r="K957" s="35">
        <f ca="1"/>
        <v>0</v>
      </c>
      <c r="L957" s="35">
        <f ca="1"/>
        <v>0</v>
      </c>
      <c r="M957" s="35">
        <f ca="1"/>
        <v>4210.9543153039021</v>
      </c>
      <c r="N957" s="35">
        <f ca="1"/>
        <v>0</v>
      </c>
      <c r="O957" s="35">
        <f ca="1"/>
        <v>0</v>
      </c>
      <c r="P957" s="35">
        <f ca="1"/>
        <v>0</v>
      </c>
      <c r="Q957" s="35">
        <f ca="1"/>
        <v>4210.9543153039021</v>
      </c>
    </row>
    <row r="958" spans="8:17">
      <c r="H958" s="35">
        <v>956</v>
      </c>
      <c r="I958" s="35">
        <f ca="1"/>
        <v>1</v>
      </c>
      <c r="J958" s="35">
        <f ca="1"/>
        <v>0</v>
      </c>
      <c r="K958" s="35">
        <f ca="1"/>
        <v>0</v>
      </c>
      <c r="L958" s="35">
        <f ca="1"/>
        <v>1</v>
      </c>
      <c r="M958" s="35">
        <f ca="1"/>
        <v>12814.709561389776</v>
      </c>
      <c r="N958" s="35">
        <f ca="1"/>
        <v>0</v>
      </c>
      <c r="O958" s="35">
        <f ca="1"/>
        <v>0</v>
      </c>
      <c r="P958" s="35">
        <f ca="1"/>
        <v>149812.76556736234</v>
      </c>
      <c r="Q958" s="35">
        <f ca="1"/>
        <v>162627.47512875212</v>
      </c>
    </row>
    <row r="959" spans="8:17">
      <c r="H959" s="35">
        <v>957</v>
      </c>
      <c r="I959" s="35">
        <f ca="1"/>
        <v>1</v>
      </c>
      <c r="J959" s="35">
        <f ca="1"/>
        <v>0</v>
      </c>
      <c r="K959" s="35">
        <f ca="1"/>
        <v>0</v>
      </c>
      <c r="L959" s="35">
        <f ca="1"/>
        <v>1</v>
      </c>
      <c r="M959" s="35">
        <f ca="1"/>
        <v>13829.032171649193</v>
      </c>
      <c r="N959" s="35">
        <f ca="1"/>
        <v>0</v>
      </c>
      <c r="O959" s="35">
        <f ca="1"/>
        <v>0</v>
      </c>
      <c r="P959" s="35">
        <f ca="1"/>
        <v>188261.5696646217</v>
      </c>
      <c r="Q959" s="35">
        <f ca="1"/>
        <v>202090.60183627089</v>
      </c>
    </row>
    <row r="960" spans="8:17">
      <c r="H960" s="35">
        <v>958</v>
      </c>
      <c r="I960" s="35">
        <f ca="1"/>
        <v>0</v>
      </c>
      <c r="J960" s="35">
        <f ca="1"/>
        <v>1</v>
      </c>
      <c r="K960" s="35">
        <f ca="1"/>
        <v>0</v>
      </c>
      <c r="L960" s="35">
        <f ca="1"/>
        <v>0</v>
      </c>
      <c r="M960" s="35">
        <f ca="1"/>
        <v>0</v>
      </c>
      <c r="N960" s="35">
        <f ca="1"/>
        <v>31179.760577794044</v>
      </c>
      <c r="O960" s="35">
        <f ca="1"/>
        <v>0</v>
      </c>
      <c r="P960" s="35">
        <f ca="1"/>
        <v>0</v>
      </c>
      <c r="Q960" s="35">
        <f ca="1"/>
        <v>31179.760577794044</v>
      </c>
    </row>
    <row r="961" spans="8:17">
      <c r="H961" s="35">
        <v>959</v>
      </c>
      <c r="I961" s="35">
        <f ca="1"/>
        <v>0</v>
      </c>
      <c r="J961" s="35">
        <f ca="1"/>
        <v>0</v>
      </c>
      <c r="K961" s="35">
        <f ca="1"/>
        <v>1</v>
      </c>
      <c r="L961" s="35">
        <f ca="1"/>
        <v>1</v>
      </c>
      <c r="M961" s="35">
        <f ca="1"/>
        <v>0</v>
      </c>
      <c r="N961" s="35">
        <f ca="1"/>
        <v>0</v>
      </c>
      <c r="O961" s="35">
        <f ca="1"/>
        <v>243.31055331511905</v>
      </c>
      <c r="P961" s="35">
        <f ca="1"/>
        <v>161552.49522614924</v>
      </c>
      <c r="Q961" s="35">
        <f ca="1"/>
        <v>161795.80577946437</v>
      </c>
    </row>
    <row r="962" spans="8:17">
      <c r="H962" s="35">
        <v>960</v>
      </c>
      <c r="I962" s="35">
        <f ca="1"/>
        <v>0</v>
      </c>
      <c r="J962" s="35">
        <f ca="1"/>
        <v>0</v>
      </c>
      <c r="K962" s="35">
        <f ca="1"/>
        <v>0</v>
      </c>
      <c r="L962" s="35">
        <f ca="1"/>
        <v>1</v>
      </c>
      <c r="M962" s="35">
        <f ca="1"/>
        <v>0</v>
      </c>
      <c r="N962" s="35">
        <f ca="1"/>
        <v>0</v>
      </c>
      <c r="O962" s="35">
        <f ca="1"/>
        <v>0</v>
      </c>
      <c r="P962" s="35">
        <f ca="1"/>
        <v>173261.84130819497</v>
      </c>
      <c r="Q962" s="35">
        <f ca="1"/>
        <v>173261.84130819497</v>
      </c>
    </row>
    <row r="963" spans="8:17">
      <c r="H963" s="35">
        <v>961</v>
      </c>
      <c r="I963" s="35">
        <f ca="1"/>
        <v>1</v>
      </c>
      <c r="J963" s="35">
        <f ca="1"/>
        <v>0</v>
      </c>
      <c r="K963" s="35">
        <f ca="1"/>
        <v>0</v>
      </c>
      <c r="L963" s="35">
        <f ca="1"/>
        <v>1</v>
      </c>
      <c r="M963" s="35">
        <f ca="1"/>
        <v>3978.1400207670349</v>
      </c>
      <c r="N963" s="35">
        <f ca="1"/>
        <v>0</v>
      </c>
      <c r="O963" s="35">
        <f ca="1"/>
        <v>0</v>
      </c>
      <c r="P963" s="35">
        <f ca="1"/>
        <v>102041.18003942537</v>
      </c>
      <c r="Q963" s="35">
        <f ca="1"/>
        <v>106019.3200601924</v>
      </c>
    </row>
    <row r="964" spans="8:17">
      <c r="H964" s="35">
        <v>962</v>
      </c>
      <c r="I964" s="35">
        <f ca="1"/>
        <v>0</v>
      </c>
      <c r="J964" s="35">
        <f ca="1"/>
        <v>0</v>
      </c>
      <c r="K964" s="35">
        <f ca="1"/>
        <v>0</v>
      </c>
      <c r="L964" s="35">
        <f ca="1"/>
        <v>0</v>
      </c>
      <c r="M964" s="35">
        <f ca="1"/>
        <v>0</v>
      </c>
      <c r="N964" s="35">
        <f ca="1"/>
        <v>0</v>
      </c>
      <c r="O964" s="35">
        <f ca="1"/>
        <v>0</v>
      </c>
      <c r="P964" s="35">
        <f ca="1"/>
        <v>0</v>
      </c>
      <c r="Q964" s="35">
        <f ca="1"/>
        <v>0</v>
      </c>
    </row>
    <row r="965" spans="8:17">
      <c r="H965" s="35">
        <v>963</v>
      </c>
      <c r="I965" s="35">
        <f ca="1"/>
        <v>0</v>
      </c>
      <c r="J965" s="35">
        <f ca="1"/>
        <v>0</v>
      </c>
      <c r="K965" s="35">
        <f ca="1"/>
        <v>1</v>
      </c>
      <c r="L965" s="35">
        <f ca="1"/>
        <v>1</v>
      </c>
      <c r="M965" s="35">
        <f ca="1"/>
        <v>0</v>
      </c>
      <c r="N965" s="35">
        <f ca="1"/>
        <v>0</v>
      </c>
      <c r="O965" s="35">
        <f ca="1"/>
        <v>473.00240629423939</v>
      </c>
      <c r="P965" s="35">
        <f ca="1"/>
        <v>87826.686292554281</v>
      </c>
      <c r="Q965" s="35">
        <f ca="1"/>
        <v>88299.68869884852</v>
      </c>
    </row>
    <row r="966" spans="8:17">
      <c r="H966" s="35">
        <v>964</v>
      </c>
      <c r="I966" s="35">
        <f ca="1"/>
        <v>0</v>
      </c>
      <c r="J966" s="35">
        <f ca="1"/>
        <v>0</v>
      </c>
      <c r="K966" s="35">
        <f ca="1"/>
        <v>0</v>
      </c>
      <c r="L966" s="35">
        <f ca="1"/>
        <v>1</v>
      </c>
      <c r="M966" s="35">
        <f ca="1"/>
        <v>0</v>
      </c>
      <c r="N966" s="35">
        <f ca="1"/>
        <v>0</v>
      </c>
      <c r="O966" s="35">
        <f ca="1"/>
        <v>0</v>
      </c>
      <c r="P966" s="35">
        <f ca="1"/>
        <v>167318.86211574043</v>
      </c>
      <c r="Q966" s="35">
        <f ca="1"/>
        <v>167318.86211574043</v>
      </c>
    </row>
    <row r="967" spans="8:17">
      <c r="H967" s="35">
        <v>965</v>
      </c>
      <c r="I967" s="35">
        <f ca="1"/>
        <v>0</v>
      </c>
      <c r="J967" s="35">
        <f ca="1"/>
        <v>1</v>
      </c>
      <c r="K967" s="35">
        <f ca="1"/>
        <v>0</v>
      </c>
      <c r="L967" s="35">
        <f ca="1"/>
        <v>1</v>
      </c>
      <c r="M967" s="35">
        <f ca="1"/>
        <v>0</v>
      </c>
      <c r="N967" s="35">
        <f ca="1"/>
        <v>16690.018085610573</v>
      </c>
      <c r="O967" s="35">
        <f ca="1"/>
        <v>0</v>
      </c>
      <c r="P967" s="35">
        <f ca="1"/>
        <v>109555.79430865198</v>
      </c>
      <c r="Q967" s="35">
        <f ca="1"/>
        <v>126245.81239426255</v>
      </c>
    </row>
    <row r="968" spans="8:17">
      <c r="H968" s="35">
        <v>966</v>
      </c>
      <c r="I968" s="35">
        <f ca="1"/>
        <v>0</v>
      </c>
      <c r="J968" s="35">
        <f ca="1"/>
        <v>1</v>
      </c>
      <c r="K968" s="35">
        <f ca="1"/>
        <v>1</v>
      </c>
      <c r="L968" s="35">
        <f ca="1"/>
        <v>1</v>
      </c>
      <c r="M968" s="35">
        <f ca="1"/>
        <v>0</v>
      </c>
      <c r="N968" s="35">
        <f ca="1"/>
        <v>10393.203809187789</v>
      </c>
      <c r="O968" s="35">
        <f ca="1"/>
        <v>52.581965993774453</v>
      </c>
      <c r="P968" s="35">
        <f ca="1"/>
        <v>142338.3807867319</v>
      </c>
      <c r="Q968" s="35">
        <f ca="1"/>
        <v>152784.16656191347</v>
      </c>
    </row>
    <row r="969" spans="8:17">
      <c r="H969" s="35">
        <v>967</v>
      </c>
      <c r="I969" s="35">
        <f ca="1"/>
        <v>0</v>
      </c>
      <c r="J969" s="35">
        <f ca="1"/>
        <v>0</v>
      </c>
      <c r="K969" s="35">
        <f ca="1"/>
        <v>0</v>
      </c>
      <c r="L969" s="35">
        <f ca="1"/>
        <v>1</v>
      </c>
      <c r="M969" s="35">
        <f ca="1"/>
        <v>0</v>
      </c>
      <c r="N969" s="35">
        <f ca="1"/>
        <v>0</v>
      </c>
      <c r="O969" s="35">
        <f ca="1"/>
        <v>0</v>
      </c>
      <c r="P969" s="35">
        <f ca="1"/>
        <v>184105.29810881292</v>
      </c>
      <c r="Q969" s="35">
        <f ca="1"/>
        <v>184105.29810881292</v>
      </c>
    </row>
    <row r="970" spans="8:17">
      <c r="H970" s="35">
        <v>968</v>
      </c>
      <c r="I970" s="35">
        <f ca="1"/>
        <v>0</v>
      </c>
      <c r="J970" s="35">
        <f ca="1"/>
        <v>0</v>
      </c>
      <c r="K970" s="35">
        <f ca="1"/>
        <v>0</v>
      </c>
      <c r="L970" s="35">
        <f ca="1"/>
        <v>0</v>
      </c>
      <c r="M970" s="35">
        <f ca="1"/>
        <v>0</v>
      </c>
      <c r="N970" s="35">
        <f ca="1"/>
        <v>0</v>
      </c>
      <c r="O970" s="35">
        <f ca="1"/>
        <v>0</v>
      </c>
      <c r="P970" s="35">
        <f ca="1"/>
        <v>0</v>
      </c>
      <c r="Q970" s="35">
        <f ca="1"/>
        <v>0</v>
      </c>
    </row>
    <row r="971" spans="8:17">
      <c r="H971" s="35">
        <v>969</v>
      </c>
      <c r="I971" s="35">
        <f ca="1"/>
        <v>0</v>
      </c>
      <c r="J971" s="35">
        <f ca="1"/>
        <v>1</v>
      </c>
      <c r="K971" s="35">
        <f ca="1"/>
        <v>0</v>
      </c>
      <c r="L971" s="35">
        <f ca="1"/>
        <v>1</v>
      </c>
      <c r="M971" s="35">
        <f ca="1"/>
        <v>0</v>
      </c>
      <c r="N971" s="35">
        <f ca="1"/>
        <v>62279.678721735116</v>
      </c>
      <c r="O971" s="35">
        <f ca="1"/>
        <v>0</v>
      </c>
      <c r="P971" s="35">
        <f ca="1"/>
        <v>128753.65128621033</v>
      </c>
      <c r="Q971" s="35">
        <f ca="1"/>
        <v>191033.33000794545</v>
      </c>
    </row>
    <row r="972" spans="8:17">
      <c r="H972" s="35">
        <v>970</v>
      </c>
      <c r="I972" s="35">
        <f ca="1"/>
        <v>0</v>
      </c>
      <c r="J972" s="35">
        <f ca="1"/>
        <v>0</v>
      </c>
      <c r="K972" s="35">
        <f ca="1"/>
        <v>0</v>
      </c>
      <c r="L972" s="35">
        <f ca="1"/>
        <v>0</v>
      </c>
      <c r="M972" s="35">
        <f ca="1"/>
        <v>0</v>
      </c>
      <c r="N972" s="35">
        <f ca="1"/>
        <v>0</v>
      </c>
      <c r="O972" s="35">
        <f ca="1"/>
        <v>0</v>
      </c>
      <c r="P972" s="35">
        <f ca="1"/>
        <v>0</v>
      </c>
      <c r="Q972" s="35">
        <f ca="1"/>
        <v>0</v>
      </c>
    </row>
    <row r="973" spans="8:17">
      <c r="H973" s="35">
        <v>971</v>
      </c>
      <c r="I973" s="35">
        <f ca="1"/>
        <v>0</v>
      </c>
      <c r="J973" s="35">
        <f ca="1"/>
        <v>0</v>
      </c>
      <c r="K973" s="35">
        <f ca="1"/>
        <v>0</v>
      </c>
      <c r="L973" s="35">
        <f ca="1"/>
        <v>1</v>
      </c>
      <c r="M973" s="35">
        <f ca="1"/>
        <v>0</v>
      </c>
      <c r="N973" s="35">
        <f ca="1"/>
        <v>0</v>
      </c>
      <c r="O973" s="35">
        <f ca="1"/>
        <v>0</v>
      </c>
      <c r="P973" s="35">
        <f ca="1"/>
        <v>109394.92757780716</v>
      </c>
      <c r="Q973" s="35">
        <f ca="1"/>
        <v>109394.92757780716</v>
      </c>
    </row>
    <row r="974" spans="8:17">
      <c r="H974" s="35">
        <v>972</v>
      </c>
      <c r="I974" s="35">
        <f ca="1"/>
        <v>0</v>
      </c>
      <c r="J974" s="35">
        <f ca="1"/>
        <v>0</v>
      </c>
      <c r="K974" s="35">
        <f ca="1"/>
        <v>0</v>
      </c>
      <c r="L974" s="35">
        <f ca="1"/>
        <v>1</v>
      </c>
      <c r="M974" s="35">
        <f ca="1"/>
        <v>0</v>
      </c>
      <c r="N974" s="35">
        <f ca="1"/>
        <v>0</v>
      </c>
      <c r="O974" s="35">
        <f ca="1"/>
        <v>0</v>
      </c>
      <c r="P974" s="35">
        <f ca="1"/>
        <v>74415.896983828527</v>
      </c>
      <c r="Q974" s="35">
        <f ca="1"/>
        <v>74415.896983828527</v>
      </c>
    </row>
    <row r="975" spans="8:17">
      <c r="H975" s="35">
        <v>973</v>
      </c>
      <c r="I975" s="35">
        <f ca="1"/>
        <v>0</v>
      </c>
      <c r="J975" s="35">
        <f ca="1"/>
        <v>0</v>
      </c>
      <c r="K975" s="35">
        <f ca="1"/>
        <v>1</v>
      </c>
      <c r="L975" s="35">
        <f ca="1"/>
        <v>1</v>
      </c>
      <c r="M975" s="35">
        <f ca="1"/>
        <v>0</v>
      </c>
      <c r="N975" s="35">
        <f ca="1"/>
        <v>0</v>
      </c>
      <c r="O975" s="35">
        <f ca="1"/>
        <v>93.885391239679137</v>
      </c>
      <c r="P975" s="35">
        <f ca="1"/>
        <v>169242.50544946743</v>
      </c>
      <c r="Q975" s="35">
        <f ca="1"/>
        <v>169336.39084070711</v>
      </c>
    </row>
    <row r="976" spans="8:17">
      <c r="H976" s="35">
        <v>974</v>
      </c>
      <c r="I976" s="35">
        <f ca="1"/>
        <v>0</v>
      </c>
      <c r="J976" s="35">
        <f ca="1"/>
        <v>1</v>
      </c>
      <c r="K976" s="35">
        <f ca="1"/>
        <v>0</v>
      </c>
      <c r="L976" s="35">
        <f ca="1"/>
        <v>1</v>
      </c>
      <c r="M976" s="35">
        <f ca="1"/>
        <v>0</v>
      </c>
      <c r="N976" s="35">
        <f ca="1"/>
        <v>28054.896872064226</v>
      </c>
      <c r="O976" s="35">
        <f ca="1"/>
        <v>0</v>
      </c>
      <c r="P976" s="35">
        <f ca="1"/>
        <v>135452.57496796592</v>
      </c>
      <c r="Q976" s="35">
        <f ca="1"/>
        <v>163507.47184003014</v>
      </c>
    </row>
    <row r="977" spans="8:17">
      <c r="H977" s="35">
        <v>975</v>
      </c>
      <c r="I977" s="35">
        <f ca="1"/>
        <v>0</v>
      </c>
      <c r="J977" s="35">
        <f ca="1"/>
        <v>0</v>
      </c>
      <c r="K977" s="35">
        <f ca="1"/>
        <v>1</v>
      </c>
      <c r="L977" s="35">
        <f ca="1"/>
        <v>1</v>
      </c>
      <c r="M977" s="35">
        <f ca="1"/>
        <v>0</v>
      </c>
      <c r="N977" s="35">
        <f ca="1"/>
        <v>0</v>
      </c>
      <c r="O977" s="35">
        <f ca="1"/>
        <v>104.53362812433863</v>
      </c>
      <c r="P977" s="35">
        <f ca="1"/>
        <v>128260.17368229823</v>
      </c>
      <c r="Q977" s="35">
        <f ca="1"/>
        <v>128364.70731042257</v>
      </c>
    </row>
    <row r="978" spans="8:17">
      <c r="H978" s="35">
        <v>976</v>
      </c>
      <c r="I978" s="35">
        <f ca="1"/>
        <v>0</v>
      </c>
      <c r="J978" s="35">
        <f ca="1"/>
        <v>0</v>
      </c>
      <c r="K978" s="35">
        <f ca="1"/>
        <v>0</v>
      </c>
      <c r="L978" s="35">
        <f ca="1"/>
        <v>0</v>
      </c>
      <c r="M978" s="35">
        <f ca="1"/>
        <v>0</v>
      </c>
      <c r="N978" s="35">
        <f ca="1"/>
        <v>0</v>
      </c>
      <c r="O978" s="35">
        <f ca="1"/>
        <v>0</v>
      </c>
      <c r="P978" s="35">
        <f ca="1"/>
        <v>0</v>
      </c>
      <c r="Q978" s="35">
        <f ca="1"/>
        <v>0</v>
      </c>
    </row>
    <row r="979" spans="8:17">
      <c r="H979" s="35">
        <v>977</v>
      </c>
      <c r="I979" s="35">
        <f ca="1"/>
        <v>0</v>
      </c>
      <c r="J979" s="35">
        <f ca="1"/>
        <v>0</v>
      </c>
      <c r="K979" s="35">
        <f ca="1"/>
        <v>0</v>
      </c>
      <c r="L979" s="35">
        <f ca="1"/>
        <v>1</v>
      </c>
      <c r="M979" s="35">
        <f ca="1"/>
        <v>0</v>
      </c>
      <c r="N979" s="35">
        <f ca="1"/>
        <v>0</v>
      </c>
      <c r="O979" s="35">
        <f ca="1"/>
        <v>0</v>
      </c>
      <c r="P979" s="35">
        <f ca="1"/>
        <v>173868.19450033619</v>
      </c>
      <c r="Q979" s="35">
        <f ca="1"/>
        <v>173868.19450033619</v>
      </c>
    </row>
    <row r="980" spans="8:17">
      <c r="H980" s="35">
        <v>978</v>
      </c>
      <c r="I980" s="35">
        <f ca="1"/>
        <v>0</v>
      </c>
      <c r="J980" s="35">
        <f ca="1"/>
        <v>0</v>
      </c>
      <c r="K980" s="35">
        <f ca="1"/>
        <v>1</v>
      </c>
      <c r="L980" s="35">
        <f ca="1"/>
        <v>1</v>
      </c>
      <c r="M980" s="35">
        <f ca="1"/>
        <v>0</v>
      </c>
      <c r="N980" s="35">
        <f ca="1"/>
        <v>0</v>
      </c>
      <c r="O980" s="35">
        <f ca="1"/>
        <v>89.954931815565672</v>
      </c>
      <c r="P980" s="35">
        <f ca="1"/>
        <v>94563.022840372898</v>
      </c>
      <c r="Q980" s="35">
        <f ca="1"/>
        <v>94652.97777218846</v>
      </c>
    </row>
    <row r="981" spans="8:17">
      <c r="H981" s="35">
        <v>979</v>
      </c>
      <c r="I981" s="35">
        <f ca="1"/>
        <v>0</v>
      </c>
      <c r="J981" s="35">
        <f ca="1"/>
        <v>0</v>
      </c>
      <c r="K981" s="35">
        <f ca="1"/>
        <v>0</v>
      </c>
      <c r="L981" s="35">
        <f ca="1"/>
        <v>1</v>
      </c>
      <c r="M981" s="35">
        <f ca="1"/>
        <v>0</v>
      </c>
      <c r="N981" s="35">
        <f ca="1"/>
        <v>0</v>
      </c>
      <c r="O981" s="35">
        <f ca="1"/>
        <v>0</v>
      </c>
      <c r="P981" s="35">
        <f ca="1"/>
        <v>102276.1404515505</v>
      </c>
      <c r="Q981" s="35">
        <f ca="1"/>
        <v>102276.1404515505</v>
      </c>
    </row>
    <row r="982" spans="8:17">
      <c r="H982" s="35">
        <v>980</v>
      </c>
      <c r="I982" s="35">
        <f ca="1"/>
        <v>0</v>
      </c>
      <c r="J982" s="35">
        <f ca="1"/>
        <v>0</v>
      </c>
      <c r="K982" s="35">
        <f ca="1"/>
        <v>1</v>
      </c>
      <c r="L982" s="35">
        <f ca="1"/>
        <v>0</v>
      </c>
      <c r="M982" s="35">
        <f ca="1"/>
        <v>0</v>
      </c>
      <c r="N982" s="35">
        <f ca="1"/>
        <v>0</v>
      </c>
      <c r="O982" s="35">
        <f ca="1"/>
        <v>377.60896516095215</v>
      </c>
      <c r="P982" s="35">
        <f ca="1"/>
        <v>0</v>
      </c>
      <c r="Q982" s="35">
        <f ca="1"/>
        <v>377.60896516095215</v>
      </c>
    </row>
    <row r="983" spans="8:17">
      <c r="H983" s="35">
        <v>981</v>
      </c>
      <c r="I983" s="35">
        <f ca="1"/>
        <v>0</v>
      </c>
      <c r="J983" s="35">
        <f ca="1"/>
        <v>0</v>
      </c>
      <c r="K983" s="35">
        <f ca="1"/>
        <v>0</v>
      </c>
      <c r="L983" s="35">
        <f ca="1"/>
        <v>0</v>
      </c>
      <c r="M983" s="35">
        <f ca="1"/>
        <v>0</v>
      </c>
      <c r="N983" s="35">
        <f ca="1"/>
        <v>0</v>
      </c>
      <c r="O983" s="35">
        <f ca="1"/>
        <v>0</v>
      </c>
      <c r="P983" s="35">
        <f ca="1"/>
        <v>0</v>
      </c>
      <c r="Q983" s="35">
        <f ca="1"/>
        <v>0</v>
      </c>
    </row>
    <row r="984" spans="8:17">
      <c r="H984" s="35">
        <v>982</v>
      </c>
      <c r="I984" s="35">
        <f ca="1"/>
        <v>0</v>
      </c>
      <c r="J984" s="35">
        <f ca="1"/>
        <v>1</v>
      </c>
      <c r="K984" s="35">
        <f ca="1"/>
        <v>0</v>
      </c>
      <c r="L984" s="35">
        <f ca="1"/>
        <v>0</v>
      </c>
      <c r="M984" s="35">
        <f ca="1"/>
        <v>0</v>
      </c>
      <c r="N984" s="35">
        <f ca="1"/>
        <v>42502.299613390882</v>
      </c>
      <c r="O984" s="35">
        <f ca="1"/>
        <v>0</v>
      </c>
      <c r="P984" s="35">
        <f ca="1"/>
        <v>0</v>
      </c>
      <c r="Q984" s="35">
        <f ca="1"/>
        <v>42502.299613390882</v>
      </c>
    </row>
    <row r="985" spans="8:17">
      <c r="H985" s="35">
        <v>983</v>
      </c>
      <c r="I985" s="35">
        <f ca="1"/>
        <v>1</v>
      </c>
      <c r="J985" s="35">
        <f ca="1"/>
        <v>0</v>
      </c>
      <c r="K985" s="35">
        <f ca="1"/>
        <v>0</v>
      </c>
      <c r="L985" s="35">
        <f ca="1"/>
        <v>1</v>
      </c>
      <c r="M985" s="35">
        <f ca="1"/>
        <v>5495.7881178758325</v>
      </c>
      <c r="N985" s="35">
        <f ca="1"/>
        <v>0</v>
      </c>
      <c r="O985" s="35">
        <f ca="1"/>
        <v>0</v>
      </c>
      <c r="P985" s="35">
        <f ca="1"/>
        <v>185151.3034506111</v>
      </c>
      <c r="Q985" s="35">
        <f ca="1"/>
        <v>190647.09156848694</v>
      </c>
    </row>
    <row r="986" spans="8:17">
      <c r="H986" s="35">
        <v>984</v>
      </c>
      <c r="I986" s="35">
        <f ca="1"/>
        <v>0</v>
      </c>
      <c r="J986" s="35">
        <f ca="1"/>
        <v>0</v>
      </c>
      <c r="K986" s="35">
        <f ca="1"/>
        <v>0</v>
      </c>
      <c r="L986" s="35">
        <f ca="1"/>
        <v>1</v>
      </c>
      <c r="M986" s="35">
        <f ca="1"/>
        <v>0</v>
      </c>
      <c r="N986" s="35">
        <f ca="1"/>
        <v>0</v>
      </c>
      <c r="O986" s="35">
        <f ca="1"/>
        <v>0</v>
      </c>
      <c r="P986" s="35">
        <f ca="1"/>
        <v>156478.41346491623</v>
      </c>
      <c r="Q986" s="35">
        <f ca="1"/>
        <v>156478.41346491623</v>
      </c>
    </row>
    <row r="987" spans="8:17">
      <c r="H987" s="35">
        <v>985</v>
      </c>
      <c r="I987" s="35">
        <f ca="1"/>
        <v>0</v>
      </c>
      <c r="J987" s="35">
        <f ca="1"/>
        <v>0</v>
      </c>
      <c r="K987" s="35">
        <f ca="1"/>
        <v>0</v>
      </c>
      <c r="L987" s="35">
        <f ca="1"/>
        <v>1</v>
      </c>
      <c r="M987" s="35">
        <f ca="1"/>
        <v>0</v>
      </c>
      <c r="N987" s="35">
        <f ca="1"/>
        <v>0</v>
      </c>
      <c r="O987" s="35">
        <f ca="1"/>
        <v>0</v>
      </c>
      <c r="P987" s="35">
        <f ca="1"/>
        <v>136897.97902542714</v>
      </c>
      <c r="Q987" s="35">
        <f ca="1"/>
        <v>136897.97902542714</v>
      </c>
    </row>
    <row r="988" spans="8:17">
      <c r="H988" s="35">
        <v>986</v>
      </c>
      <c r="I988" s="35">
        <f ca="1"/>
        <v>0</v>
      </c>
      <c r="J988" s="35">
        <f ca="1"/>
        <v>0</v>
      </c>
      <c r="K988" s="35">
        <f ca="1"/>
        <v>0</v>
      </c>
      <c r="L988" s="35">
        <f ca="1"/>
        <v>1</v>
      </c>
      <c r="M988" s="35">
        <f ca="1"/>
        <v>0</v>
      </c>
      <c r="N988" s="35">
        <f ca="1"/>
        <v>0</v>
      </c>
      <c r="O988" s="35">
        <f ca="1"/>
        <v>0</v>
      </c>
      <c r="P988" s="35">
        <f ca="1"/>
        <v>120768.03996812121</v>
      </c>
      <c r="Q988" s="35">
        <f ca="1"/>
        <v>120768.03996812121</v>
      </c>
    </row>
    <row r="989" spans="8:17">
      <c r="H989" s="35">
        <v>987</v>
      </c>
      <c r="I989" s="35">
        <f ca="1"/>
        <v>0</v>
      </c>
      <c r="J989" s="35">
        <f ca="1"/>
        <v>1</v>
      </c>
      <c r="K989" s="35">
        <f ca="1"/>
        <v>0</v>
      </c>
      <c r="L989" s="35">
        <f ca="1"/>
        <v>1</v>
      </c>
      <c r="M989" s="35">
        <f ca="1"/>
        <v>0</v>
      </c>
      <c r="N989" s="35">
        <f ca="1"/>
        <v>21953.512927118969</v>
      </c>
      <c r="O989" s="35">
        <f ca="1"/>
        <v>0</v>
      </c>
      <c r="P989" s="35">
        <f ca="1"/>
        <v>60712.698720779023</v>
      </c>
      <c r="Q989" s="35">
        <f ca="1"/>
        <v>82666.211647897988</v>
      </c>
    </row>
    <row r="990" spans="8:17">
      <c r="H990" s="35">
        <v>988</v>
      </c>
      <c r="I990" s="35">
        <f ca="1"/>
        <v>0</v>
      </c>
      <c r="J990" s="35">
        <f ca="1"/>
        <v>0</v>
      </c>
      <c r="K990" s="35">
        <f ca="1"/>
        <v>0</v>
      </c>
      <c r="L990" s="35">
        <f ca="1"/>
        <v>1</v>
      </c>
      <c r="M990" s="35">
        <f ca="1"/>
        <v>0</v>
      </c>
      <c r="N990" s="35">
        <f ca="1"/>
        <v>0</v>
      </c>
      <c r="O990" s="35">
        <f ca="1"/>
        <v>0</v>
      </c>
      <c r="P990" s="35">
        <f ca="1"/>
        <v>163579.97879685843</v>
      </c>
      <c r="Q990" s="35">
        <f ca="1"/>
        <v>163579.97879685843</v>
      </c>
    </row>
    <row r="991" spans="8:17">
      <c r="H991" s="35">
        <v>989</v>
      </c>
      <c r="I991" s="35">
        <f ca="1"/>
        <v>0</v>
      </c>
      <c r="J991" s="35">
        <f ca="1"/>
        <v>0</v>
      </c>
      <c r="K991" s="35">
        <f ca="1"/>
        <v>0</v>
      </c>
      <c r="L991" s="35">
        <f ca="1"/>
        <v>1</v>
      </c>
      <c r="M991" s="35">
        <f ca="1"/>
        <v>0</v>
      </c>
      <c r="N991" s="35">
        <f ca="1"/>
        <v>0</v>
      </c>
      <c r="O991" s="35">
        <f ca="1"/>
        <v>0</v>
      </c>
      <c r="P991" s="35">
        <f ca="1"/>
        <v>115442.81111021542</v>
      </c>
      <c r="Q991" s="35">
        <f ca="1"/>
        <v>115442.81111021542</v>
      </c>
    </row>
    <row r="992" spans="8:17">
      <c r="H992" s="35">
        <v>990</v>
      </c>
      <c r="I992" s="35">
        <f ca="1"/>
        <v>1</v>
      </c>
      <c r="J992" s="35">
        <f ca="1"/>
        <v>1</v>
      </c>
      <c r="K992" s="35">
        <f ca="1"/>
        <v>1</v>
      </c>
      <c r="L992" s="35">
        <f ca="1"/>
        <v>1</v>
      </c>
      <c r="M992" s="35">
        <f ca="1"/>
        <v>9092.9585730886774</v>
      </c>
      <c r="N992" s="35">
        <f ca="1"/>
        <v>55559.520516288081</v>
      </c>
      <c r="O992" s="35">
        <f ca="1"/>
        <v>51.994187490710345</v>
      </c>
      <c r="P992" s="35">
        <f ca="1"/>
        <v>151193.90100440852</v>
      </c>
      <c r="Q992" s="35">
        <f ca="1"/>
        <v>215898.37428127599</v>
      </c>
    </row>
    <row r="993" spans="8:17">
      <c r="H993" s="35">
        <v>991</v>
      </c>
      <c r="I993" s="35">
        <f ca="1"/>
        <v>0</v>
      </c>
      <c r="J993" s="35">
        <f ca="1"/>
        <v>0</v>
      </c>
      <c r="K993" s="35">
        <f ca="1"/>
        <v>0</v>
      </c>
      <c r="L993" s="35">
        <f ca="1"/>
        <v>1</v>
      </c>
      <c r="M993" s="35">
        <f ca="1"/>
        <v>0</v>
      </c>
      <c r="N993" s="35">
        <f ca="1"/>
        <v>0</v>
      </c>
      <c r="O993" s="35">
        <f ca="1"/>
        <v>0</v>
      </c>
      <c r="P993" s="35">
        <f ca="1"/>
        <v>164652.70751567977</v>
      </c>
      <c r="Q993" s="35">
        <f ca="1"/>
        <v>164652.70751567977</v>
      </c>
    </row>
    <row r="994" spans="8:17">
      <c r="H994" s="35">
        <v>992</v>
      </c>
      <c r="I994" s="35">
        <f ca="1"/>
        <v>0</v>
      </c>
      <c r="J994" s="35">
        <f ca="1"/>
        <v>0</v>
      </c>
      <c r="K994" s="35">
        <f ca="1"/>
        <v>1</v>
      </c>
      <c r="L994" s="35">
        <f ca="1"/>
        <v>1</v>
      </c>
      <c r="M994" s="35">
        <f ca="1"/>
        <v>0</v>
      </c>
      <c r="N994" s="35">
        <f ca="1"/>
        <v>0</v>
      </c>
      <c r="O994" s="35">
        <f ca="1"/>
        <v>474.86998033845492</v>
      </c>
      <c r="P994" s="35">
        <f ca="1"/>
        <v>160153.60878877822</v>
      </c>
      <c r="Q994" s="35">
        <f ca="1"/>
        <v>160628.47876911669</v>
      </c>
    </row>
    <row r="995" spans="8:17">
      <c r="H995" s="35">
        <v>993</v>
      </c>
      <c r="I995" s="35">
        <f ca="1"/>
        <v>0</v>
      </c>
      <c r="J995" s="35">
        <f ca="1"/>
        <v>0</v>
      </c>
      <c r="K995" s="35">
        <f ca="1"/>
        <v>0</v>
      </c>
      <c r="L995" s="35">
        <f ca="1"/>
        <v>1</v>
      </c>
      <c r="M995" s="35">
        <f ca="1"/>
        <v>0</v>
      </c>
      <c r="N995" s="35">
        <f ca="1"/>
        <v>0</v>
      </c>
      <c r="O995" s="35">
        <f ca="1"/>
        <v>0</v>
      </c>
      <c r="P995" s="35">
        <f ca="1"/>
        <v>92122.406869475511</v>
      </c>
      <c r="Q995" s="35">
        <f ca="1"/>
        <v>92122.406869475511</v>
      </c>
    </row>
    <row r="996" spans="8:17">
      <c r="H996" s="35">
        <v>994</v>
      </c>
      <c r="I996" s="35">
        <f ca="1"/>
        <v>1</v>
      </c>
      <c r="J996" s="35">
        <f ca="1"/>
        <v>0</v>
      </c>
      <c r="K996" s="35">
        <f ca="1"/>
        <v>0</v>
      </c>
      <c r="L996" s="35">
        <f ca="1"/>
        <v>1</v>
      </c>
      <c r="M996" s="35">
        <f ca="1"/>
        <v>2501.5728337576024</v>
      </c>
      <c r="N996" s="35">
        <f ca="1"/>
        <v>0</v>
      </c>
      <c r="O996" s="35">
        <f ca="1"/>
        <v>0</v>
      </c>
      <c r="P996" s="35">
        <f ca="1"/>
        <v>74698.133132689225</v>
      </c>
      <c r="Q996" s="35">
        <f ca="1"/>
        <v>77199.705966446825</v>
      </c>
    </row>
    <row r="997" spans="8:17">
      <c r="H997" s="35">
        <v>995</v>
      </c>
      <c r="I997" s="35">
        <f ca="1"/>
        <v>0</v>
      </c>
      <c r="J997" s="35">
        <f ca="1"/>
        <v>0</v>
      </c>
      <c r="K997" s="35">
        <f ca="1"/>
        <v>1</v>
      </c>
      <c r="L997" s="35">
        <f ca="1"/>
        <v>1</v>
      </c>
      <c r="M997" s="35">
        <f ca="1"/>
        <v>0</v>
      </c>
      <c r="N997" s="35">
        <f ca="1"/>
        <v>0</v>
      </c>
      <c r="O997" s="35">
        <f ca="1"/>
        <v>342.32508547951915</v>
      </c>
      <c r="P997" s="35">
        <f ca="1"/>
        <v>158296.24760440318</v>
      </c>
      <c r="Q997" s="35">
        <f ca="1"/>
        <v>158638.57268988271</v>
      </c>
    </row>
    <row r="998" spans="8:17">
      <c r="H998" s="35">
        <v>996</v>
      </c>
      <c r="I998" s="35">
        <f ca="1"/>
        <v>1</v>
      </c>
      <c r="J998" s="35">
        <f ca="1"/>
        <v>0</v>
      </c>
      <c r="K998" s="35">
        <f ca="1"/>
        <v>0</v>
      </c>
      <c r="L998" s="35">
        <f ca="1"/>
        <v>1</v>
      </c>
      <c r="M998" s="35">
        <f ca="1"/>
        <v>6228.3710856364914</v>
      </c>
      <c r="N998" s="35">
        <f ca="1"/>
        <v>0</v>
      </c>
      <c r="O998" s="35">
        <f ca="1"/>
        <v>0</v>
      </c>
      <c r="P998" s="35">
        <f ca="1"/>
        <v>209195.3820877398</v>
      </c>
      <c r="Q998" s="35">
        <f ca="1"/>
        <v>215423.75317337629</v>
      </c>
    </row>
    <row r="999" spans="8:17">
      <c r="H999" s="35">
        <v>997</v>
      </c>
      <c r="I999" s="35">
        <f ca="1"/>
        <v>1</v>
      </c>
      <c r="J999" s="35">
        <f ca="1"/>
        <v>0</v>
      </c>
      <c r="K999" s="35">
        <f ca="1"/>
        <v>0</v>
      </c>
      <c r="L999" s="35">
        <f ca="1"/>
        <v>0</v>
      </c>
      <c r="M999" s="35">
        <f ca="1"/>
        <v>7212.5158980925235</v>
      </c>
      <c r="N999" s="35">
        <f ca="1"/>
        <v>0</v>
      </c>
      <c r="O999" s="35">
        <f ca="1"/>
        <v>0</v>
      </c>
      <c r="P999" s="35">
        <f ca="1"/>
        <v>0</v>
      </c>
      <c r="Q999" s="35">
        <f ca="1"/>
        <v>7212.5158980925235</v>
      </c>
    </row>
    <row r="1000" spans="8:17">
      <c r="H1000" s="35">
        <v>998</v>
      </c>
      <c r="I1000" s="35">
        <f ca="1"/>
        <v>0</v>
      </c>
      <c r="J1000" s="35">
        <f ca="1"/>
        <v>0</v>
      </c>
      <c r="K1000" s="35">
        <f ca="1"/>
        <v>0</v>
      </c>
      <c r="L1000" s="35">
        <f ca="1"/>
        <v>0</v>
      </c>
      <c r="M1000" s="35">
        <f ca="1"/>
        <v>0</v>
      </c>
      <c r="N1000" s="35">
        <f ca="1"/>
        <v>0</v>
      </c>
      <c r="O1000" s="35">
        <f ca="1"/>
        <v>0</v>
      </c>
      <c r="P1000" s="35">
        <f ca="1"/>
        <v>0</v>
      </c>
      <c r="Q1000" s="35">
        <f ca="1"/>
        <v>0</v>
      </c>
    </row>
    <row r="1001" spans="8:17">
      <c r="H1001" s="35">
        <v>999</v>
      </c>
      <c r="I1001" s="35">
        <f ca="1"/>
        <v>0</v>
      </c>
      <c r="J1001" s="35">
        <f ca="1"/>
        <v>0</v>
      </c>
      <c r="K1001" s="35">
        <f ca="1"/>
        <v>0</v>
      </c>
      <c r="L1001" s="35">
        <f ca="1"/>
        <v>1</v>
      </c>
      <c r="M1001" s="35">
        <f ca="1"/>
        <v>0</v>
      </c>
      <c r="N1001" s="35">
        <f ca="1"/>
        <v>0</v>
      </c>
      <c r="O1001" s="35">
        <f ca="1"/>
        <v>0</v>
      </c>
      <c r="P1001" s="35">
        <f ca="1"/>
        <v>140995.33753295988</v>
      </c>
      <c r="Q1001" s="35">
        <f ca="1"/>
        <v>140995.33753295988</v>
      </c>
    </row>
    <row r="1002" spans="8:17">
      <c r="H1002" s="35">
        <v>1000</v>
      </c>
      <c r="I1002" s="35">
        <f ca="1"/>
        <v>0</v>
      </c>
      <c r="J1002" s="35">
        <f ca="1"/>
        <v>0</v>
      </c>
      <c r="K1002" s="35">
        <f ca="1"/>
        <v>0</v>
      </c>
      <c r="L1002" s="35">
        <f ca="1"/>
        <v>0</v>
      </c>
      <c r="M1002" s="35">
        <f ca="1"/>
        <v>0</v>
      </c>
      <c r="N1002" s="35">
        <f ca="1"/>
        <v>0</v>
      </c>
      <c r="O1002" s="35">
        <f ca="1"/>
        <v>0</v>
      </c>
      <c r="P1002" s="35">
        <f ca="1"/>
        <v>0</v>
      </c>
      <c r="Q1002" s="35">
        <f ca="1"/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ACC066-9A48-4B6E-973F-B166D3A6C2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TVS Motors</vt:lpstr>
      <vt:lpstr>Adani Enterprises</vt:lpstr>
      <vt:lpstr>Sequent Scientific</vt:lpstr>
      <vt:lpstr>Vodafone Idea</vt:lpstr>
      <vt:lpstr>Diagram</vt:lpstr>
      <vt:lpstr>calc</vt:lpstr>
      <vt:lpstr>loss_distribution</vt:lpstr>
      <vt:lpstr>Diagram!Print_Area</vt:lpstr>
      <vt:lpstr>Diagram!TABLE</vt:lpstr>
      <vt:lpstr>Diagram!TABLE_2</vt:lpstr>
      <vt:lpstr>Diagram!TABLE_3</vt:lpstr>
      <vt:lpstr>Diagram!TABLE_4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Keshav Patwari</cp:lastModifiedBy>
  <dcterms:created xsi:type="dcterms:W3CDTF">2015-06-05T18:17:20Z</dcterms:created>
  <dcterms:modified xsi:type="dcterms:W3CDTF">2026-10-01T09:52:21Z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2025-09-15T12:52:31Z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1a6f0dca-a84d-4101-9b73-6f27300a9083</vt:lpwstr>
  </property>
  <property fmtid="{D5CDD505-2E9C-101B-9397-08002B2CF9AE}" pid="7" name="MSIP_Label_defa4170-0d19-0005-0004-bc88714345d2_ActionId">
    <vt:lpwstr>383c4759-834d-4441-a6a6-d6711f4a58f5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